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bfef7e38da6c85/Documents/"/>
    </mc:Choice>
  </mc:AlternateContent>
  <xr:revisionPtr revIDLastSave="313" documentId="8_{AB6546B7-B865-4F66-9F60-B7EDE0F7277E}" xr6:coauthVersionLast="47" xr6:coauthVersionMax="47" xr10:uidLastSave="{C5BE56BC-D0C6-4E62-84F6-4085FC2193D8}"/>
  <bookViews>
    <workbookView xWindow="-108" yWindow="-108" windowWidth="23256" windowHeight="12456" xr2:uid="{FD52A222-B5CA-4B63-A18B-9E74C79CB97D}"/>
  </bookViews>
  <sheets>
    <sheet name="DCF model" sheetId="5" r:id="rId1"/>
    <sheet name="WACC" sheetId="2" r:id="rId2"/>
    <sheet name="CFS" sheetId="3" r:id="rId3"/>
    <sheet name="I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5" l="1"/>
  <c r="B15" i="5"/>
  <c r="B73" i="5"/>
  <c r="B74" i="5"/>
  <c r="B75" i="5" s="1"/>
  <c r="B76" i="5" s="1"/>
  <c r="B77" i="5" s="1"/>
  <c r="B78" i="5" s="1"/>
  <c r="B72" i="5"/>
  <c r="R59" i="5"/>
  <c r="N52" i="5"/>
  <c r="O52" i="5"/>
  <c r="P52" i="5"/>
  <c r="Q52" i="5"/>
  <c r="R52" i="5"/>
  <c r="M52" i="5"/>
  <c r="D44" i="5"/>
  <c r="E44" i="5"/>
  <c r="F44" i="5"/>
  <c r="G44" i="5"/>
  <c r="H44" i="5"/>
  <c r="I44" i="5"/>
  <c r="J44" i="5"/>
  <c r="K44" i="5"/>
  <c r="C44" i="5"/>
  <c r="N41" i="5"/>
  <c r="O41" i="5" s="1"/>
  <c r="M41" i="5"/>
  <c r="L41" i="5"/>
  <c r="D41" i="5"/>
  <c r="E41" i="5"/>
  <c r="F41" i="5"/>
  <c r="G41" i="5"/>
  <c r="H41" i="5"/>
  <c r="I41" i="5"/>
  <c r="J41" i="5"/>
  <c r="K41" i="5"/>
  <c r="C41" i="5"/>
  <c r="N38" i="5"/>
  <c r="O38" i="5" s="1"/>
  <c r="M38" i="5"/>
  <c r="L38" i="5"/>
  <c r="D38" i="5"/>
  <c r="E38" i="5"/>
  <c r="F38" i="5"/>
  <c r="G38" i="5"/>
  <c r="H38" i="5"/>
  <c r="I38" i="5"/>
  <c r="J38" i="5"/>
  <c r="K38" i="5"/>
  <c r="C38" i="5"/>
  <c r="N32" i="5"/>
  <c r="O32" i="5"/>
  <c r="O33" i="5" s="1"/>
  <c r="P32" i="5"/>
  <c r="Q32" i="5"/>
  <c r="Q33" i="5" s="1"/>
  <c r="R32" i="5"/>
  <c r="N33" i="5"/>
  <c r="P33" i="5"/>
  <c r="R33" i="5"/>
  <c r="M33" i="5"/>
  <c r="M32" i="5"/>
  <c r="L33" i="5"/>
  <c r="L32" i="5"/>
  <c r="D33" i="5"/>
  <c r="E33" i="5"/>
  <c r="F33" i="5"/>
  <c r="G33" i="5"/>
  <c r="H33" i="5"/>
  <c r="I33" i="5"/>
  <c r="J33" i="5"/>
  <c r="K33" i="5"/>
  <c r="C33" i="5"/>
  <c r="N30" i="5"/>
  <c r="N29" i="5" s="1"/>
  <c r="O30" i="5"/>
  <c r="O29" i="5" s="1"/>
  <c r="M29" i="5"/>
  <c r="M30" i="5"/>
  <c r="L29" i="5"/>
  <c r="L30" i="5"/>
  <c r="D30" i="5"/>
  <c r="E30" i="5"/>
  <c r="F30" i="5"/>
  <c r="G30" i="5"/>
  <c r="H30" i="5"/>
  <c r="I30" i="5"/>
  <c r="J30" i="5"/>
  <c r="K30" i="5"/>
  <c r="C30" i="5"/>
  <c r="N27" i="5"/>
  <c r="N26" i="5" s="1"/>
  <c r="M26" i="5"/>
  <c r="M27" i="5"/>
  <c r="L26" i="5"/>
  <c r="L27" i="5"/>
  <c r="D27" i="5"/>
  <c r="E27" i="5"/>
  <c r="F27" i="5"/>
  <c r="G27" i="5"/>
  <c r="H27" i="5"/>
  <c r="I27" i="5"/>
  <c r="J27" i="5"/>
  <c r="K27" i="5"/>
  <c r="C27" i="5"/>
  <c r="N22" i="5"/>
  <c r="N23" i="5"/>
  <c r="N21" i="5" s="1"/>
  <c r="N24" i="5"/>
  <c r="M21" i="5"/>
  <c r="M24" i="5"/>
  <c r="M22" i="5"/>
  <c r="M23" i="5"/>
  <c r="L21" i="5"/>
  <c r="E21" i="5"/>
  <c r="F21" i="5"/>
  <c r="G21" i="5"/>
  <c r="H21" i="5"/>
  <c r="I21" i="5"/>
  <c r="J21" i="5"/>
  <c r="K21" i="5"/>
  <c r="D21" i="5"/>
  <c r="P41" i="5" l="1"/>
  <c r="P38" i="5"/>
  <c r="Q38" i="5" s="1"/>
  <c r="R38" i="5" s="1"/>
  <c r="P30" i="5"/>
  <c r="P29" i="5" s="1"/>
  <c r="O27" i="5"/>
  <c r="O23" i="5"/>
  <c r="Q41" i="5" l="1"/>
  <c r="R41" i="5" s="1"/>
  <c r="Q30" i="5"/>
  <c r="Q29" i="5" s="1"/>
  <c r="O26" i="5"/>
  <c r="P27" i="5"/>
  <c r="O21" i="5"/>
  <c r="O22" i="5"/>
  <c r="O24" i="5"/>
  <c r="R30" i="5" l="1"/>
  <c r="R29" i="5" s="1"/>
  <c r="P26" i="5"/>
  <c r="Q27" i="5"/>
  <c r="Q26" i="5" s="1"/>
  <c r="R27" i="5"/>
  <c r="R26" i="5" s="1"/>
  <c r="P23" i="5"/>
  <c r="P21" i="5" l="1"/>
  <c r="P22" i="5"/>
  <c r="P24" i="5"/>
  <c r="Q23" i="5" l="1"/>
  <c r="Q24" i="5" l="1"/>
  <c r="Q22" i="5"/>
  <c r="Q21" i="5"/>
  <c r="R23" i="5" s="1"/>
  <c r="R24" i="5" l="1"/>
  <c r="R21" i="5"/>
  <c r="R22" i="5"/>
</calcChain>
</file>

<file path=xl/sharedStrings.xml><?xml version="1.0" encoding="utf-8"?>
<sst xmlns="http://schemas.openxmlformats.org/spreadsheetml/2006/main" count="243" uniqueCount="198">
  <si>
    <t>Overview</t>
  </si>
  <si>
    <t>Company ticker</t>
  </si>
  <si>
    <t>Date</t>
  </si>
  <si>
    <t>WMT</t>
  </si>
  <si>
    <t>Assumptions</t>
  </si>
  <si>
    <t>Revenue</t>
  </si>
  <si>
    <t>% growth</t>
  </si>
  <si>
    <t>EBIT</t>
  </si>
  <si>
    <t>Taxes</t>
  </si>
  <si>
    <t>EBIAT (or NOPAT)</t>
  </si>
  <si>
    <t>EBIAT</t>
  </si>
  <si>
    <t>Plus: D&amp;A</t>
  </si>
  <si>
    <t>Less: Capex</t>
  </si>
  <si>
    <t>FCF</t>
  </si>
  <si>
    <t>Discounted TV</t>
  </si>
  <si>
    <t>Enterprise value</t>
  </si>
  <si>
    <t>Less: Debt</t>
  </si>
  <si>
    <t>Walmart Inc.</t>
  </si>
  <si>
    <t xml:space="preserve">WMT   931142103   2936921   NYSE    Common stock    </t>
  </si>
  <si>
    <t>Source: FactSet Fundamentals</t>
  </si>
  <si>
    <t>JAN '15</t>
  </si>
  <si>
    <t>JAN '16</t>
  </si>
  <si>
    <t>JAN '17</t>
  </si>
  <si>
    <t>JAN '18</t>
  </si>
  <si>
    <t>JAN '19</t>
  </si>
  <si>
    <t>JAN '20</t>
  </si>
  <si>
    <t>JAN '21</t>
  </si>
  <si>
    <t>JAN '22</t>
  </si>
  <si>
    <t>JAN '23</t>
  </si>
  <si>
    <t>JAN '24</t>
  </si>
  <si>
    <t>OCT '24</t>
  </si>
  <si>
    <t>LTM</t>
  </si>
  <si>
    <t>Operating Activities</t>
  </si>
  <si>
    <t>Net Income / Starting Line</t>
  </si>
  <si>
    <t>Depreciation, Depletion &amp; Amortization</t>
  </si>
  <si>
    <t>Depreciation and Depletion</t>
  </si>
  <si>
    <t>Deferred Taxes &amp; Investment Tax Credit</t>
  </si>
  <si>
    <t>Deferred Taxes</t>
  </si>
  <si>
    <t>Other Funds</t>
  </si>
  <si>
    <t>Funds from Operations</t>
  </si>
  <si>
    <t>Changes in Working Capital</t>
  </si>
  <si>
    <t>Receivables</t>
  </si>
  <si>
    <t>Inventories</t>
  </si>
  <si>
    <t>Accounts Payable</t>
  </si>
  <si>
    <t>Income Taxes Payable</t>
  </si>
  <si>
    <t>Other Accruals</t>
  </si>
  <si>
    <t>Net Operating Cash Flow</t>
  </si>
  <si>
    <t>Investing Activities</t>
  </si>
  <si>
    <t>Capital Expenditures</t>
  </si>
  <si>
    <t>Capital Expenditures (Fixed Assets)</t>
  </si>
  <si>
    <t>Net Assets from Acquisitions</t>
  </si>
  <si>
    <t>Sale of Fixed Assets &amp; Businesses</t>
  </si>
  <si>
    <t>Purchase/Sale of Investments</t>
  </si>
  <si>
    <t>Purchase of Investments</t>
  </si>
  <si>
    <t>Sale/Maturity of Investments</t>
  </si>
  <si>
    <t>Other Uses</t>
  </si>
  <si>
    <t>Other Sources</t>
  </si>
  <si>
    <t>Net Investing Cash Flow</t>
  </si>
  <si>
    <t>Financing Activities</t>
  </si>
  <si>
    <t>Cash Dividends Paid</t>
  </si>
  <si>
    <t>Common Dividends</t>
  </si>
  <si>
    <t>Change in Capital Stock</t>
  </si>
  <si>
    <t>Repurchase of Common &amp; Preferred Stk.</t>
  </si>
  <si>
    <t>Issuance/Reduction of Debt, Net</t>
  </si>
  <si>
    <t>Change in Current Debt</t>
  </si>
  <si>
    <t>Change in Long-Term Debt</t>
  </si>
  <si>
    <t>Issuance of Long-Term Debt</t>
  </si>
  <si>
    <t>Reduction in Long-Term Debt</t>
  </si>
  <si>
    <t>Net Financing Cash Flow</t>
  </si>
  <si>
    <t>All Activities</t>
  </si>
  <si>
    <t>Exchange Rate Effect</t>
  </si>
  <si>
    <t>Net Change in Cash</t>
  </si>
  <si>
    <t>Free Cash Flow</t>
  </si>
  <si>
    <t>Free Cash Flow per Share</t>
  </si>
  <si>
    <t>Free Cash Flow Yield (%)</t>
  </si>
  <si>
    <t>All figures in billions of U.S. Dollar except per share items.</t>
  </si>
  <si>
    <t>Walmart Inc. (WMT)</t>
  </si>
  <si>
    <t>$97.67</t>
  </si>
  <si>
    <t>Sales</t>
  </si>
  <si>
    <t>Cost of Goods Sold (COGS) incl. D&amp;A</t>
  </si>
  <si>
    <t>COGS excluding D&amp;A</t>
  </si>
  <si>
    <t>Depreciation &amp; Amortization Expense</t>
  </si>
  <si>
    <t>Depreciation</t>
  </si>
  <si>
    <t>Gross Income</t>
  </si>
  <si>
    <t>SG&amp;A Expense</t>
  </si>
  <si>
    <t>Other SG&amp;A</t>
  </si>
  <si>
    <t>EBIT (Operating Income)</t>
  </si>
  <si>
    <t>Nonoperating Income - Net</t>
  </si>
  <si>
    <t>Nonoperating Interest Income</t>
  </si>
  <si>
    <t>Other Income (Expense)</t>
  </si>
  <si>
    <t>Interest Expense</t>
  </si>
  <si>
    <t>Gross Interest Expense</t>
  </si>
  <si>
    <t>Interest Capitalized</t>
  </si>
  <si>
    <t>Unusual Expense - Net</t>
  </si>
  <si>
    <t>Impairments</t>
  </si>
  <si>
    <t>Other Intangibles</t>
  </si>
  <si>
    <t>Restructuring Expense</t>
  </si>
  <si>
    <t>Legal Claim Expense</t>
  </si>
  <si>
    <t>Unrealized Valuation Gain/Loss</t>
  </si>
  <si>
    <t>Investments</t>
  </si>
  <si>
    <t>Hedges/Derivatives</t>
  </si>
  <si>
    <t>Excpl Chrgs - Others</t>
  </si>
  <si>
    <t>Restructuring of Debt</t>
  </si>
  <si>
    <t>Other Unusual Expense</t>
  </si>
  <si>
    <t>Pretax Income</t>
  </si>
  <si>
    <t>Income Taxes</t>
  </si>
  <si>
    <t>Income Taxes - Current Domestic</t>
  </si>
  <si>
    <t>Income Taxes - Current Foreign</t>
  </si>
  <si>
    <t>Income Taxes - Deferred Domestic</t>
  </si>
  <si>
    <t>Income Taxes - Deferred Foreign</t>
  </si>
  <si>
    <t>Consolidated Net Income</t>
  </si>
  <si>
    <t>Minority Interest</t>
  </si>
  <si>
    <t>Net Income</t>
  </si>
  <si>
    <t>Discontinued Operations</t>
  </si>
  <si>
    <t>Net Income available to Common</t>
  </si>
  <si>
    <t>Per Share</t>
  </si>
  <si>
    <t>EPS (recurring)</t>
  </si>
  <si>
    <t>EPS (basic)</t>
  </si>
  <si>
    <t>Basic Shares Outstanding (M)</t>
  </si>
  <si>
    <t>Total Shares Outstanding (M)</t>
  </si>
  <si>
    <t>EPS (diluted)</t>
  </si>
  <si>
    <t>Diluted Shares Outstanding (M)</t>
  </si>
  <si>
    <t>Earnings Persistence</t>
  </si>
  <si>
    <t>Dividends per Share</t>
  </si>
  <si>
    <t>Payout Ratio</t>
  </si>
  <si>
    <t>EBITDA</t>
  </si>
  <si>
    <t>All figures in billions of U.S. Dollar except per share and labeled items.</t>
  </si>
  <si>
    <t>2015A</t>
  </si>
  <si>
    <t>2016A</t>
  </si>
  <si>
    <t>2017A</t>
  </si>
  <si>
    <t>2018A</t>
  </si>
  <si>
    <t>2019A</t>
  </si>
  <si>
    <t>2020A</t>
  </si>
  <si>
    <t>2021A</t>
  </si>
  <si>
    <t>2022A</t>
  </si>
  <si>
    <t>2023A</t>
  </si>
  <si>
    <t>2024A</t>
  </si>
  <si>
    <t>2025F</t>
  </si>
  <si>
    <t>2026F</t>
  </si>
  <si>
    <t>2027F</t>
  </si>
  <si>
    <t>2028F</t>
  </si>
  <si>
    <t>2029F</t>
  </si>
  <si>
    <t>2030F</t>
  </si>
  <si>
    <t>WALMART DCF model</t>
  </si>
  <si>
    <t>Stock price</t>
  </si>
  <si>
    <t>Stock price forecast</t>
  </si>
  <si>
    <t xml:space="preserve">Delta </t>
  </si>
  <si>
    <t>Scenario</t>
  </si>
  <si>
    <t>1. Pessimistic case</t>
  </si>
  <si>
    <t>2. Base case</t>
  </si>
  <si>
    <t>3. Optimistic case</t>
  </si>
  <si>
    <t>Case selected</t>
  </si>
  <si>
    <t>Revenue g %</t>
  </si>
  <si>
    <t>WACC</t>
  </si>
  <si>
    <t>TGR</t>
  </si>
  <si>
    <t>Income statement</t>
  </si>
  <si>
    <t>Pessimistic case</t>
  </si>
  <si>
    <t>Base case</t>
  </si>
  <si>
    <t>Optimistic case</t>
  </si>
  <si>
    <t>% sales</t>
  </si>
  <si>
    <t>% Tax rate</t>
  </si>
  <si>
    <t>Cash flow statement</t>
  </si>
  <si>
    <t>Less: Change in WC</t>
  </si>
  <si>
    <t>Discounted Cash Flow</t>
  </si>
  <si>
    <t>Discount period</t>
  </si>
  <si>
    <t>Discount using mid year convention</t>
  </si>
  <si>
    <t>Discounted FCF</t>
  </si>
  <si>
    <t>Terminal value (TV)</t>
  </si>
  <si>
    <t>Plus: Cash</t>
  </si>
  <si>
    <t>Equity value</t>
  </si>
  <si>
    <t>Divided: Shares outstanding</t>
  </si>
  <si>
    <t>Sensitivity analysis</t>
  </si>
  <si>
    <t>TGR &gt;&gt;</t>
  </si>
  <si>
    <t>WACC &gt;&gt;</t>
  </si>
  <si>
    <t>WACC calculation</t>
  </si>
  <si>
    <t>all values in B$</t>
  </si>
  <si>
    <t>Formula used</t>
  </si>
  <si>
    <t>WACC = Re*E/V + Rd*(1-t)*D/V</t>
  </si>
  <si>
    <t>Re = Rf + Be*(MRP)</t>
  </si>
  <si>
    <t>V = D + E</t>
  </si>
  <si>
    <t>Items</t>
  </si>
  <si>
    <t>Value</t>
  </si>
  <si>
    <t>Source</t>
  </si>
  <si>
    <t>E</t>
  </si>
  <si>
    <t>Factset</t>
  </si>
  <si>
    <t>D</t>
  </si>
  <si>
    <t>Value (E + D)</t>
  </si>
  <si>
    <t>E/V</t>
  </si>
  <si>
    <t>D/V</t>
  </si>
  <si>
    <t>Re</t>
  </si>
  <si>
    <t>Rf</t>
  </si>
  <si>
    <t>Google</t>
  </si>
  <si>
    <t>Bequity</t>
  </si>
  <si>
    <t>MRP</t>
  </si>
  <si>
    <t>Damodoran</t>
  </si>
  <si>
    <t>Rd</t>
  </si>
  <si>
    <t>1-t</t>
  </si>
  <si>
    <t xml:space="preserve">$97.72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</si>
</sst>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FF40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3366"/>
      <name val="Arial"/>
      <family val="2"/>
    </font>
    <font>
      <sz val="10"/>
      <color rgb="FFFF0000"/>
      <name val="Arial"/>
      <family val="2"/>
    </font>
    <font>
      <sz val="10"/>
      <color rgb="FF646464"/>
      <name val="Arial"/>
      <family val="2"/>
    </font>
    <font>
      <b/>
      <sz val="10"/>
      <color rgb="FFFFFFFF"/>
      <name val="Arial"/>
      <family val="2"/>
    </font>
    <font>
      <b/>
      <sz val="18"/>
      <color rgb="FF000000"/>
      <name val="Arial"/>
      <family val="2"/>
    </font>
    <font>
      <sz val="10"/>
      <color rgb="FFFFFFFF"/>
      <name val="Arial"/>
      <family val="2"/>
    </font>
    <font>
      <i/>
      <sz val="10"/>
      <color rgb="FF000000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8C8C8"/>
        <bgColor rgb="FF000000"/>
      </patternFill>
    </fill>
    <fill>
      <patternFill patternType="solid">
        <fgColor rgb="FFF0F0F0"/>
        <bgColor rgb="FF000000"/>
      </patternFill>
    </fill>
    <fill>
      <patternFill patternType="solid">
        <fgColor rgb="FF0E2741"/>
        <bgColor rgb="FF000000"/>
      </patternFill>
    </fill>
    <fill>
      <patternFill patternType="solid">
        <fgColor rgb="FF0E9ED5"/>
        <bgColor rgb="FF000000"/>
      </patternFill>
    </fill>
    <fill>
      <patternFill patternType="solid">
        <fgColor rgb="FF747474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theme="3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/>
    </xf>
    <xf numFmtId="0" fontId="4" fillId="0" borderId="0" xfId="0" applyFont="1"/>
    <xf numFmtId="0" fontId="5" fillId="3" borderId="0" xfId="0" applyFont="1" applyFill="1" applyAlignment="1">
      <alignment horizontal="left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right"/>
    </xf>
    <xf numFmtId="0" fontId="5" fillId="3" borderId="0" xfId="0" applyFont="1" applyFill="1" applyAlignment="1">
      <alignment horizontal="left" indent="3"/>
    </xf>
    <xf numFmtId="0" fontId="5" fillId="3" borderId="0" xfId="0" applyFont="1" applyFill="1" applyAlignment="1">
      <alignment horizontal="right"/>
    </xf>
    <xf numFmtId="0" fontId="3" fillId="0" borderId="0" xfId="0" applyFont="1" applyAlignment="1">
      <alignment horizontal="left" indent="4"/>
    </xf>
    <xf numFmtId="0" fontId="6" fillId="0" borderId="0" xfId="0" applyFont="1" applyAlignment="1">
      <alignment horizontal="right"/>
    </xf>
    <xf numFmtId="0" fontId="3" fillId="3" borderId="0" xfId="0" applyFont="1" applyFill="1" applyAlignment="1">
      <alignment horizontal="left" indent="1"/>
    </xf>
    <xf numFmtId="0" fontId="3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3" fillId="3" borderId="0" xfId="0" applyFont="1" applyFill="1" applyAlignment="1">
      <alignment horizontal="left" indent="4"/>
    </xf>
    <xf numFmtId="0" fontId="4" fillId="3" borderId="0" xfId="0" applyFont="1" applyFill="1" applyAlignment="1">
      <alignment horizontal="left" indent="1"/>
    </xf>
    <xf numFmtId="0" fontId="4" fillId="3" borderId="0" xfId="0" applyFont="1" applyFill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indent="3"/>
    </xf>
    <xf numFmtId="0" fontId="5" fillId="0" borderId="0" xfId="0" applyFont="1" applyAlignment="1">
      <alignment horizontal="right"/>
    </xf>
    <xf numFmtId="0" fontId="5" fillId="3" borderId="0" xfId="0" applyFont="1" applyFill="1" applyAlignment="1">
      <alignment horizontal="left" indent="6"/>
    </xf>
    <xf numFmtId="0" fontId="3" fillId="0" borderId="0" xfId="0" applyFont="1" applyAlignment="1">
      <alignment horizontal="left" indent="7"/>
    </xf>
    <xf numFmtId="0" fontId="3" fillId="3" borderId="0" xfId="0" applyFont="1" applyFill="1" applyAlignment="1">
      <alignment horizontal="left" indent="7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2" xfId="0" applyFont="1" applyBorder="1"/>
    <xf numFmtId="0" fontId="3" fillId="0" borderId="3" xfId="0" applyFont="1" applyBorder="1"/>
    <xf numFmtId="0" fontId="5" fillId="0" borderId="0" xfId="0" applyFont="1" applyAlignment="1">
      <alignment horizontal="left" indent="6"/>
    </xf>
    <xf numFmtId="0" fontId="3" fillId="3" borderId="0" xfId="0" applyFont="1" applyFill="1" applyAlignment="1">
      <alignment horizontal="left"/>
    </xf>
    <xf numFmtId="4" fontId="3" fillId="3" borderId="0" xfId="0" applyNumberFormat="1" applyFont="1" applyFill="1" applyAlignment="1">
      <alignment horizontal="right"/>
    </xf>
    <xf numFmtId="4" fontId="3" fillId="0" borderId="0" xfId="0" applyNumberFormat="1" applyFont="1" applyAlignment="1">
      <alignment horizontal="right"/>
    </xf>
    <xf numFmtId="9" fontId="3" fillId="0" borderId="0" xfId="0" applyNumberFormat="1" applyFont="1"/>
    <xf numFmtId="0" fontId="8" fillId="4" borderId="0" xfId="0" applyFont="1" applyFill="1"/>
    <xf numFmtId="0" fontId="8" fillId="4" borderId="4" xfId="0" applyFont="1" applyFill="1" applyBorder="1"/>
    <xf numFmtId="0" fontId="8" fillId="5" borderId="0" xfId="0" applyFont="1" applyFill="1"/>
    <xf numFmtId="0" fontId="9" fillId="0" borderId="1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4" xfId="0" applyFont="1" applyBorder="1"/>
    <xf numFmtId="0" fontId="10" fillId="4" borderId="0" xfId="0" applyFont="1" applyFill="1"/>
    <xf numFmtId="0" fontId="10" fillId="4" borderId="4" xfId="0" applyFont="1" applyFill="1" applyBorder="1"/>
    <xf numFmtId="14" fontId="3" fillId="0" borderId="0" xfId="0" applyNumberFormat="1" applyFont="1"/>
    <xf numFmtId="0" fontId="3" fillId="0" borderId="6" xfId="0" applyFont="1" applyBorder="1"/>
    <xf numFmtId="0" fontId="8" fillId="6" borderId="0" xfId="0" applyFont="1" applyFill="1"/>
    <xf numFmtId="0" fontId="10" fillId="6" borderId="0" xfId="0" applyFont="1" applyFill="1"/>
    <xf numFmtId="10" fontId="3" fillId="0" borderId="0" xfId="0" applyNumberFormat="1" applyFont="1"/>
    <xf numFmtId="0" fontId="11" fillId="0" borderId="0" xfId="0" applyFont="1" applyAlignment="1">
      <alignment horizontal="left" indent="1"/>
    </xf>
    <xf numFmtId="0" fontId="11" fillId="0" borderId="0" xfId="0" applyFont="1"/>
    <xf numFmtId="0" fontId="11" fillId="0" borderId="4" xfId="0" applyFont="1" applyBorder="1"/>
    <xf numFmtId="9" fontId="11" fillId="0" borderId="0" xfId="0" applyNumberFormat="1" applyFont="1"/>
    <xf numFmtId="9" fontId="11" fillId="0" borderId="4" xfId="0" applyNumberFormat="1" applyFont="1" applyBorder="1"/>
    <xf numFmtId="0" fontId="2" fillId="0" borderId="4" xfId="0" applyFont="1" applyBorder="1"/>
    <xf numFmtId="0" fontId="4" fillId="0" borderId="4" xfId="0" applyFont="1" applyBorder="1"/>
    <xf numFmtId="3" fontId="3" fillId="0" borderId="5" xfId="0" applyNumberFormat="1" applyFont="1" applyBorder="1"/>
    <xf numFmtId="9" fontId="3" fillId="0" borderId="1" xfId="0" applyNumberFormat="1" applyFont="1" applyBorder="1"/>
    <xf numFmtId="10" fontId="3" fillId="0" borderId="1" xfId="0" applyNumberFormat="1" applyFont="1" applyBorder="1"/>
    <xf numFmtId="10" fontId="3" fillId="0" borderId="4" xfId="0" applyNumberFormat="1" applyFont="1" applyBorder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11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4" fillId="0" borderId="8" xfId="0" applyFont="1" applyBorder="1"/>
    <xf numFmtId="10" fontId="4" fillId="0" borderId="9" xfId="0" applyNumberFormat="1" applyFont="1" applyBorder="1"/>
    <xf numFmtId="164" fontId="11" fillId="0" borderId="0" xfId="1" applyNumberFormat="1" applyFont="1"/>
    <xf numFmtId="164" fontId="11" fillId="0" borderId="4" xfId="1" applyNumberFormat="1" applyFont="1" applyBorder="1"/>
    <xf numFmtId="2" fontId="3" fillId="0" borderId="4" xfId="0" applyNumberFormat="1" applyFont="1" applyBorder="1"/>
    <xf numFmtId="164" fontId="11" fillId="7" borderId="0" xfId="1" applyNumberFormat="1" applyFont="1" applyFill="1"/>
    <xf numFmtId="164" fontId="11" fillId="7" borderId="0" xfId="0" applyNumberFormat="1" applyFont="1" applyFill="1"/>
    <xf numFmtId="164" fontId="11" fillId="0" borderId="0" xfId="0" applyNumberFormat="1" applyFont="1"/>
    <xf numFmtId="2" fontId="3" fillId="0" borderId="0" xfId="0" applyNumberFormat="1" applyFont="1"/>
    <xf numFmtId="164" fontId="11" fillId="0" borderId="4" xfId="0" applyNumberFormat="1" applyFont="1" applyBorder="1"/>
    <xf numFmtId="165" fontId="3" fillId="0" borderId="4" xfId="0" applyNumberFormat="1" applyFont="1" applyBorder="1"/>
    <xf numFmtId="9" fontId="11" fillId="0" borderId="0" xfId="1" applyFont="1"/>
    <xf numFmtId="0" fontId="12" fillId="8" borderId="1" xfId="0" applyFont="1" applyFill="1" applyBorder="1"/>
    <xf numFmtId="0" fontId="13" fillId="8" borderId="1" xfId="0" applyFont="1" applyFill="1" applyBorder="1"/>
    <xf numFmtId="0" fontId="13" fillId="8" borderId="5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7463E-1F05-4028-BBF5-CF0C026FF9D8}">
  <dimension ref="A1:R78"/>
  <sheetViews>
    <sheetView showGridLines="0" tabSelected="1" workbookViewId="0">
      <selection activeCell="E7" sqref="E7"/>
    </sheetView>
  </sheetViews>
  <sheetFormatPr defaultRowHeight="14.4" x14ac:dyDescent="0.3"/>
  <cols>
    <col min="1" max="1" width="19.21875" customWidth="1"/>
    <col min="2" max="2" width="29.109375" customWidth="1"/>
    <col min="4" max="4" width="12.88671875" customWidth="1"/>
    <col min="10" max="10" width="11.44140625" customWidth="1"/>
    <col min="12" max="12" width="16.6640625" customWidth="1"/>
    <col min="13" max="13" width="11.5546875" bestFit="1" customWidth="1"/>
  </cols>
  <sheetData>
    <row r="1" spans="1:18" x14ac:dyDescent="0.3">
      <c r="A1" s="2"/>
      <c r="B1" s="2"/>
      <c r="C1" s="33" t="s">
        <v>127</v>
      </c>
      <c r="D1" s="33" t="s">
        <v>128</v>
      </c>
      <c r="E1" s="33" t="s">
        <v>129</v>
      </c>
      <c r="F1" s="33" t="s">
        <v>130</v>
      </c>
      <c r="G1" s="33" t="s">
        <v>131</v>
      </c>
      <c r="H1" s="33" t="s">
        <v>132</v>
      </c>
      <c r="I1" s="33" t="s">
        <v>133</v>
      </c>
      <c r="J1" s="33" t="s">
        <v>134</v>
      </c>
      <c r="K1" s="33" t="s">
        <v>135</v>
      </c>
      <c r="L1" s="34" t="s">
        <v>136</v>
      </c>
      <c r="M1" s="35" t="s">
        <v>137</v>
      </c>
      <c r="N1" s="35" t="s">
        <v>138</v>
      </c>
      <c r="O1" s="35" t="s">
        <v>139</v>
      </c>
      <c r="P1" s="35" t="s">
        <v>140</v>
      </c>
      <c r="Q1" s="35" t="s">
        <v>141</v>
      </c>
      <c r="R1" s="35" t="s">
        <v>142</v>
      </c>
    </row>
    <row r="2" spans="1:18" ht="22.8" x14ac:dyDescent="0.4">
      <c r="A2" s="76" t="s">
        <v>143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8"/>
      <c r="M2" s="77"/>
      <c r="N2" s="77"/>
      <c r="O2" s="77"/>
      <c r="P2" s="77"/>
      <c r="Q2" s="77"/>
      <c r="R2" s="77"/>
    </row>
    <row r="3" spans="1:18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9"/>
      <c r="M3" s="2"/>
      <c r="N3" s="2"/>
      <c r="O3" s="2"/>
      <c r="P3" s="2"/>
      <c r="Q3" s="2"/>
      <c r="R3" s="2"/>
    </row>
    <row r="4" spans="1:18" x14ac:dyDescent="0.3">
      <c r="A4" s="33" t="s">
        <v>0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1"/>
      <c r="M4" s="40"/>
      <c r="N4" s="40"/>
      <c r="O4" s="40"/>
      <c r="P4" s="40"/>
      <c r="Q4" s="40"/>
      <c r="R4" s="40"/>
    </row>
    <row r="5" spans="1:18" x14ac:dyDescent="0.3">
      <c r="A5" s="2" t="s">
        <v>1</v>
      </c>
      <c r="B5" s="7" t="s">
        <v>3</v>
      </c>
      <c r="C5" s="2"/>
      <c r="D5" s="2"/>
      <c r="E5" s="2"/>
      <c r="F5" s="2"/>
      <c r="G5" s="2"/>
      <c r="H5" s="2"/>
      <c r="I5" s="2"/>
      <c r="J5" s="2"/>
      <c r="K5" s="2"/>
      <c r="L5" s="39"/>
      <c r="M5" s="2"/>
      <c r="N5" s="2"/>
      <c r="O5" s="2"/>
      <c r="P5" s="2"/>
      <c r="Q5" s="2"/>
      <c r="R5" s="2"/>
    </row>
    <row r="6" spans="1:18" x14ac:dyDescent="0.3">
      <c r="A6" s="2" t="s">
        <v>2</v>
      </c>
      <c r="B6" s="42">
        <v>46177</v>
      </c>
      <c r="C6" s="2"/>
      <c r="D6" s="2"/>
      <c r="E6" s="2"/>
      <c r="F6" s="2"/>
      <c r="G6" s="2"/>
      <c r="H6" s="2"/>
      <c r="I6" s="2"/>
      <c r="J6" s="2"/>
      <c r="K6" s="2"/>
      <c r="L6" s="39"/>
      <c r="M6" s="2"/>
      <c r="N6" s="2"/>
      <c r="O6" s="2"/>
      <c r="P6" s="2"/>
      <c r="Q6" s="2"/>
      <c r="R6" s="2"/>
    </row>
    <row r="7" spans="1:18" x14ac:dyDescent="0.3">
      <c r="A7" s="2" t="s">
        <v>144</v>
      </c>
      <c r="B7" s="7" t="s">
        <v>197</v>
      </c>
      <c r="C7" s="2"/>
      <c r="D7" s="2"/>
      <c r="E7" s="2"/>
      <c r="F7" s="2"/>
      <c r="G7" s="2"/>
      <c r="H7" s="2"/>
      <c r="I7" s="2"/>
      <c r="J7" s="2"/>
      <c r="K7" s="2"/>
      <c r="L7" s="39"/>
      <c r="M7" s="2"/>
      <c r="N7" s="2"/>
      <c r="O7" s="2"/>
      <c r="P7" s="2"/>
      <c r="Q7" s="2"/>
      <c r="R7" s="2"/>
    </row>
    <row r="8" spans="1:18" x14ac:dyDescent="0.3">
      <c r="A8" s="2" t="s">
        <v>145</v>
      </c>
      <c r="B8" s="43">
        <v>66.7</v>
      </c>
      <c r="C8" s="2"/>
      <c r="D8" s="2"/>
      <c r="E8" s="2"/>
      <c r="F8" s="2"/>
      <c r="G8" s="2"/>
      <c r="H8" s="2"/>
      <c r="I8" s="2"/>
      <c r="J8" s="2"/>
      <c r="K8" s="2"/>
      <c r="L8" s="39"/>
      <c r="M8" s="2"/>
      <c r="N8" s="2"/>
      <c r="O8" s="2"/>
      <c r="P8" s="2"/>
      <c r="Q8" s="2"/>
      <c r="R8" s="2"/>
    </row>
    <row r="9" spans="1:18" x14ac:dyDescent="0.3">
      <c r="A9" s="2" t="s">
        <v>146</v>
      </c>
      <c r="B9" s="32">
        <v>-0.32</v>
      </c>
      <c r="C9" s="2"/>
      <c r="D9" s="2"/>
      <c r="E9" s="2"/>
      <c r="F9" s="2"/>
      <c r="G9" s="2"/>
      <c r="H9" s="2"/>
      <c r="I9" s="2"/>
      <c r="J9" s="2"/>
      <c r="K9" s="2"/>
      <c r="L9" s="39"/>
      <c r="M9" s="2"/>
      <c r="N9" s="2"/>
      <c r="O9" s="2"/>
      <c r="P9" s="2"/>
      <c r="Q9" s="2"/>
      <c r="R9" s="2"/>
    </row>
    <row r="10" spans="1:18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39"/>
      <c r="M10" s="2"/>
      <c r="N10" s="2"/>
      <c r="O10" s="2"/>
      <c r="P10" s="2"/>
      <c r="Q10" s="2"/>
      <c r="R10" s="2"/>
    </row>
    <row r="11" spans="1:18" x14ac:dyDescent="0.3">
      <c r="A11" s="33" t="s">
        <v>4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1"/>
      <c r="M11" s="40"/>
      <c r="N11" s="40"/>
      <c r="O11" s="40"/>
      <c r="P11" s="40"/>
      <c r="Q11" s="40"/>
      <c r="R11" s="40"/>
    </row>
    <row r="12" spans="1:18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39"/>
      <c r="M12" s="2"/>
      <c r="N12" s="2"/>
      <c r="O12" s="2"/>
      <c r="P12" s="2"/>
      <c r="Q12" s="2"/>
      <c r="R12" s="2"/>
    </row>
    <row r="13" spans="1:18" x14ac:dyDescent="0.3">
      <c r="A13" s="44" t="s">
        <v>147</v>
      </c>
      <c r="B13" s="45"/>
      <c r="C13" s="2"/>
      <c r="D13" s="44" t="s">
        <v>148</v>
      </c>
      <c r="E13" s="45"/>
      <c r="F13" s="2"/>
      <c r="G13" s="44" t="s">
        <v>149</v>
      </c>
      <c r="H13" s="45"/>
      <c r="I13" s="2"/>
      <c r="J13" s="44" t="s">
        <v>150</v>
      </c>
      <c r="K13" s="45"/>
      <c r="L13" s="39"/>
      <c r="M13" s="2"/>
      <c r="N13" s="2"/>
      <c r="O13" s="2"/>
      <c r="P13" s="2"/>
      <c r="Q13" s="2"/>
      <c r="R13" s="2"/>
    </row>
    <row r="14" spans="1:18" x14ac:dyDescent="0.3">
      <c r="A14" s="2" t="s">
        <v>151</v>
      </c>
      <c r="B14" s="43">
        <v>2</v>
      </c>
      <c r="C14" s="2"/>
      <c r="D14" s="2" t="s">
        <v>152</v>
      </c>
      <c r="E14" s="32">
        <v>0.8</v>
      </c>
      <c r="F14" s="2"/>
      <c r="G14" s="2"/>
      <c r="H14" s="2"/>
      <c r="I14" s="2"/>
      <c r="J14" s="2" t="s">
        <v>152</v>
      </c>
      <c r="K14" s="32">
        <v>1.2</v>
      </c>
      <c r="L14" s="39"/>
      <c r="M14" s="2"/>
      <c r="N14" s="2"/>
      <c r="O14" s="2"/>
      <c r="P14" s="2"/>
      <c r="Q14" s="2"/>
      <c r="R14" s="2"/>
    </row>
    <row r="15" spans="1:18" x14ac:dyDescent="0.3">
      <c r="A15" s="2" t="s">
        <v>153</v>
      </c>
      <c r="B15" s="32">
        <f>CHOOSE($B$14,E15,H15,K15)</f>
        <v>7.5700000000000003E-2</v>
      </c>
      <c r="C15" s="2"/>
      <c r="D15" s="2" t="s">
        <v>153</v>
      </c>
      <c r="E15" s="46">
        <v>8.5000000000000006E-2</v>
      </c>
      <c r="F15" s="2"/>
      <c r="G15" s="2" t="s">
        <v>153</v>
      </c>
      <c r="H15" s="46">
        <v>7.5700000000000003E-2</v>
      </c>
      <c r="I15" s="2"/>
      <c r="J15" s="2" t="s">
        <v>153</v>
      </c>
      <c r="K15" s="32">
        <v>7.0000000000000007E-2</v>
      </c>
      <c r="L15" s="39"/>
      <c r="M15" s="2"/>
      <c r="N15" s="2"/>
      <c r="O15" s="2"/>
      <c r="P15" s="2"/>
      <c r="Q15" s="2"/>
      <c r="R15" s="2"/>
    </row>
    <row r="16" spans="1:18" x14ac:dyDescent="0.3">
      <c r="A16" s="2" t="s">
        <v>154</v>
      </c>
      <c r="B16" s="32">
        <f>CHOOSE($B$14,E16,H16,K16)</f>
        <v>0.05</v>
      </c>
      <c r="C16" s="2"/>
      <c r="D16" s="2" t="s">
        <v>154</v>
      </c>
      <c r="E16" s="46">
        <v>0.04</v>
      </c>
      <c r="F16" s="2"/>
      <c r="G16" s="2" t="s">
        <v>154</v>
      </c>
      <c r="H16" s="32">
        <v>0.05</v>
      </c>
      <c r="I16" s="2"/>
      <c r="J16" s="2" t="s">
        <v>154</v>
      </c>
      <c r="K16" s="46">
        <v>5.5E-2</v>
      </c>
      <c r="L16" s="39"/>
      <c r="M16" s="2"/>
      <c r="N16" s="2"/>
      <c r="O16" s="2"/>
      <c r="P16" s="2"/>
      <c r="Q16" s="2"/>
      <c r="R16" s="2"/>
    </row>
    <row r="17" spans="1:18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39"/>
      <c r="M17" s="2"/>
      <c r="N17" s="2"/>
      <c r="O17" s="2"/>
      <c r="P17" s="2"/>
      <c r="Q17" s="2"/>
      <c r="R17" s="2"/>
    </row>
    <row r="18" spans="1:18" x14ac:dyDescent="0.3">
      <c r="A18" s="33" t="s">
        <v>155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1"/>
      <c r="M18" s="40"/>
      <c r="N18" s="40"/>
      <c r="O18" s="40"/>
      <c r="P18" s="40"/>
      <c r="Q18" s="40"/>
      <c r="R18" s="40"/>
    </row>
    <row r="19" spans="1:18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39"/>
      <c r="M19" s="2"/>
      <c r="N19" s="2"/>
      <c r="O19" s="2"/>
      <c r="P19" s="2"/>
      <c r="Q19" s="2"/>
      <c r="R19" s="2"/>
    </row>
    <row r="20" spans="1:18" x14ac:dyDescent="0.3">
      <c r="A20" s="2" t="s">
        <v>5</v>
      </c>
      <c r="B20" s="2"/>
      <c r="C20" s="1">
        <v>482.13</v>
      </c>
      <c r="D20" s="1">
        <v>485.14</v>
      </c>
      <c r="E20" s="1">
        <v>499.91</v>
      </c>
      <c r="F20" s="1">
        <v>514.41</v>
      </c>
      <c r="G20" s="1">
        <v>523.96</v>
      </c>
      <c r="H20" s="1">
        <v>559.15</v>
      </c>
      <c r="I20" s="1">
        <v>572.75</v>
      </c>
      <c r="J20" s="1">
        <v>611.29</v>
      </c>
      <c r="K20" s="1">
        <v>648.13</v>
      </c>
      <c r="L20" s="39">
        <v>678.92</v>
      </c>
      <c r="M20" s="2">
        <v>715.12</v>
      </c>
      <c r="N20" s="2">
        <v>751.26</v>
      </c>
      <c r="O20" s="2">
        <v>793.17</v>
      </c>
      <c r="P20" s="2">
        <v>835.59</v>
      </c>
      <c r="Q20" s="2">
        <v>879.14</v>
      </c>
      <c r="R20" s="2">
        <v>925.78</v>
      </c>
    </row>
    <row r="21" spans="1:18" x14ac:dyDescent="0.3">
      <c r="A21" s="47" t="s">
        <v>6</v>
      </c>
      <c r="B21" s="2"/>
      <c r="C21" s="2"/>
      <c r="D21" s="66">
        <f>D20/C20-1</f>
        <v>6.243129446414919E-3</v>
      </c>
      <c r="E21" s="66">
        <f t="shared" ref="E21:K21" si="0">E20/D20-1</f>
        <v>3.0444820051943822E-2</v>
      </c>
      <c r="F21" s="66">
        <f t="shared" si="0"/>
        <v>2.9005220939769094E-2</v>
      </c>
      <c r="G21" s="66">
        <f t="shared" si="0"/>
        <v>1.8564957912948987E-2</v>
      </c>
      <c r="H21" s="66">
        <f t="shared" si="0"/>
        <v>6.7161615390487706E-2</v>
      </c>
      <c r="I21" s="66">
        <f t="shared" si="0"/>
        <v>2.4322632567289615E-2</v>
      </c>
      <c r="J21" s="66">
        <f t="shared" si="0"/>
        <v>6.7289393278044507E-2</v>
      </c>
      <c r="K21" s="66">
        <f t="shared" si="0"/>
        <v>6.0265994863321959E-2</v>
      </c>
      <c r="L21" s="67">
        <f>AVERAGE(G21:K21)</f>
        <v>4.7520918802418557E-2</v>
      </c>
      <c r="M21" s="71">
        <f>CHOOSE($B$14,M22,M23,M24)</f>
        <v>5.3312110980312466E-2</v>
      </c>
      <c r="N21" s="71">
        <f t="shared" ref="N21:R21" si="1">CHOOSE($B$14,N22,N23,N24)</f>
        <v>5.0542210098277418E-2</v>
      </c>
      <c r="O21" s="71">
        <f t="shared" si="1"/>
        <v>5.5786125604474976E-2</v>
      </c>
      <c r="P21" s="71">
        <f t="shared" si="1"/>
        <v>5.3485472069761078E-2</v>
      </c>
      <c r="Q21" s="71">
        <f t="shared" si="1"/>
        <v>5.2129367511048894E-2</v>
      </c>
      <c r="R21" s="71">
        <f t="shared" si="1"/>
        <v>5.3051057252774966E-2</v>
      </c>
    </row>
    <row r="22" spans="1:18" x14ac:dyDescent="0.3">
      <c r="A22" s="47" t="s">
        <v>156</v>
      </c>
      <c r="B22" s="2"/>
      <c r="C22" s="2"/>
      <c r="D22" s="48"/>
      <c r="E22" s="48"/>
      <c r="F22" s="48"/>
      <c r="G22" s="48"/>
      <c r="H22" s="48"/>
      <c r="I22" s="48"/>
      <c r="J22" s="48"/>
      <c r="K22" s="48"/>
      <c r="L22" s="49"/>
      <c r="M22" s="70">
        <f>$E$14*M23</f>
        <v>4.2649688784249976E-2</v>
      </c>
      <c r="N22" s="70">
        <f t="shared" ref="N22:R22" si="2">$E$14*N23</f>
        <v>4.0433768078621937E-2</v>
      </c>
      <c r="O22" s="70">
        <f t="shared" si="2"/>
        <v>4.4628900483579981E-2</v>
      </c>
      <c r="P22" s="70">
        <f t="shared" si="2"/>
        <v>4.2788377655808868E-2</v>
      </c>
      <c r="Q22" s="70">
        <f t="shared" si="2"/>
        <v>4.1703494008839118E-2</v>
      </c>
      <c r="R22" s="70">
        <f t="shared" si="2"/>
        <v>4.2440845802219976E-2</v>
      </c>
    </row>
    <row r="23" spans="1:18" x14ac:dyDescent="0.3">
      <c r="A23" s="47" t="s">
        <v>157</v>
      </c>
      <c r="B23" s="2"/>
      <c r="C23" s="2"/>
      <c r="D23" s="48"/>
      <c r="E23" s="48"/>
      <c r="F23" s="48"/>
      <c r="G23" s="48"/>
      <c r="H23" s="48"/>
      <c r="I23" s="48"/>
      <c r="J23" s="48"/>
      <c r="K23" s="48"/>
      <c r="L23" s="49"/>
      <c r="M23" s="69">
        <f>AVERAGE(H21:L21)</f>
        <v>5.3312110980312466E-2</v>
      </c>
      <c r="N23" s="69">
        <f t="shared" ref="N23:R23" si="3">AVERAGE(I21:M21)</f>
        <v>5.0542210098277418E-2</v>
      </c>
      <c r="O23" s="69">
        <f t="shared" si="3"/>
        <v>5.5786125604474976E-2</v>
      </c>
      <c r="P23" s="69">
        <f t="shared" si="3"/>
        <v>5.3485472069761078E-2</v>
      </c>
      <c r="Q23" s="69">
        <f t="shared" si="3"/>
        <v>5.2129367511048894E-2</v>
      </c>
      <c r="R23" s="69">
        <f t="shared" si="3"/>
        <v>5.3051057252774966E-2</v>
      </c>
    </row>
    <row r="24" spans="1:18" x14ac:dyDescent="0.3">
      <c r="A24" s="47" t="s">
        <v>158</v>
      </c>
      <c r="B24" s="2"/>
      <c r="C24" s="2"/>
      <c r="D24" s="48"/>
      <c r="E24" s="48"/>
      <c r="F24" s="48"/>
      <c r="G24" s="48"/>
      <c r="H24" s="48"/>
      <c r="I24" s="48"/>
      <c r="J24" s="48"/>
      <c r="K24" s="48"/>
      <c r="L24" s="49"/>
      <c r="M24" s="70">
        <f>$K$14*M23</f>
        <v>6.3974533176374956E-2</v>
      </c>
      <c r="N24" s="70">
        <f t="shared" ref="N24:R24" si="4">$K$14*N23</f>
        <v>6.0650652117932899E-2</v>
      </c>
      <c r="O24" s="70">
        <f t="shared" si="4"/>
        <v>6.6943350725369971E-2</v>
      </c>
      <c r="P24" s="70">
        <f t="shared" si="4"/>
        <v>6.4182566483713288E-2</v>
      </c>
      <c r="Q24" s="70">
        <f t="shared" si="4"/>
        <v>6.2555241013258669E-2</v>
      </c>
      <c r="R24" s="70">
        <f t="shared" si="4"/>
        <v>6.3661268703329957E-2</v>
      </c>
    </row>
    <row r="25" spans="1:18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39"/>
      <c r="M25" s="2"/>
      <c r="N25" s="2"/>
      <c r="O25" s="2"/>
      <c r="P25" s="2"/>
      <c r="Q25" s="2"/>
      <c r="R25" s="2"/>
    </row>
    <row r="26" spans="1:18" x14ac:dyDescent="0.3">
      <c r="A26" s="2" t="s">
        <v>7</v>
      </c>
      <c r="B26" s="2"/>
      <c r="C26" s="1">
        <v>24.11</v>
      </c>
      <c r="D26" s="1">
        <v>22.04</v>
      </c>
      <c r="E26" s="1">
        <v>21.2</v>
      </c>
      <c r="F26" s="1">
        <v>21.96</v>
      </c>
      <c r="G26" s="1">
        <v>21.47</v>
      </c>
      <c r="H26" s="1">
        <v>26.95</v>
      </c>
      <c r="I26" s="1">
        <v>28.44</v>
      </c>
      <c r="J26" s="1">
        <v>24.53</v>
      </c>
      <c r="K26" s="1">
        <v>27.01</v>
      </c>
      <c r="L26" s="68">
        <f>L20*L27</f>
        <v>29.958259152764708</v>
      </c>
      <c r="M26" s="72">
        <f>M20*M27</f>
        <v>32.006149351534731</v>
      </c>
      <c r="N26" s="72">
        <f t="shared" ref="N26:R26" si="5">N20*N27</f>
        <v>33.106502277964417</v>
      </c>
      <c r="O26" s="72">
        <f t="shared" si="5"/>
        <v>34.067070402252661</v>
      </c>
      <c r="P26" s="72">
        <f t="shared" si="5"/>
        <v>36.360684720986761</v>
      </c>
      <c r="Q26" s="72">
        <f t="shared" si="5"/>
        <v>38.579504624893957</v>
      </c>
      <c r="R26" s="72">
        <f t="shared" si="5"/>
        <v>40.581204472271786</v>
      </c>
    </row>
    <row r="27" spans="1:18" x14ac:dyDescent="0.3">
      <c r="A27" s="47" t="s">
        <v>159</v>
      </c>
      <c r="B27" s="2"/>
      <c r="C27" s="50">
        <f>C26/C20</f>
        <v>5.000725945284467E-2</v>
      </c>
      <c r="D27" s="50">
        <f t="shared" ref="D27:K27" si="6">D26/D20</f>
        <v>4.5430185101207901E-2</v>
      </c>
      <c r="E27" s="50">
        <f t="shared" si="6"/>
        <v>4.2407633374007318E-2</v>
      </c>
      <c r="F27" s="50">
        <f t="shared" si="6"/>
        <v>4.2689683326529428E-2</v>
      </c>
      <c r="G27" s="50">
        <f t="shared" si="6"/>
        <v>4.0976410413008618E-2</v>
      </c>
      <c r="H27" s="50">
        <f t="shared" si="6"/>
        <v>4.81981579182688E-2</v>
      </c>
      <c r="I27" s="50">
        <f t="shared" si="6"/>
        <v>4.9655172413793108E-2</v>
      </c>
      <c r="J27" s="50">
        <f t="shared" si="6"/>
        <v>4.0128253365832915E-2</v>
      </c>
      <c r="K27" s="50">
        <f t="shared" si="6"/>
        <v>4.167373829324364E-2</v>
      </c>
      <c r="L27" s="73">
        <f>AVERAGE(G27:K27)</f>
        <v>4.4126346480829422E-2</v>
      </c>
      <c r="M27" s="71">
        <f>AVERAGE(H27:L27)</f>
        <v>4.4756333694393573E-2</v>
      </c>
      <c r="N27" s="71">
        <f t="shared" ref="N27:R27" si="7">AVERAGE(I27:M27)</f>
        <v>4.4067968849618534E-2</v>
      </c>
      <c r="O27" s="71">
        <f t="shared" si="7"/>
        <v>4.2950528136783614E-2</v>
      </c>
      <c r="P27" s="71">
        <f t="shared" si="7"/>
        <v>4.3514983090973756E-2</v>
      </c>
      <c r="Q27" s="71">
        <f t="shared" si="7"/>
        <v>4.3883232050519777E-2</v>
      </c>
      <c r="R27" s="71">
        <f t="shared" si="7"/>
        <v>4.3834609164457847E-2</v>
      </c>
    </row>
    <row r="28" spans="1:18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39"/>
      <c r="M28" s="2"/>
      <c r="N28" s="2"/>
      <c r="O28" s="2"/>
      <c r="P28" s="2"/>
      <c r="Q28" s="2"/>
      <c r="R28" s="2"/>
    </row>
    <row r="29" spans="1:18" x14ac:dyDescent="0.3">
      <c r="A29" s="2" t="s">
        <v>8</v>
      </c>
      <c r="B29" s="2"/>
      <c r="C29" s="1">
        <v>6.56</v>
      </c>
      <c r="D29" s="1">
        <v>6.2</v>
      </c>
      <c r="E29" s="1">
        <v>4.5999999999999996</v>
      </c>
      <c r="F29" s="1">
        <v>4.28</v>
      </c>
      <c r="G29" s="1">
        <v>4.92</v>
      </c>
      <c r="H29" s="1">
        <v>6.86</v>
      </c>
      <c r="I29" s="1">
        <v>4.76</v>
      </c>
      <c r="J29" s="1">
        <v>5.72</v>
      </c>
      <c r="K29" s="1">
        <v>5.58</v>
      </c>
      <c r="L29" s="74">
        <f>L26*L30</f>
        <v>6.5359713955860324</v>
      </c>
      <c r="M29" s="72">
        <f>M26*M30</f>
        <v>6.9124233174849632</v>
      </c>
      <c r="N29" s="72">
        <f t="shared" ref="N29:R29" si="8">N26*N30</f>
        <v>6.8946601916833261</v>
      </c>
      <c r="O29" s="72">
        <f t="shared" si="8"/>
        <v>7.3732858064637572</v>
      </c>
      <c r="P29" s="72">
        <f t="shared" si="8"/>
        <v>7.7478984658121242</v>
      </c>
      <c r="Q29" s="72">
        <f t="shared" si="8"/>
        <v>8.2708043818463466</v>
      </c>
      <c r="R29" s="72">
        <f t="shared" si="8"/>
        <v>8.6692083447331854</v>
      </c>
    </row>
    <row r="30" spans="1:18" x14ac:dyDescent="0.3">
      <c r="A30" s="47" t="s">
        <v>160</v>
      </c>
      <c r="B30" s="2"/>
      <c r="C30" s="75">
        <f>C29/C26</f>
        <v>0.27208627125673995</v>
      </c>
      <c r="D30" s="75">
        <f t="shared" ref="D30:K30" si="9">D29/D26</f>
        <v>0.2813067150635209</v>
      </c>
      <c r="E30" s="75">
        <f t="shared" si="9"/>
        <v>0.21698113207547168</v>
      </c>
      <c r="F30" s="75">
        <f t="shared" si="9"/>
        <v>0.19489981785063754</v>
      </c>
      <c r="G30" s="75">
        <f t="shared" si="9"/>
        <v>0.22915696320447138</v>
      </c>
      <c r="H30" s="75">
        <f t="shared" si="9"/>
        <v>0.25454545454545457</v>
      </c>
      <c r="I30" s="75">
        <f t="shared" si="9"/>
        <v>0.16736990154711673</v>
      </c>
      <c r="J30" s="75">
        <f t="shared" si="9"/>
        <v>0.23318385650224213</v>
      </c>
      <c r="K30" s="75">
        <f t="shared" si="9"/>
        <v>0.20659015179563123</v>
      </c>
      <c r="L30" s="51">
        <f>AVERAGE(G30:K30)</f>
        <v>0.21816926551898322</v>
      </c>
      <c r="M30" s="50">
        <f>AVERAGE(H30:L30)</f>
        <v>0.21597172598188558</v>
      </c>
      <c r="N30" s="50">
        <f t="shared" ref="N30:R30" si="10">AVERAGE(I30:M30)</f>
        <v>0.20825698026917178</v>
      </c>
      <c r="O30" s="50">
        <f t="shared" si="10"/>
        <v>0.21643439601358277</v>
      </c>
      <c r="P30" s="50">
        <f t="shared" si="10"/>
        <v>0.21308450391585093</v>
      </c>
      <c r="Q30" s="50">
        <f t="shared" si="10"/>
        <v>0.21438337433989485</v>
      </c>
      <c r="R30" s="50">
        <f t="shared" si="10"/>
        <v>0.21362619610407715</v>
      </c>
    </row>
    <row r="31" spans="1:18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39"/>
      <c r="M31" s="2"/>
      <c r="N31" s="2"/>
      <c r="O31" s="2"/>
      <c r="P31" s="2"/>
      <c r="Q31" s="2"/>
      <c r="R31" s="2"/>
    </row>
    <row r="32" spans="1:18" x14ac:dyDescent="0.3">
      <c r="A32" s="2" t="s">
        <v>9</v>
      </c>
      <c r="B32" s="2"/>
      <c r="C32" s="2">
        <v>17.55</v>
      </c>
      <c r="D32" s="2">
        <v>15.83</v>
      </c>
      <c r="E32" s="2">
        <v>16.600000000000001</v>
      </c>
      <c r="F32" s="2">
        <v>17.68</v>
      </c>
      <c r="G32" s="2">
        <v>16.55</v>
      </c>
      <c r="H32" s="2">
        <v>20.09</v>
      </c>
      <c r="I32" s="2">
        <v>23.69</v>
      </c>
      <c r="J32" s="2">
        <v>18.8</v>
      </c>
      <c r="K32" s="2">
        <v>21.43</v>
      </c>
      <c r="L32" s="68">
        <f>L26-L29</f>
        <v>23.422287757178676</v>
      </c>
      <c r="M32" s="72">
        <f>M26-M29</f>
        <v>25.093726034049766</v>
      </c>
      <c r="N32" s="72">
        <f t="shared" ref="N32:R32" si="11">N26-N29</f>
        <v>26.211842086281091</v>
      </c>
      <c r="O32" s="72">
        <f t="shared" si="11"/>
        <v>26.693784595788905</v>
      </c>
      <c r="P32" s="72">
        <f t="shared" si="11"/>
        <v>28.612786255174637</v>
      </c>
      <c r="Q32" s="72">
        <f t="shared" si="11"/>
        <v>30.30870024304761</v>
      </c>
      <c r="R32" s="72">
        <f t="shared" si="11"/>
        <v>31.9119961275386</v>
      </c>
    </row>
    <row r="33" spans="1:18" x14ac:dyDescent="0.3">
      <c r="A33" s="47" t="s">
        <v>159</v>
      </c>
      <c r="B33" s="2"/>
      <c r="C33" s="50">
        <f>C32/C20</f>
        <v>3.6400970692551805E-2</v>
      </c>
      <c r="D33" s="50">
        <f t="shared" ref="D33:K33" si="12">D32/D20</f>
        <v>3.2629756358989161E-2</v>
      </c>
      <c r="E33" s="50">
        <f t="shared" si="12"/>
        <v>3.3205977075873659E-2</v>
      </c>
      <c r="F33" s="50">
        <f t="shared" si="12"/>
        <v>3.4369471822087438E-2</v>
      </c>
      <c r="G33" s="50">
        <f t="shared" si="12"/>
        <v>3.1586380639743492E-2</v>
      </c>
      <c r="H33" s="50">
        <f t="shared" si="12"/>
        <v>3.5929535902709468E-2</v>
      </c>
      <c r="I33" s="50">
        <f t="shared" si="12"/>
        <v>4.1361850720209516E-2</v>
      </c>
      <c r="J33" s="50">
        <f t="shared" si="12"/>
        <v>3.0754633643606148E-2</v>
      </c>
      <c r="K33" s="50">
        <f t="shared" si="12"/>
        <v>3.3064354373351028E-2</v>
      </c>
      <c r="L33" s="51">
        <f>L32/L20</f>
        <v>3.4499333879070698E-2</v>
      </c>
      <c r="M33" s="50">
        <f>M32/M20</f>
        <v>3.5090231057794172E-2</v>
      </c>
      <c r="N33" s="50">
        <f t="shared" ref="N33:R33" si="13">N32/N20</f>
        <v>3.4890506730401047E-2</v>
      </c>
      <c r="O33" s="50">
        <f t="shared" si="13"/>
        <v>3.3654556521034468E-2</v>
      </c>
      <c r="P33" s="50">
        <f t="shared" si="13"/>
        <v>3.4242614506126971E-2</v>
      </c>
      <c r="Q33" s="50">
        <f t="shared" si="13"/>
        <v>3.4475396686588722E-2</v>
      </c>
      <c r="R33" s="50">
        <f t="shared" si="13"/>
        <v>3.4470388350945798E-2</v>
      </c>
    </row>
    <row r="34" spans="1:18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39"/>
      <c r="M34" s="2"/>
      <c r="N34" s="2"/>
      <c r="O34" s="2"/>
      <c r="P34" s="2"/>
      <c r="Q34" s="2"/>
      <c r="R34" s="2"/>
    </row>
    <row r="35" spans="1:18" x14ac:dyDescent="0.3">
      <c r="A35" s="33" t="s">
        <v>161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1"/>
      <c r="M35" s="40"/>
      <c r="N35" s="40"/>
      <c r="O35" s="40"/>
      <c r="P35" s="40"/>
      <c r="Q35" s="40"/>
      <c r="R35" s="40"/>
    </row>
    <row r="36" spans="1:18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39"/>
      <c r="M36" s="2"/>
      <c r="N36" s="2"/>
      <c r="O36" s="2"/>
      <c r="P36" s="2"/>
      <c r="Q36" s="2"/>
      <c r="R36" s="2"/>
    </row>
    <row r="37" spans="1:18" x14ac:dyDescent="0.3">
      <c r="A37" s="2" t="s">
        <v>11</v>
      </c>
      <c r="B37" s="2"/>
      <c r="C37" s="1">
        <v>9.4499999999999993</v>
      </c>
      <c r="D37" s="1">
        <v>10.08</v>
      </c>
      <c r="E37" s="1">
        <v>10.53</v>
      </c>
      <c r="F37" s="1">
        <v>10.68</v>
      </c>
      <c r="G37" s="1">
        <v>10.99</v>
      </c>
      <c r="H37" s="1">
        <v>11.15</v>
      </c>
      <c r="I37" s="1">
        <v>10.66</v>
      </c>
      <c r="J37" s="1">
        <v>10.95</v>
      </c>
      <c r="K37" s="1">
        <v>11.85</v>
      </c>
      <c r="L37" s="52">
        <v>12.72</v>
      </c>
      <c r="M37" s="2">
        <v>13.39</v>
      </c>
      <c r="N37" s="2">
        <v>14.07</v>
      </c>
      <c r="O37" s="2">
        <v>14.86</v>
      </c>
      <c r="P37" s="2">
        <v>15.65</v>
      </c>
      <c r="Q37" s="2">
        <v>16.47</v>
      </c>
      <c r="R37" s="2">
        <v>17.34</v>
      </c>
    </row>
    <row r="38" spans="1:18" x14ac:dyDescent="0.3">
      <c r="A38" s="47" t="s">
        <v>159</v>
      </c>
      <c r="B38" s="2"/>
      <c r="C38" s="50">
        <f>C37/C20</f>
        <v>1.9600522680604814E-2</v>
      </c>
      <c r="D38" s="50">
        <f t="shared" ref="D38:K38" si="14">D37/D20</f>
        <v>2.0777507523601434E-2</v>
      </c>
      <c r="E38" s="50">
        <f t="shared" si="14"/>
        <v>2.1063791482466843E-2</v>
      </c>
      <c r="F38" s="50">
        <f t="shared" si="14"/>
        <v>2.0761649268093544E-2</v>
      </c>
      <c r="G38" s="50">
        <f t="shared" si="14"/>
        <v>2.0974883578899151E-2</v>
      </c>
      <c r="H38" s="50">
        <f t="shared" si="14"/>
        <v>1.9940981847447019E-2</v>
      </c>
      <c r="I38" s="50">
        <f t="shared" si="14"/>
        <v>1.8611959842863377E-2</v>
      </c>
      <c r="J38" s="50">
        <f t="shared" si="14"/>
        <v>1.79129382126323E-2</v>
      </c>
      <c r="K38" s="50">
        <f t="shared" si="14"/>
        <v>1.8283369077191303E-2</v>
      </c>
      <c r="L38" s="51">
        <f>L37/L20</f>
        <v>1.8735638955988926E-2</v>
      </c>
      <c r="M38" s="50">
        <f>AVERAGE(G38:L38)</f>
        <v>1.9076628585837013E-2</v>
      </c>
      <c r="N38" s="50">
        <f t="shared" ref="N38:R38" si="15">AVERAGE(H38:M38)</f>
        <v>1.876025275365999E-2</v>
      </c>
      <c r="O38" s="50">
        <f t="shared" si="15"/>
        <v>1.856346457136215E-2</v>
      </c>
      <c r="P38" s="50">
        <f t="shared" si="15"/>
        <v>1.8555382026111948E-2</v>
      </c>
      <c r="Q38" s="50">
        <f t="shared" si="15"/>
        <v>1.8662455995025223E-2</v>
      </c>
      <c r="R38" s="50">
        <f t="shared" si="15"/>
        <v>1.8725637147997545E-2</v>
      </c>
    </row>
    <row r="39" spans="1:18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39"/>
      <c r="M39" s="2"/>
      <c r="N39" s="2"/>
      <c r="O39" s="2"/>
      <c r="P39" s="2"/>
      <c r="Q39" s="2"/>
      <c r="R39" s="2"/>
    </row>
    <row r="40" spans="1:18" x14ac:dyDescent="0.3">
      <c r="A40" s="2" t="s">
        <v>12</v>
      </c>
      <c r="B40" s="2"/>
      <c r="C40" s="1">
        <v>11.48</v>
      </c>
      <c r="D40" s="1">
        <v>10.62</v>
      </c>
      <c r="E40" s="1">
        <v>10.050000000000001</v>
      </c>
      <c r="F40" s="1">
        <v>10.34</v>
      </c>
      <c r="G40" s="1">
        <v>10.71</v>
      </c>
      <c r="H40" s="1">
        <v>10.26</v>
      </c>
      <c r="I40" s="1">
        <v>13.11</v>
      </c>
      <c r="J40" s="1">
        <v>16.86</v>
      </c>
      <c r="K40" s="1">
        <v>20.61</v>
      </c>
      <c r="L40" s="52">
        <v>22.63</v>
      </c>
      <c r="M40" s="2">
        <v>19.16</v>
      </c>
      <c r="N40" s="2">
        <v>21.39</v>
      </c>
      <c r="O40" s="2">
        <v>23.47</v>
      </c>
      <c r="P40" s="2">
        <v>25.06</v>
      </c>
      <c r="Q40" s="2">
        <v>26.05</v>
      </c>
      <c r="R40" s="2">
        <v>26.75</v>
      </c>
    </row>
    <row r="41" spans="1:18" x14ac:dyDescent="0.3">
      <c r="A41" s="47" t="s">
        <v>159</v>
      </c>
      <c r="B41" s="2"/>
      <c r="C41" s="50">
        <f>C40/C20</f>
        <v>2.381100533051252E-2</v>
      </c>
      <c r="D41" s="50">
        <f t="shared" ref="D41:L41" si="16">D40/D20</f>
        <v>2.1890588283794369E-2</v>
      </c>
      <c r="E41" s="50">
        <f t="shared" si="16"/>
        <v>2.0103618651357246E-2</v>
      </c>
      <c r="F41" s="50">
        <f t="shared" si="16"/>
        <v>2.0100697886899555E-2</v>
      </c>
      <c r="G41" s="50">
        <f t="shared" si="16"/>
        <v>2.0440491640583251E-2</v>
      </c>
      <c r="H41" s="50">
        <f t="shared" si="16"/>
        <v>1.8349280157381742E-2</v>
      </c>
      <c r="I41" s="50">
        <f t="shared" si="16"/>
        <v>2.2889567874290702E-2</v>
      </c>
      <c r="J41" s="50">
        <f t="shared" si="16"/>
        <v>2.7581017193148916E-2</v>
      </c>
      <c r="K41" s="50">
        <f t="shared" si="16"/>
        <v>3.1799176091216269E-2</v>
      </c>
      <c r="L41" s="51">
        <f>K41</f>
        <v>3.1799176091216269E-2</v>
      </c>
      <c r="M41" s="50">
        <f>AVERAGE(H41:L41)</f>
        <v>2.648364348145078E-2</v>
      </c>
      <c r="N41" s="50">
        <f t="shared" ref="N41:R41" si="17">AVERAGE(I41:M41)</f>
        <v>2.8110516146264586E-2</v>
      </c>
      <c r="O41" s="50">
        <f t="shared" si="17"/>
        <v>2.9154705800659365E-2</v>
      </c>
      <c r="P41" s="50">
        <f t="shared" si="17"/>
        <v>2.9469443522161454E-2</v>
      </c>
      <c r="Q41" s="50">
        <f t="shared" si="17"/>
        <v>2.9003497008350494E-2</v>
      </c>
      <c r="R41" s="50">
        <f t="shared" si="17"/>
        <v>2.8444361191777335E-2</v>
      </c>
    </row>
    <row r="42" spans="1:18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39"/>
      <c r="M42" s="2"/>
      <c r="N42" s="2"/>
      <c r="O42" s="2"/>
      <c r="P42" s="2"/>
      <c r="Q42" s="2"/>
      <c r="R42" s="2"/>
    </row>
    <row r="43" spans="1:18" x14ac:dyDescent="0.3">
      <c r="A43" s="2" t="s">
        <v>162</v>
      </c>
      <c r="B43" s="2"/>
      <c r="C43" s="1">
        <v>-2.12</v>
      </c>
      <c r="D43" s="1">
        <v>-6.19</v>
      </c>
      <c r="E43" s="1">
        <v>-3.24</v>
      </c>
      <c r="F43" s="1">
        <v>-0.3</v>
      </c>
      <c r="G43" s="1">
        <v>0.33</v>
      </c>
      <c r="H43" s="1">
        <v>-7.97</v>
      </c>
      <c r="I43" s="1">
        <v>6.6</v>
      </c>
      <c r="J43" s="1">
        <v>-2.5499999999999998</v>
      </c>
      <c r="K43" s="1">
        <v>-1.94</v>
      </c>
      <c r="L43" s="52">
        <v>-3.52</v>
      </c>
      <c r="M43" s="2">
        <v>-2.16</v>
      </c>
      <c r="N43" s="2">
        <v>-0.57999999999999996</v>
      </c>
      <c r="O43" s="2">
        <v>-2.56</v>
      </c>
      <c r="P43" s="2">
        <v>-2.54</v>
      </c>
      <c r="Q43" s="2">
        <v>-2.68</v>
      </c>
      <c r="R43" s="2">
        <v>-2.4300000000000002</v>
      </c>
    </row>
    <row r="44" spans="1:18" x14ac:dyDescent="0.3">
      <c r="A44" s="47" t="s">
        <v>159</v>
      </c>
      <c r="B44" s="2"/>
      <c r="C44" s="50">
        <f>C43/C20</f>
        <v>-4.3971542944848899E-3</v>
      </c>
      <c r="D44" s="50">
        <f t="shared" ref="D44:K44" si="18">D43/D20</f>
        <v>-1.2759203528878263E-2</v>
      </c>
      <c r="E44" s="50">
        <f t="shared" si="18"/>
        <v>-6.4811666099897983E-3</v>
      </c>
      <c r="F44" s="50">
        <f t="shared" si="18"/>
        <v>-5.8319239517116701E-4</v>
      </c>
      <c r="G44" s="50">
        <f t="shared" si="18"/>
        <v>6.2981907015802728E-4</v>
      </c>
      <c r="H44" s="50">
        <f t="shared" si="18"/>
        <v>-1.4253778055977823E-2</v>
      </c>
      <c r="I44" s="50">
        <f t="shared" si="18"/>
        <v>1.1523352247926669E-2</v>
      </c>
      <c r="J44" s="50">
        <f t="shared" si="18"/>
        <v>-4.1715061591061529E-3</v>
      </c>
      <c r="K44" s="50">
        <f t="shared" si="18"/>
        <v>-2.9932266674895466E-3</v>
      </c>
      <c r="L44" s="51">
        <v>-0.01</v>
      </c>
      <c r="M44" s="71">
        <v>-3.0000000000000001E-3</v>
      </c>
      <c r="N44" s="71">
        <v>-1E-3</v>
      </c>
      <c r="O44" s="71">
        <v>-3.0000000000000001E-3</v>
      </c>
      <c r="P44" s="71">
        <v>-3.0000000000000001E-3</v>
      </c>
      <c r="Q44" s="71">
        <v>-3.0000000000000001E-3</v>
      </c>
      <c r="R44" s="71">
        <v>-3.0000000000000001E-3</v>
      </c>
    </row>
    <row r="45" spans="1:18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39"/>
      <c r="M45" s="2"/>
      <c r="N45" s="2"/>
      <c r="O45" s="2"/>
      <c r="P45" s="2"/>
      <c r="Q45" s="2"/>
      <c r="R45" s="2"/>
    </row>
    <row r="46" spans="1:18" x14ac:dyDescent="0.3">
      <c r="A46" s="33" t="s">
        <v>163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1"/>
      <c r="M46" s="40"/>
      <c r="N46" s="40"/>
      <c r="O46" s="40"/>
      <c r="P46" s="40"/>
      <c r="Q46" s="40"/>
      <c r="R46" s="40"/>
    </row>
    <row r="47" spans="1:18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39"/>
      <c r="M47" s="2"/>
      <c r="N47" s="2"/>
      <c r="O47" s="2"/>
      <c r="P47" s="2"/>
      <c r="Q47" s="2"/>
      <c r="R47" s="2"/>
    </row>
    <row r="48" spans="1:18" x14ac:dyDescent="0.3">
      <c r="A48" s="2" t="s">
        <v>10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39"/>
      <c r="M48" s="2">
        <v>25.09</v>
      </c>
      <c r="N48" s="2">
        <v>26.21</v>
      </c>
      <c r="O48" s="2">
        <v>26.69</v>
      </c>
      <c r="P48" s="2">
        <v>28.61</v>
      </c>
      <c r="Q48" s="2">
        <v>30.31</v>
      </c>
      <c r="R48" s="2">
        <v>31.91</v>
      </c>
    </row>
    <row r="49" spans="1:18" x14ac:dyDescent="0.3">
      <c r="A49" s="2" t="s">
        <v>11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39"/>
      <c r="M49" s="2">
        <v>13.39</v>
      </c>
      <c r="N49" s="2">
        <v>14.07</v>
      </c>
      <c r="O49" s="2">
        <v>14.86</v>
      </c>
      <c r="P49" s="2">
        <v>15.65</v>
      </c>
      <c r="Q49" s="2">
        <v>16.47</v>
      </c>
      <c r="R49" s="2">
        <v>17.34</v>
      </c>
    </row>
    <row r="50" spans="1:18" x14ac:dyDescent="0.3">
      <c r="A50" s="2" t="s">
        <v>12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39"/>
      <c r="M50" s="2">
        <v>19.16</v>
      </c>
      <c r="N50" s="2">
        <v>21.39</v>
      </c>
      <c r="O50" s="2">
        <v>23.47</v>
      </c>
      <c r="P50" s="2">
        <v>25.06</v>
      </c>
      <c r="Q50" s="2">
        <v>26.05</v>
      </c>
      <c r="R50" s="2">
        <v>26.75</v>
      </c>
    </row>
    <row r="51" spans="1:18" x14ac:dyDescent="0.3">
      <c r="A51" s="37" t="s">
        <v>162</v>
      </c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8"/>
      <c r="M51" s="37">
        <v>-2.16</v>
      </c>
      <c r="N51" s="37">
        <v>-0.57999999999999996</v>
      </c>
      <c r="O51" s="37">
        <v>-2.56</v>
      </c>
      <c r="P51" s="37">
        <v>-2.54</v>
      </c>
      <c r="Q51" s="37">
        <v>-2.68</v>
      </c>
      <c r="R51" s="37">
        <v>-2.4300000000000002</v>
      </c>
    </row>
    <row r="52" spans="1:18" x14ac:dyDescent="0.3">
      <c r="A52" s="4" t="s">
        <v>13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53"/>
      <c r="M52" s="4">
        <f>M48+M49-M50-M51</f>
        <v>21.480000000000004</v>
      </c>
      <c r="N52" s="4">
        <f t="shared" ref="N52:R52" si="19">N48+N49-N50-N51</f>
        <v>19.47</v>
      </c>
      <c r="O52" s="4">
        <f t="shared" si="19"/>
        <v>20.639999999999997</v>
      </c>
      <c r="P52" s="4">
        <f t="shared" si="19"/>
        <v>21.74</v>
      </c>
      <c r="Q52" s="4">
        <f t="shared" si="19"/>
        <v>23.41</v>
      </c>
      <c r="R52" s="4">
        <f t="shared" si="19"/>
        <v>24.93</v>
      </c>
    </row>
    <row r="53" spans="1:18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39"/>
      <c r="M53" s="2"/>
      <c r="N53" s="2"/>
      <c r="O53" s="2"/>
      <c r="P53" s="2"/>
      <c r="Q53" s="2"/>
      <c r="R53" s="2"/>
    </row>
    <row r="54" spans="1:18" x14ac:dyDescent="0.3">
      <c r="A54" s="2" t="s">
        <v>164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39"/>
      <c r="M54" s="2">
        <v>1</v>
      </c>
      <c r="N54" s="2">
        <v>2</v>
      </c>
      <c r="O54" s="2">
        <v>3</v>
      </c>
      <c r="P54" s="2">
        <v>4</v>
      </c>
      <c r="Q54" s="2">
        <v>5</v>
      </c>
      <c r="R54" s="2">
        <v>6</v>
      </c>
    </row>
    <row r="55" spans="1:18" x14ac:dyDescent="0.3">
      <c r="A55" s="2" t="s">
        <v>165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39"/>
      <c r="M55" s="2">
        <v>0.5</v>
      </c>
      <c r="N55" s="2">
        <v>1.5</v>
      </c>
      <c r="O55" s="2">
        <v>2.5</v>
      </c>
      <c r="P55" s="2">
        <v>3.5</v>
      </c>
      <c r="Q55" s="2">
        <v>4.5</v>
      </c>
      <c r="R55" s="2">
        <v>5.5</v>
      </c>
    </row>
    <row r="56" spans="1:18" x14ac:dyDescent="0.3">
      <c r="A56" s="2" t="s">
        <v>166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39"/>
      <c r="M56" s="2">
        <v>20.72</v>
      </c>
      <c r="N56" s="2">
        <v>17.45</v>
      </c>
      <c r="O56" s="2">
        <v>17.2</v>
      </c>
      <c r="P56" s="2">
        <v>16.84</v>
      </c>
      <c r="Q56" s="2">
        <v>16.850000000000001</v>
      </c>
      <c r="R56" s="2">
        <v>16.690000000000001</v>
      </c>
    </row>
    <row r="57" spans="1:18" x14ac:dyDescent="0.3">
      <c r="A57" s="2" t="s">
        <v>167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39"/>
      <c r="M57" s="2"/>
      <c r="N57" s="2"/>
      <c r="O57" s="2"/>
      <c r="P57" s="2"/>
      <c r="Q57" s="2"/>
      <c r="R57" s="2">
        <v>681.72</v>
      </c>
    </row>
    <row r="58" spans="1:18" x14ac:dyDescent="0.3">
      <c r="A58" s="37" t="s">
        <v>14</v>
      </c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8"/>
      <c r="M58" s="37"/>
      <c r="N58" s="37"/>
      <c r="O58" s="37"/>
      <c r="P58" s="37"/>
      <c r="Q58" s="37"/>
      <c r="R58" s="37">
        <v>456.35</v>
      </c>
    </row>
    <row r="59" spans="1:18" x14ac:dyDescent="0.3">
      <c r="A59" s="4" t="s">
        <v>15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39"/>
      <c r="M59" s="2"/>
      <c r="N59" s="2"/>
      <c r="O59" s="2"/>
      <c r="P59" s="2"/>
      <c r="Q59" s="2"/>
      <c r="R59" s="4">
        <f>SUM(M56:R56)+R58</f>
        <v>562.1</v>
      </c>
    </row>
    <row r="60" spans="1:18" x14ac:dyDescent="0.3">
      <c r="A60" s="2" t="s">
        <v>168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39">
        <v>9.8699999999999992</v>
      </c>
      <c r="M60" s="2"/>
      <c r="N60" s="2"/>
      <c r="O60" s="2"/>
      <c r="P60" s="2"/>
      <c r="Q60" s="2"/>
      <c r="R60" s="2"/>
    </row>
    <row r="61" spans="1:18" x14ac:dyDescent="0.3">
      <c r="A61" s="37" t="s">
        <v>16</v>
      </c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8">
        <v>34.517000000000003</v>
      </c>
      <c r="M61" s="37"/>
      <c r="N61" s="37"/>
      <c r="O61" s="37"/>
      <c r="P61" s="37"/>
      <c r="Q61" s="37"/>
      <c r="R61" s="37"/>
    </row>
    <row r="62" spans="1:18" x14ac:dyDescent="0.3">
      <c r="A62" s="4" t="s">
        <v>169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39"/>
      <c r="M62" s="2"/>
      <c r="N62" s="2"/>
      <c r="O62" s="2"/>
      <c r="P62" s="2"/>
      <c r="Q62" s="2"/>
      <c r="R62" s="4"/>
    </row>
    <row r="63" spans="1:18" x14ac:dyDescent="0.3">
      <c r="A63" s="37" t="s">
        <v>170</v>
      </c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54">
        <v>8058048674</v>
      </c>
      <c r="M63" s="37"/>
      <c r="N63" s="37"/>
      <c r="O63" s="37"/>
      <c r="P63" s="37"/>
      <c r="Q63" s="37"/>
      <c r="R63" s="37"/>
    </row>
    <row r="64" spans="1:18" x14ac:dyDescent="0.3">
      <c r="A64" s="4" t="s">
        <v>144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39"/>
      <c r="M64" s="2"/>
      <c r="N64" s="2"/>
      <c r="O64" s="2"/>
      <c r="P64" s="2"/>
      <c r="Q64" s="2"/>
      <c r="R64" s="4"/>
    </row>
    <row r="65" spans="1:18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39"/>
      <c r="M65" s="2"/>
      <c r="N65" s="2"/>
      <c r="O65" s="2"/>
      <c r="P65" s="2"/>
      <c r="Q65" s="2"/>
      <c r="R65" s="2"/>
    </row>
    <row r="66" spans="1:18" x14ac:dyDescent="0.3">
      <c r="A66" s="33" t="s">
        <v>171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1"/>
      <c r="M66" s="40"/>
      <c r="N66" s="40"/>
      <c r="O66" s="40"/>
      <c r="P66" s="40"/>
      <c r="Q66" s="40"/>
      <c r="R66" s="40"/>
    </row>
    <row r="67" spans="1:18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39"/>
      <c r="M67" s="2"/>
      <c r="N67" s="2"/>
      <c r="O67" s="2"/>
      <c r="P67" s="2"/>
      <c r="Q67" s="2"/>
      <c r="R67" s="2"/>
    </row>
    <row r="68" spans="1:18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39"/>
      <c r="M68" s="2"/>
      <c r="N68" s="2"/>
      <c r="O68" s="2"/>
      <c r="P68" s="2"/>
      <c r="Q68" s="2"/>
      <c r="R68" s="2"/>
    </row>
    <row r="69" spans="1:18" x14ac:dyDescent="0.3">
      <c r="A69" s="2"/>
      <c r="B69" s="2"/>
      <c r="C69" s="2" t="s">
        <v>172</v>
      </c>
      <c r="D69" s="2"/>
      <c r="E69" s="2"/>
      <c r="F69" s="2"/>
      <c r="G69" s="2"/>
      <c r="H69" s="2"/>
      <c r="I69" s="2"/>
      <c r="J69" s="2"/>
      <c r="K69" s="2"/>
      <c r="L69" s="39"/>
      <c r="M69" s="2"/>
      <c r="N69" s="2"/>
      <c r="O69" s="2"/>
      <c r="P69" s="2"/>
      <c r="Q69" s="2"/>
      <c r="R69" s="2"/>
    </row>
    <row r="70" spans="1:18" x14ac:dyDescent="0.3">
      <c r="A70" s="2"/>
      <c r="B70" s="43">
        <v>66.7</v>
      </c>
      <c r="C70" s="55">
        <v>0.02</v>
      </c>
      <c r="D70" s="56">
        <v>2.1999999999999999E-2</v>
      </c>
      <c r="E70" s="56">
        <v>2.4E-2</v>
      </c>
      <c r="F70" s="56">
        <v>2.5999999999999999E-2</v>
      </c>
      <c r="G70" s="56">
        <v>2.8000000000000001E-2</v>
      </c>
      <c r="H70" s="56">
        <v>0.03</v>
      </c>
      <c r="I70" s="56">
        <v>3.2000000000000001E-2</v>
      </c>
      <c r="J70" s="56">
        <v>3.4000000000000002E-2</v>
      </c>
      <c r="K70" s="56">
        <v>3.5999999999999997E-2</v>
      </c>
      <c r="L70" s="39"/>
      <c r="M70" s="2"/>
      <c r="N70" s="2"/>
      <c r="O70" s="2"/>
      <c r="P70" s="2"/>
      <c r="Q70" s="2"/>
      <c r="R70" s="2"/>
    </row>
    <row r="71" spans="1:18" x14ac:dyDescent="0.3">
      <c r="A71" s="2" t="s">
        <v>173</v>
      </c>
      <c r="B71" s="57">
        <v>6.5000000000000002E-2</v>
      </c>
      <c r="C71" s="2">
        <v>45.53</v>
      </c>
      <c r="D71" s="2">
        <v>47.23</v>
      </c>
      <c r="E71" s="2">
        <v>49.1</v>
      </c>
      <c r="F71" s="2">
        <v>51.16</v>
      </c>
      <c r="G71" s="2">
        <v>53.45</v>
      </c>
      <c r="H71" s="2">
        <v>55.99</v>
      </c>
      <c r="I71" s="2">
        <v>58.85</v>
      </c>
      <c r="J71" s="2">
        <v>62.07</v>
      </c>
      <c r="K71" s="2">
        <v>65.739999999999995</v>
      </c>
      <c r="L71" s="39"/>
      <c r="M71" s="2"/>
      <c r="N71" s="2"/>
      <c r="O71" s="2"/>
      <c r="P71" s="2"/>
      <c r="Q71" s="2"/>
      <c r="R71" s="2"/>
    </row>
    <row r="72" spans="1:18" x14ac:dyDescent="0.3">
      <c r="A72" s="2"/>
      <c r="B72" s="57">
        <f>+B71+0.25%</f>
        <v>6.7500000000000004E-2</v>
      </c>
      <c r="C72" s="2">
        <v>42.75</v>
      </c>
      <c r="D72" s="2">
        <v>44.24</v>
      </c>
      <c r="E72" s="2">
        <v>45.86</v>
      </c>
      <c r="F72" s="2">
        <v>47.65</v>
      </c>
      <c r="G72" s="2">
        <v>49.61</v>
      </c>
      <c r="H72" s="2">
        <v>51.78</v>
      </c>
      <c r="I72" s="2">
        <v>54.2</v>
      </c>
      <c r="J72" s="2">
        <v>56.91</v>
      </c>
      <c r="K72" s="2">
        <v>59.96</v>
      </c>
      <c r="L72" s="39"/>
      <c r="M72" s="2"/>
      <c r="N72" s="2"/>
      <c r="O72" s="2"/>
      <c r="P72" s="2"/>
      <c r="Q72" s="2"/>
      <c r="R72" s="2"/>
    </row>
    <row r="73" spans="1:18" x14ac:dyDescent="0.3">
      <c r="A73" s="2"/>
      <c r="B73" s="57">
        <f t="shared" ref="B73:B78" si="20">+B72+0.25%</f>
        <v>7.0000000000000007E-2</v>
      </c>
      <c r="C73" s="2">
        <v>40.25</v>
      </c>
      <c r="D73" s="2">
        <v>41.56</v>
      </c>
      <c r="E73" s="2">
        <v>42.99</v>
      </c>
      <c r="F73" s="2">
        <v>44.54</v>
      </c>
      <c r="G73" s="2">
        <v>46.24</v>
      </c>
      <c r="H73" s="2">
        <v>48.12</v>
      </c>
      <c r="I73" s="2">
        <v>50.19</v>
      </c>
      <c r="J73" s="2">
        <v>52.49</v>
      </c>
      <c r="K73" s="2">
        <v>55.06</v>
      </c>
      <c r="L73" s="39"/>
      <c r="M73" s="2"/>
      <c r="N73" s="2"/>
      <c r="O73" s="2"/>
      <c r="P73" s="2"/>
      <c r="Q73" s="2"/>
      <c r="R73" s="2"/>
    </row>
    <row r="74" spans="1:18" x14ac:dyDescent="0.3">
      <c r="A74" s="2"/>
      <c r="B74" s="57">
        <f t="shared" si="20"/>
        <v>7.2500000000000009E-2</v>
      </c>
      <c r="C74" s="2">
        <v>38.01</v>
      </c>
      <c r="D74" s="2">
        <v>39.17</v>
      </c>
      <c r="E74" s="2">
        <v>40.43</v>
      </c>
      <c r="F74" s="2">
        <v>41.79</v>
      </c>
      <c r="G74" s="2">
        <v>43.27</v>
      </c>
      <c r="H74" s="2">
        <v>44.9</v>
      </c>
      <c r="I74" s="2">
        <v>46.68</v>
      </c>
      <c r="J74" s="2">
        <v>48.65</v>
      </c>
      <c r="K74" s="2">
        <v>50.84</v>
      </c>
      <c r="L74" s="39"/>
      <c r="M74" s="2"/>
      <c r="N74" s="2"/>
      <c r="O74" s="2"/>
      <c r="P74" s="2"/>
      <c r="Q74" s="2"/>
      <c r="R74" s="2"/>
    </row>
    <row r="75" spans="1:18" x14ac:dyDescent="0.3">
      <c r="A75" s="2"/>
      <c r="B75" s="57">
        <f t="shared" si="20"/>
        <v>7.5000000000000011E-2</v>
      </c>
      <c r="C75" s="2">
        <v>35.99</v>
      </c>
      <c r="D75" s="2">
        <v>37.020000000000003</v>
      </c>
      <c r="E75" s="2">
        <v>38.130000000000003</v>
      </c>
      <c r="F75" s="2">
        <v>39.33</v>
      </c>
      <c r="G75" s="2">
        <v>40.630000000000003</v>
      </c>
      <c r="H75" s="2">
        <v>42.05</v>
      </c>
      <c r="I75" s="2">
        <v>43.6</v>
      </c>
      <c r="J75" s="2">
        <v>45.3</v>
      </c>
      <c r="K75" s="2">
        <v>47.18</v>
      </c>
      <c r="L75" s="39"/>
      <c r="M75" s="2"/>
      <c r="N75" s="2"/>
      <c r="O75" s="2"/>
      <c r="P75" s="2"/>
      <c r="Q75" s="2"/>
      <c r="R75" s="2"/>
    </row>
    <row r="76" spans="1:18" x14ac:dyDescent="0.3">
      <c r="A76" s="2"/>
      <c r="B76" s="57">
        <f t="shared" si="20"/>
        <v>7.7500000000000013E-2</v>
      </c>
      <c r="C76" s="2">
        <v>34.15</v>
      </c>
      <c r="D76" s="2">
        <v>35.07</v>
      </c>
      <c r="E76" s="2">
        <v>36.049999999999997</v>
      </c>
      <c r="F76" s="2">
        <v>37.119999999999997</v>
      </c>
      <c r="G76" s="2">
        <v>38.270000000000003</v>
      </c>
      <c r="H76" s="2">
        <v>39.520000000000003</v>
      </c>
      <c r="I76" s="2">
        <v>40.869999999999997</v>
      </c>
      <c r="J76" s="2">
        <v>42.36</v>
      </c>
      <c r="K76" s="2">
        <v>43.98</v>
      </c>
      <c r="L76" s="39"/>
      <c r="M76" s="2"/>
      <c r="N76" s="2"/>
      <c r="O76" s="2"/>
      <c r="P76" s="2"/>
      <c r="Q76" s="2"/>
      <c r="R76" s="2"/>
    </row>
    <row r="77" spans="1:18" x14ac:dyDescent="0.3">
      <c r="A77" s="2"/>
      <c r="B77" s="57">
        <f t="shared" si="20"/>
        <v>8.0000000000000016E-2</v>
      </c>
      <c r="C77" s="2">
        <v>32.47</v>
      </c>
      <c r="D77" s="2">
        <v>33.299999999999997</v>
      </c>
      <c r="E77" s="2">
        <v>34.18</v>
      </c>
      <c r="F77" s="2">
        <v>35.130000000000003</v>
      </c>
      <c r="G77" s="2">
        <v>36.15</v>
      </c>
      <c r="H77" s="2">
        <v>37.25</v>
      </c>
      <c r="I77" s="2">
        <v>38.44</v>
      </c>
      <c r="J77" s="2">
        <v>39.74</v>
      </c>
      <c r="K77" s="2">
        <v>41.16</v>
      </c>
      <c r="L77" s="39"/>
      <c r="M77" s="2"/>
      <c r="N77" s="2"/>
      <c r="O77" s="2"/>
      <c r="P77" s="2"/>
      <c r="Q77" s="2"/>
      <c r="R77" s="2"/>
    </row>
    <row r="78" spans="1:18" x14ac:dyDescent="0.3">
      <c r="A78" s="2"/>
      <c r="B78" s="57">
        <f t="shared" si="20"/>
        <v>8.2500000000000018E-2</v>
      </c>
      <c r="C78" s="2">
        <v>30.94</v>
      </c>
      <c r="D78" s="2">
        <v>31.68</v>
      </c>
      <c r="E78" s="2">
        <v>32.47</v>
      </c>
      <c r="F78" s="2">
        <v>33.32</v>
      </c>
      <c r="G78" s="2">
        <v>34.229999999999997</v>
      </c>
      <c r="H78" s="2">
        <v>35.21</v>
      </c>
      <c r="I78" s="2">
        <v>36.26</v>
      </c>
      <c r="J78" s="2">
        <v>37.409999999999997</v>
      </c>
      <c r="K78" s="2">
        <v>38.65</v>
      </c>
      <c r="L78" s="39"/>
      <c r="M78" s="2"/>
      <c r="N78" s="2"/>
      <c r="O78" s="2"/>
      <c r="P78" s="2"/>
      <c r="Q78" s="2"/>
      <c r="R7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EA381-CF3D-4B83-BE5C-5B662F5BE655}">
  <dimension ref="A1:D23"/>
  <sheetViews>
    <sheetView showGridLines="0" workbookViewId="0">
      <selection activeCell="E26" sqref="E26"/>
    </sheetView>
  </sheetViews>
  <sheetFormatPr defaultRowHeight="14.4" x14ac:dyDescent="0.3"/>
  <cols>
    <col min="4" max="4" width="50.33203125" customWidth="1"/>
  </cols>
  <sheetData>
    <row r="1" spans="1:4" ht="22.8" x14ac:dyDescent="0.4">
      <c r="A1" s="58"/>
      <c r="B1" s="36" t="s">
        <v>174</v>
      </c>
      <c r="C1" s="37"/>
      <c r="D1" s="59"/>
    </row>
    <row r="2" spans="1:4" x14ac:dyDescent="0.3">
      <c r="A2" s="58"/>
      <c r="B2" s="48" t="s">
        <v>175</v>
      </c>
      <c r="C2" s="2"/>
      <c r="D2" s="7"/>
    </row>
    <row r="3" spans="1:4" x14ac:dyDescent="0.3">
      <c r="A3" s="58"/>
      <c r="B3" s="4" t="s">
        <v>176</v>
      </c>
      <c r="C3" s="2"/>
      <c r="D3" s="7"/>
    </row>
    <row r="4" spans="1:4" x14ac:dyDescent="0.3">
      <c r="A4" s="58"/>
      <c r="B4" s="2" t="s">
        <v>177</v>
      </c>
      <c r="C4" s="2"/>
      <c r="D4" s="7"/>
    </row>
    <row r="5" spans="1:4" x14ac:dyDescent="0.3">
      <c r="A5" s="58"/>
      <c r="B5" s="2" t="s">
        <v>178</v>
      </c>
      <c r="C5" s="2"/>
      <c r="D5" s="7"/>
    </row>
    <row r="6" spans="1:4" x14ac:dyDescent="0.3">
      <c r="A6" s="58"/>
      <c r="B6" s="2" t="s">
        <v>179</v>
      </c>
      <c r="C6" s="2"/>
      <c r="D6" s="7"/>
    </row>
    <row r="7" spans="1:4" x14ac:dyDescent="0.3">
      <c r="A7" s="58"/>
      <c r="B7" s="2"/>
      <c r="C7" s="2"/>
      <c r="D7" s="7"/>
    </row>
    <row r="8" spans="1:4" x14ac:dyDescent="0.3">
      <c r="A8" s="58"/>
      <c r="B8" s="60" t="s">
        <v>180</v>
      </c>
      <c r="C8" s="61" t="s">
        <v>181</v>
      </c>
      <c r="D8" s="62" t="s">
        <v>182</v>
      </c>
    </row>
    <row r="9" spans="1:4" x14ac:dyDescent="0.3">
      <c r="A9" s="58"/>
      <c r="B9" s="2" t="s">
        <v>183</v>
      </c>
      <c r="C9" s="2">
        <v>782.45799999999997</v>
      </c>
      <c r="D9" s="63" t="s">
        <v>184</v>
      </c>
    </row>
    <row r="10" spans="1:4" x14ac:dyDescent="0.3">
      <c r="A10" s="58"/>
      <c r="B10" s="2" t="s">
        <v>185</v>
      </c>
      <c r="C10" s="2">
        <v>34.517000000000003</v>
      </c>
      <c r="D10" s="7" t="s">
        <v>184</v>
      </c>
    </row>
    <row r="11" spans="1:4" x14ac:dyDescent="0.3">
      <c r="A11" s="58"/>
      <c r="B11" s="2" t="s">
        <v>186</v>
      </c>
      <c r="C11" s="2">
        <v>816.97500000000002</v>
      </c>
      <c r="D11" s="7" t="s">
        <v>184</v>
      </c>
    </row>
    <row r="12" spans="1:4" x14ac:dyDescent="0.3">
      <c r="A12" s="58"/>
      <c r="B12" s="2" t="s">
        <v>187</v>
      </c>
      <c r="C12" s="32">
        <v>0.96</v>
      </c>
      <c r="D12" s="7" t="s">
        <v>184</v>
      </c>
    </row>
    <row r="13" spans="1:4" x14ac:dyDescent="0.3">
      <c r="A13" s="58"/>
      <c r="B13" s="2" t="s">
        <v>188</v>
      </c>
      <c r="C13" s="32">
        <v>0.04</v>
      </c>
      <c r="D13" s="7" t="s">
        <v>184</v>
      </c>
    </row>
    <row r="14" spans="1:4" x14ac:dyDescent="0.3">
      <c r="A14" s="58"/>
      <c r="B14" s="2"/>
      <c r="C14" s="2"/>
      <c r="D14" s="7"/>
    </row>
    <row r="15" spans="1:4" x14ac:dyDescent="0.3">
      <c r="A15" s="58"/>
      <c r="B15" s="37" t="s">
        <v>189</v>
      </c>
      <c r="C15" s="56">
        <v>7.7700000000000005E-2</v>
      </c>
      <c r="D15" s="59"/>
    </row>
    <row r="16" spans="1:4" x14ac:dyDescent="0.3">
      <c r="A16" s="58"/>
      <c r="B16" s="6" t="s">
        <v>190</v>
      </c>
      <c r="C16" s="46">
        <v>4.5600000000000002E-2</v>
      </c>
      <c r="D16" s="7" t="s">
        <v>191</v>
      </c>
    </row>
    <row r="17" spans="1:4" x14ac:dyDescent="0.3">
      <c r="A17" s="58"/>
      <c r="B17" s="6" t="s">
        <v>192</v>
      </c>
      <c r="C17" s="2">
        <v>0.74</v>
      </c>
      <c r="D17" s="7" t="s">
        <v>184</v>
      </c>
    </row>
    <row r="18" spans="1:4" x14ac:dyDescent="0.3">
      <c r="A18" s="58"/>
      <c r="B18" s="6" t="s">
        <v>193</v>
      </c>
      <c r="C18" s="46">
        <v>4.3299999999999998E-2</v>
      </c>
      <c r="D18" s="7" t="s">
        <v>194</v>
      </c>
    </row>
    <row r="19" spans="1:4" x14ac:dyDescent="0.3">
      <c r="A19" s="58"/>
      <c r="B19" s="2"/>
      <c r="C19" s="2"/>
      <c r="D19" s="7"/>
    </row>
    <row r="20" spans="1:4" x14ac:dyDescent="0.3">
      <c r="A20" s="58"/>
      <c r="B20" s="24" t="s">
        <v>195</v>
      </c>
      <c r="C20" s="46">
        <v>4.02E-2</v>
      </c>
      <c r="D20" s="7" t="s">
        <v>191</v>
      </c>
    </row>
    <row r="21" spans="1:4" x14ac:dyDescent="0.3">
      <c r="A21" s="58"/>
      <c r="B21" s="24" t="s">
        <v>196</v>
      </c>
      <c r="C21" s="32">
        <v>0.78</v>
      </c>
      <c r="D21" s="7"/>
    </row>
    <row r="22" spans="1:4" x14ac:dyDescent="0.3">
      <c r="A22" s="58"/>
      <c r="B22" s="2"/>
      <c r="C22" s="2"/>
      <c r="D22" s="7"/>
    </row>
    <row r="23" spans="1:4" x14ac:dyDescent="0.3">
      <c r="A23" s="58"/>
      <c r="B23" s="64" t="s">
        <v>153</v>
      </c>
      <c r="C23" s="65">
        <v>7.5700000000000003E-2</v>
      </c>
      <c r="D23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A03FA-C380-4D2C-9E48-B135651F7B65}">
  <dimension ref="A1:L56"/>
  <sheetViews>
    <sheetView showGridLines="0" workbookViewId="0">
      <selection activeCell="N19" sqref="N19"/>
    </sheetView>
  </sheetViews>
  <sheetFormatPr defaultRowHeight="14.4" x14ac:dyDescent="0.3"/>
  <sheetData>
    <row r="1" spans="1:12" x14ac:dyDescent="0.3">
      <c r="A1" s="3" t="s">
        <v>17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">
      <c r="A2" s="3" t="s">
        <v>18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3">
      <c r="A3" s="3" t="s">
        <v>19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3">
      <c r="A4" s="3"/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  <c r="K4" s="3" t="s">
        <v>29</v>
      </c>
      <c r="L4" s="3" t="s">
        <v>30</v>
      </c>
    </row>
    <row r="5" spans="1:12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 t="s">
        <v>31</v>
      </c>
    </row>
    <row r="6" spans="1:12" x14ac:dyDescent="0.3">
      <c r="A6" s="5" t="s">
        <v>32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x14ac:dyDescent="0.3">
      <c r="A7" s="6" t="s">
        <v>33</v>
      </c>
      <c r="B7" s="7">
        <v>16.809999999999999</v>
      </c>
      <c r="C7" s="7">
        <v>15.08</v>
      </c>
      <c r="D7" s="7">
        <v>14.29</v>
      </c>
      <c r="E7" s="7">
        <v>10.52</v>
      </c>
      <c r="F7" s="7">
        <v>6.16</v>
      </c>
      <c r="G7" s="7">
        <v>15.2</v>
      </c>
      <c r="H7" s="7">
        <v>13.71</v>
      </c>
      <c r="I7" s="7">
        <v>13.94</v>
      </c>
      <c r="J7" s="7">
        <v>11.29</v>
      </c>
      <c r="K7" s="7">
        <v>16.27</v>
      </c>
      <c r="L7" s="7">
        <v>20.41</v>
      </c>
    </row>
    <row r="8" spans="1:12" x14ac:dyDescent="0.3">
      <c r="A8" s="8" t="s">
        <v>34</v>
      </c>
      <c r="B8" s="9">
        <v>9.17</v>
      </c>
      <c r="C8" s="9">
        <v>9.4499999999999993</v>
      </c>
      <c r="D8" s="9">
        <v>10.08</v>
      </c>
      <c r="E8" s="9">
        <v>10.53</v>
      </c>
      <c r="F8" s="9">
        <v>10.68</v>
      </c>
      <c r="G8" s="9">
        <v>10.99</v>
      </c>
      <c r="H8" s="9">
        <v>11.15</v>
      </c>
      <c r="I8" s="9">
        <v>10.66</v>
      </c>
      <c r="J8" s="9">
        <v>10.95</v>
      </c>
      <c r="K8" s="9">
        <v>11.85</v>
      </c>
      <c r="L8" s="9">
        <v>12.72</v>
      </c>
    </row>
    <row r="9" spans="1:12" x14ac:dyDescent="0.3">
      <c r="A9" s="10" t="s">
        <v>35</v>
      </c>
      <c r="B9" s="7">
        <v>9.17</v>
      </c>
      <c r="C9" s="7">
        <v>9.4499999999999993</v>
      </c>
      <c r="D9" s="7">
        <v>10.08</v>
      </c>
      <c r="E9" s="7">
        <v>10.53</v>
      </c>
      <c r="F9" s="7">
        <v>10.68</v>
      </c>
      <c r="G9" s="7">
        <v>10.99</v>
      </c>
      <c r="H9" s="7">
        <v>11.15</v>
      </c>
      <c r="I9" s="7">
        <v>10.66</v>
      </c>
      <c r="J9" s="7">
        <v>10.95</v>
      </c>
      <c r="K9" s="7">
        <v>11.85</v>
      </c>
      <c r="L9" s="7">
        <v>12.72</v>
      </c>
    </row>
    <row r="10" spans="1:12" x14ac:dyDescent="0.3">
      <c r="A10" s="8" t="s">
        <v>36</v>
      </c>
      <c r="B10" s="9">
        <v>-0.5</v>
      </c>
      <c r="C10" s="9">
        <v>-0.67</v>
      </c>
      <c r="D10" s="9">
        <v>0.76</v>
      </c>
      <c r="E10" s="9">
        <v>-0.3</v>
      </c>
      <c r="F10" s="9">
        <v>-0.5</v>
      </c>
      <c r="G10" s="9">
        <v>0.32</v>
      </c>
      <c r="H10" s="9">
        <v>1.91</v>
      </c>
      <c r="I10" s="9">
        <v>-0.76</v>
      </c>
      <c r="J10" s="9">
        <v>0.45</v>
      </c>
      <c r="K10" s="9">
        <v>-0.18</v>
      </c>
      <c r="L10" s="9">
        <v>0.25</v>
      </c>
    </row>
    <row r="11" spans="1:12" x14ac:dyDescent="0.3">
      <c r="A11" s="10" t="s">
        <v>37</v>
      </c>
      <c r="B11" s="11">
        <v>-0.5</v>
      </c>
      <c r="C11" s="11">
        <v>-0.67</v>
      </c>
      <c r="D11" s="7">
        <v>0.76</v>
      </c>
      <c r="E11" s="11">
        <v>-0.3</v>
      </c>
      <c r="F11" s="11">
        <v>-0.5</v>
      </c>
      <c r="G11" s="7">
        <v>0.32</v>
      </c>
      <c r="H11" s="7">
        <v>1.91</v>
      </c>
      <c r="I11" s="11">
        <v>-0.76</v>
      </c>
      <c r="J11" s="7">
        <v>0.45</v>
      </c>
      <c r="K11" s="11">
        <v>-0.18</v>
      </c>
      <c r="L11" s="7">
        <v>0.25</v>
      </c>
    </row>
    <row r="12" spans="1:12" x14ac:dyDescent="0.3">
      <c r="A12" s="12" t="s">
        <v>38</v>
      </c>
      <c r="B12" s="13">
        <v>0.79</v>
      </c>
      <c r="C12" s="13">
        <v>1.41</v>
      </c>
      <c r="D12" s="13">
        <v>0.21</v>
      </c>
      <c r="E12" s="13">
        <v>4.3499999999999996</v>
      </c>
      <c r="F12" s="13">
        <v>11.12</v>
      </c>
      <c r="G12" s="14">
        <v>-0.93</v>
      </c>
      <c r="H12" s="13">
        <v>1.33</v>
      </c>
      <c r="I12" s="13">
        <v>6.94</v>
      </c>
      <c r="J12" s="13">
        <v>3.6</v>
      </c>
      <c r="K12" s="13">
        <v>5.84</v>
      </c>
      <c r="L12" s="13">
        <v>2.73</v>
      </c>
    </row>
    <row r="13" spans="1:12" x14ac:dyDescent="0.3">
      <c r="A13" s="6" t="s">
        <v>39</v>
      </c>
      <c r="B13" s="7">
        <v>26.27</v>
      </c>
      <c r="C13" s="7">
        <v>25.27</v>
      </c>
      <c r="D13" s="7">
        <v>25.34</v>
      </c>
      <c r="E13" s="7">
        <v>25.09</v>
      </c>
      <c r="F13" s="7">
        <v>27.46</v>
      </c>
      <c r="G13" s="7">
        <v>25.58</v>
      </c>
      <c r="H13" s="7">
        <v>28.1</v>
      </c>
      <c r="I13" s="7">
        <v>30.78</v>
      </c>
      <c r="J13" s="7">
        <v>26.29</v>
      </c>
      <c r="K13" s="7">
        <v>33.78</v>
      </c>
      <c r="L13" s="7">
        <v>36.11</v>
      </c>
    </row>
    <row r="14" spans="1:12" x14ac:dyDescent="0.3">
      <c r="A14" s="8" t="s">
        <v>40</v>
      </c>
      <c r="B14" s="9">
        <v>2.2999999999999998</v>
      </c>
      <c r="C14" s="9">
        <v>2.12</v>
      </c>
      <c r="D14" s="9">
        <v>6.19</v>
      </c>
      <c r="E14" s="9">
        <v>3.24</v>
      </c>
      <c r="F14" s="9">
        <v>0.3</v>
      </c>
      <c r="G14" s="9">
        <v>-0.33</v>
      </c>
      <c r="H14" s="9">
        <v>7.97</v>
      </c>
      <c r="I14" s="9">
        <v>-6.6</v>
      </c>
      <c r="J14" s="9">
        <v>2.5499999999999998</v>
      </c>
      <c r="K14" s="9">
        <v>1.94</v>
      </c>
      <c r="L14" s="9">
        <v>3.52</v>
      </c>
    </row>
    <row r="15" spans="1:12" x14ac:dyDescent="0.3">
      <c r="A15" s="10" t="s">
        <v>41</v>
      </c>
      <c r="B15" s="11">
        <v>-0.56999999999999995</v>
      </c>
      <c r="C15" s="11">
        <v>-0.02</v>
      </c>
      <c r="D15" s="11">
        <v>-0.4</v>
      </c>
      <c r="E15" s="11">
        <v>-1.07</v>
      </c>
      <c r="F15" s="11">
        <v>-0.37</v>
      </c>
      <c r="G15" s="7">
        <v>0.15</v>
      </c>
      <c r="H15" s="11">
        <v>-1.0900000000000001</v>
      </c>
      <c r="I15" s="11">
        <v>-1.8</v>
      </c>
      <c r="J15" s="7">
        <v>0.24</v>
      </c>
      <c r="K15" s="11">
        <v>-0.8</v>
      </c>
      <c r="L15" s="11">
        <v>-1.52</v>
      </c>
    </row>
    <row r="16" spans="1:12" x14ac:dyDescent="0.3">
      <c r="A16" s="15" t="s">
        <v>42</v>
      </c>
      <c r="B16" s="14">
        <v>-1.23</v>
      </c>
      <c r="C16" s="14">
        <v>-0.7</v>
      </c>
      <c r="D16" s="13">
        <v>1.02</v>
      </c>
      <c r="E16" s="14">
        <v>-0.14000000000000001</v>
      </c>
      <c r="F16" s="14">
        <v>-1.31</v>
      </c>
      <c r="G16" s="14">
        <v>-0.3</v>
      </c>
      <c r="H16" s="14">
        <v>-2.4</v>
      </c>
      <c r="I16" s="14">
        <v>-11.76</v>
      </c>
      <c r="J16" s="14">
        <v>-0.53</v>
      </c>
      <c r="K16" s="13">
        <v>2.02</v>
      </c>
      <c r="L16" s="13">
        <v>0.14000000000000001</v>
      </c>
    </row>
    <row r="17" spans="1:12" x14ac:dyDescent="0.3">
      <c r="A17" s="10" t="s">
        <v>43</v>
      </c>
      <c r="B17" s="7">
        <v>2.68</v>
      </c>
      <c r="C17" s="7">
        <v>2.0099999999999998</v>
      </c>
      <c r="D17" s="7">
        <v>3.94</v>
      </c>
      <c r="E17" s="7">
        <v>4.09</v>
      </c>
      <c r="F17" s="7">
        <v>1.83</v>
      </c>
      <c r="G17" s="11">
        <v>-0.27</v>
      </c>
      <c r="H17" s="7">
        <v>6.97</v>
      </c>
      <c r="I17" s="7">
        <v>5.52</v>
      </c>
      <c r="J17" s="11">
        <v>-1.43</v>
      </c>
      <c r="K17" s="7">
        <v>2.52</v>
      </c>
      <c r="L17" s="7">
        <v>2.58</v>
      </c>
    </row>
    <row r="18" spans="1:12" x14ac:dyDescent="0.3">
      <c r="A18" s="15" t="s">
        <v>44</v>
      </c>
      <c r="B18" s="13">
        <v>0.17</v>
      </c>
      <c r="C18" s="14">
        <v>-0.47</v>
      </c>
      <c r="D18" s="13">
        <v>0.49</v>
      </c>
      <c r="E18" s="14">
        <v>-0.56000000000000005</v>
      </c>
      <c r="F18" s="14">
        <v>-0.04</v>
      </c>
      <c r="G18" s="14">
        <v>-0.09</v>
      </c>
      <c r="H18" s="14">
        <v>-0.14000000000000001</v>
      </c>
      <c r="I18" s="13">
        <v>0.04</v>
      </c>
      <c r="J18" s="14">
        <v>-0.13</v>
      </c>
      <c r="K18" s="14">
        <v>-0.47</v>
      </c>
      <c r="L18" s="13">
        <v>0.17</v>
      </c>
    </row>
    <row r="19" spans="1:12" x14ac:dyDescent="0.3">
      <c r="A19" s="10" t="s">
        <v>45</v>
      </c>
      <c r="B19" s="7">
        <v>1.25</v>
      </c>
      <c r="C19" s="7">
        <v>1.3</v>
      </c>
      <c r="D19" s="7">
        <v>1.1399999999999999</v>
      </c>
      <c r="E19" s="7">
        <v>0.93</v>
      </c>
      <c r="F19" s="7">
        <v>0.18</v>
      </c>
      <c r="G19" s="7">
        <v>0.19</v>
      </c>
      <c r="H19" s="7">
        <v>4.62</v>
      </c>
      <c r="I19" s="7">
        <v>1.4</v>
      </c>
      <c r="J19" s="7">
        <v>4.3899999999999997</v>
      </c>
      <c r="K19" s="11">
        <v>-1.32</v>
      </c>
      <c r="L19" s="7">
        <v>2.16</v>
      </c>
    </row>
    <row r="20" spans="1:12" x14ac:dyDescent="0.3">
      <c r="A20" s="16" t="s">
        <v>46</v>
      </c>
      <c r="B20" s="17">
        <v>28.56</v>
      </c>
      <c r="C20" s="17">
        <v>27.39</v>
      </c>
      <c r="D20" s="17">
        <v>31.53</v>
      </c>
      <c r="E20" s="17">
        <v>28.34</v>
      </c>
      <c r="F20" s="17">
        <v>27.75</v>
      </c>
      <c r="G20" s="17">
        <v>25.26</v>
      </c>
      <c r="H20" s="17">
        <v>36.07</v>
      </c>
      <c r="I20" s="17">
        <v>24.18</v>
      </c>
      <c r="J20" s="17">
        <v>28.84</v>
      </c>
      <c r="K20" s="17">
        <v>35.729999999999997</v>
      </c>
      <c r="L20" s="17">
        <v>39.630000000000003</v>
      </c>
    </row>
    <row r="21" spans="1:12" x14ac:dyDescent="0.3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1:12" x14ac:dyDescent="0.3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spans="1:12" x14ac:dyDescent="0.3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 x14ac:dyDescent="0.3">
      <c r="A24" s="18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1:12" x14ac:dyDescent="0.3">
      <c r="A25" s="8" t="s">
        <v>48</v>
      </c>
      <c r="B25" s="9">
        <v>-12.17</v>
      </c>
      <c r="C25" s="9">
        <v>-11.48</v>
      </c>
      <c r="D25" s="9">
        <v>-10.62</v>
      </c>
      <c r="E25" s="9">
        <v>-10.050000000000001</v>
      </c>
      <c r="F25" s="9">
        <v>-10.34</v>
      </c>
      <c r="G25" s="9">
        <v>-10.71</v>
      </c>
      <c r="H25" s="9">
        <v>-10.26</v>
      </c>
      <c r="I25" s="9">
        <v>-13.11</v>
      </c>
      <c r="J25" s="9">
        <v>-16.86</v>
      </c>
      <c r="K25" s="9">
        <v>-20.61</v>
      </c>
      <c r="L25" s="9">
        <v>-22.63</v>
      </c>
    </row>
    <row r="26" spans="1:12" x14ac:dyDescent="0.3">
      <c r="A26" s="10" t="s">
        <v>49</v>
      </c>
      <c r="B26" s="11">
        <v>-12.17</v>
      </c>
      <c r="C26" s="11">
        <v>-11.48</v>
      </c>
      <c r="D26" s="11">
        <v>-10.62</v>
      </c>
      <c r="E26" s="11">
        <v>-10.050000000000001</v>
      </c>
      <c r="F26" s="11">
        <v>-10.34</v>
      </c>
      <c r="G26" s="11">
        <v>-10.71</v>
      </c>
      <c r="H26" s="11">
        <v>-10.26</v>
      </c>
      <c r="I26" s="11">
        <v>-13.11</v>
      </c>
      <c r="J26" s="11">
        <v>-16.86</v>
      </c>
      <c r="K26" s="11">
        <v>-20.61</v>
      </c>
      <c r="L26" s="11">
        <v>-22.63</v>
      </c>
    </row>
    <row r="27" spans="1:12" x14ac:dyDescent="0.3">
      <c r="A27" s="12" t="s">
        <v>50</v>
      </c>
      <c r="B27" s="14">
        <v>-1.84</v>
      </c>
      <c r="C27" s="14">
        <v>-1.33</v>
      </c>
      <c r="D27" s="14">
        <v>-2.5499999999999998</v>
      </c>
      <c r="E27" s="14">
        <v>-0.38</v>
      </c>
      <c r="F27" s="14">
        <v>-14.66</v>
      </c>
      <c r="G27" s="14">
        <v>-0.06</v>
      </c>
      <c r="H27" s="14">
        <v>-0.18</v>
      </c>
      <c r="I27" s="14">
        <v>-0.36</v>
      </c>
      <c r="J27" s="14">
        <v>-1.57</v>
      </c>
      <c r="K27" s="14">
        <v>-3.47</v>
      </c>
      <c r="L27" s="13">
        <v>0</v>
      </c>
    </row>
    <row r="28" spans="1:12" x14ac:dyDescent="0.3">
      <c r="A28" s="6" t="s">
        <v>51</v>
      </c>
      <c r="B28" s="7">
        <v>1.24</v>
      </c>
      <c r="C28" s="7">
        <v>0.88</v>
      </c>
      <c r="D28" s="7">
        <v>1.1200000000000001</v>
      </c>
      <c r="E28" s="7">
        <v>1.42</v>
      </c>
      <c r="F28" s="7">
        <v>1.4</v>
      </c>
      <c r="G28" s="7">
        <v>1.1499999999999999</v>
      </c>
      <c r="H28" s="7">
        <v>0.27</v>
      </c>
      <c r="I28" s="7">
        <v>8.33</v>
      </c>
      <c r="J28" s="7">
        <v>0.17</v>
      </c>
      <c r="K28" s="7">
        <v>0.39</v>
      </c>
      <c r="L28" s="7">
        <v>0.45</v>
      </c>
    </row>
    <row r="29" spans="1:12" x14ac:dyDescent="0.3">
      <c r="A29" s="8" t="s">
        <v>52</v>
      </c>
      <c r="B29" s="9">
        <v>0</v>
      </c>
      <c r="C29" s="9">
        <v>0</v>
      </c>
      <c r="D29" s="9">
        <v>-1.9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3.81</v>
      </c>
    </row>
    <row r="30" spans="1:12" x14ac:dyDescent="0.3">
      <c r="A30" s="10" t="s">
        <v>53</v>
      </c>
      <c r="B30" s="7">
        <v>0</v>
      </c>
      <c r="C30" s="7">
        <v>0</v>
      </c>
      <c r="D30" s="7">
        <v>1.9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</row>
    <row r="31" spans="1:12" x14ac:dyDescent="0.3">
      <c r="A31" s="15" t="s">
        <v>54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3.81</v>
      </c>
    </row>
    <row r="32" spans="1:12" x14ac:dyDescent="0.3">
      <c r="A32" s="19" t="s">
        <v>38</v>
      </c>
      <c r="B32" s="20">
        <v>-0.19</v>
      </c>
      <c r="C32" s="20">
        <v>-0.08</v>
      </c>
      <c r="D32" s="20">
        <v>-0.12</v>
      </c>
      <c r="E32" s="20">
        <v>-0.06</v>
      </c>
      <c r="F32" s="20">
        <v>-0.43</v>
      </c>
      <c r="G32" s="20">
        <v>0.48</v>
      </c>
      <c r="H32" s="20">
        <v>-1.75</v>
      </c>
      <c r="I32" s="20">
        <v>-0.88</v>
      </c>
      <c r="J32" s="20">
        <v>-0.3</v>
      </c>
      <c r="K32" s="20">
        <v>-1.06</v>
      </c>
      <c r="L32" s="20">
        <v>-0.21</v>
      </c>
    </row>
    <row r="33" spans="1:12" x14ac:dyDescent="0.3">
      <c r="A33" s="15" t="s">
        <v>55</v>
      </c>
      <c r="B33" s="14">
        <v>-0.19</v>
      </c>
      <c r="C33" s="14">
        <v>-0.08</v>
      </c>
      <c r="D33" s="14">
        <v>-0.12</v>
      </c>
      <c r="E33" s="14">
        <v>-0.06</v>
      </c>
      <c r="F33" s="14">
        <v>-0.43</v>
      </c>
      <c r="G33" s="13">
        <v>0</v>
      </c>
      <c r="H33" s="14">
        <v>-1.85</v>
      </c>
      <c r="I33" s="14">
        <v>-0.88</v>
      </c>
      <c r="J33" s="14">
        <v>-0.3</v>
      </c>
      <c r="K33" s="14">
        <v>-1.06</v>
      </c>
      <c r="L33" s="14">
        <v>-0.21</v>
      </c>
    </row>
    <row r="34" spans="1:12" x14ac:dyDescent="0.3">
      <c r="A34" s="10" t="s">
        <v>56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0.48</v>
      </c>
      <c r="H34" s="7">
        <v>0.1</v>
      </c>
      <c r="I34" s="7">
        <v>0</v>
      </c>
      <c r="J34" s="7">
        <v>0</v>
      </c>
      <c r="K34" s="7">
        <v>0</v>
      </c>
      <c r="L34" s="7">
        <v>0</v>
      </c>
    </row>
    <row r="35" spans="1:12" x14ac:dyDescent="0.3">
      <c r="A35" s="12" t="s">
        <v>57</v>
      </c>
      <c r="B35" s="14">
        <v>-12.97</v>
      </c>
      <c r="C35" s="14">
        <v>-12</v>
      </c>
      <c r="D35" s="14">
        <v>-14.08</v>
      </c>
      <c r="E35" s="14">
        <v>-9.07</v>
      </c>
      <c r="F35" s="14">
        <v>-24.04</v>
      </c>
      <c r="G35" s="14">
        <v>-9.1300000000000008</v>
      </c>
      <c r="H35" s="14">
        <v>-11.92</v>
      </c>
      <c r="I35" s="14">
        <v>-6.02</v>
      </c>
      <c r="J35" s="14">
        <v>-18.55</v>
      </c>
      <c r="K35" s="14">
        <v>-24.75</v>
      </c>
      <c r="L35" s="14">
        <v>-18.57</v>
      </c>
    </row>
    <row r="36" spans="1:12" x14ac:dyDescent="0.3">
      <c r="A36" s="18" t="s">
        <v>58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</row>
    <row r="37" spans="1:12" x14ac:dyDescent="0.3">
      <c r="A37" s="8" t="s">
        <v>59</v>
      </c>
      <c r="B37" s="9">
        <v>-6.19</v>
      </c>
      <c r="C37" s="9">
        <v>-6.29</v>
      </c>
      <c r="D37" s="9">
        <v>-6.22</v>
      </c>
      <c r="E37" s="9">
        <v>-6.12</v>
      </c>
      <c r="F37" s="9">
        <v>-6.1</v>
      </c>
      <c r="G37" s="9">
        <v>-6.05</v>
      </c>
      <c r="H37" s="9">
        <v>-6.12</v>
      </c>
      <c r="I37" s="9">
        <v>-6.15</v>
      </c>
      <c r="J37" s="9">
        <v>-6.11</v>
      </c>
      <c r="K37" s="9">
        <v>-6.14</v>
      </c>
      <c r="L37" s="9">
        <v>-6.54</v>
      </c>
    </row>
    <row r="38" spans="1:12" x14ac:dyDescent="0.3">
      <c r="A38" s="10" t="s">
        <v>60</v>
      </c>
      <c r="B38" s="11">
        <v>-6.19</v>
      </c>
      <c r="C38" s="11">
        <v>-6.29</v>
      </c>
      <c r="D38" s="11">
        <v>-6.22</v>
      </c>
      <c r="E38" s="11">
        <v>-6.12</v>
      </c>
      <c r="F38" s="11">
        <v>-6.1</v>
      </c>
      <c r="G38" s="11">
        <v>-6.05</v>
      </c>
      <c r="H38" s="11">
        <v>-6.12</v>
      </c>
      <c r="I38" s="11">
        <v>-6.15</v>
      </c>
      <c r="J38" s="11">
        <v>-6.11</v>
      </c>
      <c r="K38" s="11">
        <v>-6.14</v>
      </c>
      <c r="L38" s="11">
        <v>-6.54</v>
      </c>
    </row>
    <row r="39" spans="1:12" x14ac:dyDescent="0.3">
      <c r="A39" s="8" t="s">
        <v>61</v>
      </c>
      <c r="B39" s="9">
        <v>-1.02</v>
      </c>
      <c r="C39" s="9">
        <v>-4.1100000000000003</v>
      </c>
      <c r="D39" s="9">
        <v>-8.3000000000000007</v>
      </c>
      <c r="E39" s="9">
        <v>-8.3000000000000007</v>
      </c>
      <c r="F39" s="9">
        <v>-7.41</v>
      </c>
      <c r="G39" s="9">
        <v>-5.72</v>
      </c>
      <c r="H39" s="9">
        <v>-2.63</v>
      </c>
      <c r="I39" s="9">
        <v>-9.7899999999999991</v>
      </c>
      <c r="J39" s="9">
        <v>-9.92</v>
      </c>
      <c r="K39" s="9">
        <v>-2.78</v>
      </c>
      <c r="L39" s="9">
        <v>-4.55</v>
      </c>
    </row>
    <row r="40" spans="1:12" x14ac:dyDescent="0.3">
      <c r="A40" s="10" t="s">
        <v>62</v>
      </c>
      <c r="B40" s="11">
        <v>-1.02</v>
      </c>
      <c r="C40" s="11">
        <v>-4.1100000000000003</v>
      </c>
      <c r="D40" s="11">
        <v>-8.3000000000000007</v>
      </c>
      <c r="E40" s="11">
        <v>-8.3000000000000007</v>
      </c>
      <c r="F40" s="11">
        <v>-7.41</v>
      </c>
      <c r="G40" s="11">
        <v>-5.72</v>
      </c>
      <c r="H40" s="11">
        <v>-2.63</v>
      </c>
      <c r="I40" s="11">
        <v>-9.7899999999999991</v>
      </c>
      <c r="J40" s="11">
        <v>-9.92</v>
      </c>
      <c r="K40" s="11">
        <v>-2.78</v>
      </c>
      <c r="L40" s="11">
        <v>-4.55</v>
      </c>
    </row>
    <row r="41" spans="1:12" x14ac:dyDescent="0.3">
      <c r="A41" s="8" t="s">
        <v>63</v>
      </c>
      <c r="B41" s="9">
        <v>-5.0199999999999996</v>
      </c>
      <c r="C41" s="9">
        <v>-3.16</v>
      </c>
      <c r="D41" s="9">
        <v>-3.59</v>
      </c>
      <c r="E41" s="9">
        <v>-1.44</v>
      </c>
      <c r="F41" s="9">
        <v>12.04</v>
      </c>
      <c r="G41" s="9">
        <v>-1.07</v>
      </c>
      <c r="H41" s="9">
        <v>-5.71</v>
      </c>
      <c r="I41" s="9">
        <v>-5.87</v>
      </c>
      <c r="J41" s="9">
        <v>2.3199999999999998</v>
      </c>
      <c r="K41" s="9">
        <v>1.26</v>
      </c>
      <c r="L41" s="9">
        <v>-9.2100000000000009</v>
      </c>
    </row>
    <row r="42" spans="1:12" x14ac:dyDescent="0.3">
      <c r="A42" s="10" t="s">
        <v>64</v>
      </c>
      <c r="B42" s="11">
        <v>-6.29</v>
      </c>
      <c r="C42" s="7">
        <v>1.24</v>
      </c>
      <c r="D42" s="11">
        <v>-1.67</v>
      </c>
      <c r="E42" s="7">
        <v>4.1500000000000004</v>
      </c>
      <c r="F42" s="11">
        <v>-0.05</v>
      </c>
      <c r="G42" s="11">
        <v>-4.66</v>
      </c>
      <c r="H42" s="11">
        <v>-0.32</v>
      </c>
      <c r="I42" s="7">
        <v>0.19</v>
      </c>
      <c r="J42" s="11">
        <v>-0.03</v>
      </c>
      <c r="K42" s="7">
        <v>0.51</v>
      </c>
      <c r="L42" s="11">
        <v>-6.39</v>
      </c>
    </row>
    <row r="43" spans="1:12" x14ac:dyDescent="0.3">
      <c r="A43" s="21" t="s">
        <v>65</v>
      </c>
      <c r="B43" s="9">
        <v>1.27</v>
      </c>
      <c r="C43" s="9">
        <v>-4.3899999999999997</v>
      </c>
      <c r="D43" s="9">
        <v>-1.92</v>
      </c>
      <c r="E43" s="9">
        <v>-5.59</v>
      </c>
      <c r="F43" s="9">
        <v>12.09</v>
      </c>
      <c r="G43" s="9">
        <v>3.59</v>
      </c>
      <c r="H43" s="9">
        <v>-5.38</v>
      </c>
      <c r="I43" s="9">
        <v>-6.07</v>
      </c>
      <c r="J43" s="9">
        <v>2.35</v>
      </c>
      <c r="K43" s="9">
        <v>0.75</v>
      </c>
      <c r="L43" s="9">
        <v>-2.82</v>
      </c>
    </row>
    <row r="44" spans="1:12" x14ac:dyDescent="0.3">
      <c r="A44" s="22" t="s">
        <v>66</v>
      </c>
      <c r="B44" s="7">
        <v>5.17</v>
      </c>
      <c r="C44" s="7">
        <v>0.04</v>
      </c>
      <c r="D44" s="7">
        <v>0.14000000000000001</v>
      </c>
      <c r="E44" s="7">
        <v>7.48</v>
      </c>
      <c r="F44" s="7">
        <v>15.87</v>
      </c>
      <c r="G44" s="7">
        <v>5.49</v>
      </c>
      <c r="H44" s="7">
        <v>0</v>
      </c>
      <c r="I44" s="7">
        <v>6.95</v>
      </c>
      <c r="J44" s="7">
        <v>5.04</v>
      </c>
      <c r="K44" s="7">
        <v>4.97</v>
      </c>
      <c r="L44" s="7">
        <v>0</v>
      </c>
    </row>
    <row r="45" spans="1:12" x14ac:dyDescent="0.3">
      <c r="A45" s="23" t="s">
        <v>67</v>
      </c>
      <c r="B45" s="14">
        <v>-3.9</v>
      </c>
      <c r="C45" s="14">
        <v>-4.43</v>
      </c>
      <c r="D45" s="14">
        <v>-2.06</v>
      </c>
      <c r="E45" s="14">
        <v>-13.06</v>
      </c>
      <c r="F45" s="14">
        <v>-3.78</v>
      </c>
      <c r="G45" s="14">
        <v>-1.91</v>
      </c>
      <c r="H45" s="14">
        <v>-5.38</v>
      </c>
      <c r="I45" s="14">
        <v>-13.01</v>
      </c>
      <c r="J45" s="14">
        <v>-2.69</v>
      </c>
      <c r="K45" s="14">
        <v>-4.22</v>
      </c>
      <c r="L45" s="14">
        <v>-2.82</v>
      </c>
    </row>
    <row r="46" spans="1:12" x14ac:dyDescent="0.3">
      <c r="A46" s="19" t="s">
        <v>38</v>
      </c>
      <c r="B46" s="20">
        <v>-1.01</v>
      </c>
      <c r="C46" s="20">
        <v>-1.23</v>
      </c>
      <c r="D46" s="20">
        <v>-0.73</v>
      </c>
      <c r="E46" s="20">
        <v>-4.01</v>
      </c>
      <c r="F46" s="20">
        <v>-1.06</v>
      </c>
      <c r="G46" s="20">
        <v>-1.46</v>
      </c>
      <c r="H46" s="20">
        <v>-1.67</v>
      </c>
      <c r="I46" s="20">
        <v>-1.02</v>
      </c>
      <c r="J46" s="20">
        <v>-2.5</v>
      </c>
      <c r="K46" s="20">
        <v>-2.2999999999999998</v>
      </c>
      <c r="L46" s="20">
        <v>-2.61</v>
      </c>
    </row>
    <row r="47" spans="1:12" x14ac:dyDescent="0.3">
      <c r="A47" s="15" t="s">
        <v>55</v>
      </c>
      <c r="B47" s="14">
        <v>-1.01</v>
      </c>
      <c r="C47" s="14">
        <v>-1.23</v>
      </c>
      <c r="D47" s="14">
        <v>-0.73</v>
      </c>
      <c r="E47" s="14">
        <v>-4.01</v>
      </c>
      <c r="F47" s="14">
        <v>-1.06</v>
      </c>
      <c r="G47" s="14">
        <v>-1.46</v>
      </c>
      <c r="H47" s="14">
        <v>-1.67</v>
      </c>
      <c r="I47" s="14">
        <v>-4.26</v>
      </c>
      <c r="J47" s="14">
        <v>-2.56</v>
      </c>
      <c r="K47" s="14">
        <v>-3.01</v>
      </c>
      <c r="L47" s="14">
        <v>-2.66</v>
      </c>
    </row>
    <row r="48" spans="1:12" x14ac:dyDescent="0.3">
      <c r="A48" s="10" t="s">
        <v>56</v>
      </c>
      <c r="B48" s="24"/>
      <c r="C48" s="24"/>
      <c r="D48" s="24"/>
      <c r="E48" s="24"/>
      <c r="F48" s="24"/>
      <c r="G48" s="24"/>
      <c r="H48" s="24"/>
      <c r="I48" s="7">
        <v>3.24</v>
      </c>
      <c r="J48" s="7">
        <v>7.0000000000000007E-2</v>
      </c>
      <c r="K48" s="7">
        <v>0.72</v>
      </c>
      <c r="L48" s="7">
        <v>0.04</v>
      </c>
    </row>
    <row r="49" spans="1:12" x14ac:dyDescent="0.3">
      <c r="A49" s="12" t="s">
        <v>68</v>
      </c>
      <c r="B49" s="14">
        <v>-13.23</v>
      </c>
      <c r="C49" s="14">
        <v>-14.8</v>
      </c>
      <c r="D49" s="14">
        <v>-18.84</v>
      </c>
      <c r="E49" s="14">
        <v>-19.87</v>
      </c>
      <c r="F49" s="14">
        <v>-2.54</v>
      </c>
      <c r="G49" s="14">
        <v>-14.3</v>
      </c>
      <c r="H49" s="14">
        <v>-16.12</v>
      </c>
      <c r="I49" s="14">
        <v>-22.83</v>
      </c>
      <c r="J49" s="14">
        <v>-16.21</v>
      </c>
      <c r="K49" s="14">
        <v>-9.9499999999999993</v>
      </c>
      <c r="L49" s="14">
        <v>-22.91</v>
      </c>
    </row>
    <row r="50" spans="1:12" x14ac:dyDescent="0.3">
      <c r="A50" s="18" t="s">
        <v>69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</row>
    <row r="51" spans="1:12" x14ac:dyDescent="0.3">
      <c r="A51" s="12" t="s">
        <v>70</v>
      </c>
      <c r="B51" s="14">
        <v>-0.51</v>
      </c>
      <c r="C51" s="14">
        <v>-1.02</v>
      </c>
      <c r="D51" s="14">
        <v>-0.45</v>
      </c>
      <c r="E51" s="13">
        <v>0.49</v>
      </c>
      <c r="F51" s="14">
        <v>-0.44</v>
      </c>
      <c r="G51" s="14">
        <v>-7.0000000000000007E-2</v>
      </c>
      <c r="H51" s="13">
        <v>0.24</v>
      </c>
      <c r="I51" s="14">
        <v>-0.14000000000000001</v>
      </c>
      <c r="J51" s="14">
        <v>-7.0000000000000007E-2</v>
      </c>
      <c r="K51" s="13">
        <v>7.0000000000000007E-2</v>
      </c>
      <c r="L51" s="14">
        <v>-0.28000000000000003</v>
      </c>
    </row>
    <row r="52" spans="1:12" x14ac:dyDescent="0.3">
      <c r="A52" s="6" t="s">
        <v>71</v>
      </c>
      <c r="B52" s="7">
        <v>1.85</v>
      </c>
      <c r="C52" s="11">
        <v>-0.43</v>
      </c>
      <c r="D52" s="11">
        <v>-1.84</v>
      </c>
      <c r="E52" s="11">
        <v>-0.11</v>
      </c>
      <c r="F52" s="7">
        <v>0.74</v>
      </c>
      <c r="G52" s="7">
        <v>1.76</v>
      </c>
      <c r="H52" s="7">
        <v>8.27</v>
      </c>
      <c r="I52" s="11">
        <v>-4.8</v>
      </c>
      <c r="J52" s="11">
        <v>-5.99</v>
      </c>
      <c r="K52" s="7">
        <v>1.0900000000000001</v>
      </c>
      <c r="L52" s="11">
        <v>-2.13</v>
      </c>
    </row>
    <row r="53" spans="1:12" x14ac:dyDescent="0.3">
      <c r="A53" s="8" t="s">
        <v>72</v>
      </c>
      <c r="B53" s="9">
        <v>16.39</v>
      </c>
      <c r="C53" s="9">
        <v>15.91</v>
      </c>
      <c r="D53" s="9">
        <v>20.91</v>
      </c>
      <c r="E53" s="9">
        <v>18.29</v>
      </c>
      <c r="F53" s="9">
        <v>17.41</v>
      </c>
      <c r="G53" s="9">
        <v>14.55</v>
      </c>
      <c r="H53" s="9">
        <v>25.81</v>
      </c>
      <c r="I53" s="9">
        <v>11.08</v>
      </c>
      <c r="J53" s="9">
        <v>11.98</v>
      </c>
      <c r="K53" s="9">
        <v>15.12</v>
      </c>
      <c r="L53" s="9">
        <v>17</v>
      </c>
    </row>
    <row r="54" spans="1:12" x14ac:dyDescent="0.3">
      <c r="A54" s="10" t="s">
        <v>73</v>
      </c>
      <c r="B54" s="7">
        <v>1.68</v>
      </c>
      <c r="C54" s="7">
        <v>1.65</v>
      </c>
      <c r="D54" s="7">
        <v>2.2400000000000002</v>
      </c>
      <c r="E54" s="7">
        <v>2.0299999999999998</v>
      </c>
      <c r="F54" s="7">
        <v>1.97</v>
      </c>
      <c r="G54" s="7">
        <v>1.69</v>
      </c>
      <c r="H54" s="7">
        <v>3.02</v>
      </c>
      <c r="I54" s="7">
        <v>1.32</v>
      </c>
      <c r="J54" s="7">
        <v>1.46</v>
      </c>
      <c r="K54" s="7">
        <v>1.86</v>
      </c>
      <c r="L54" s="7">
        <v>2.1</v>
      </c>
    </row>
    <row r="55" spans="1:12" x14ac:dyDescent="0.3">
      <c r="A55" s="15" t="s">
        <v>74</v>
      </c>
      <c r="B55" s="13">
        <v>5.95</v>
      </c>
      <c r="C55" s="13">
        <v>7.45</v>
      </c>
      <c r="D55" s="13">
        <v>10.07</v>
      </c>
      <c r="E55" s="13">
        <v>5.7</v>
      </c>
      <c r="F55" s="13">
        <v>6.17</v>
      </c>
      <c r="G55" s="13">
        <v>4.43</v>
      </c>
      <c r="H55" s="13">
        <v>6.45</v>
      </c>
      <c r="I55" s="13">
        <v>2.82</v>
      </c>
      <c r="J55" s="13">
        <v>3.05</v>
      </c>
      <c r="K55" s="13">
        <v>3.39</v>
      </c>
      <c r="L55" s="13">
        <v>2.57</v>
      </c>
    </row>
    <row r="56" spans="1:12" x14ac:dyDescent="0.3">
      <c r="A56" s="25" t="s">
        <v>75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0B81E-62E0-44D9-8F0C-8885CECA5D67}">
  <dimension ref="A1:N62"/>
  <sheetViews>
    <sheetView showGridLines="0" workbookViewId="0">
      <selection activeCell="N43" sqref="N43"/>
    </sheetView>
  </sheetViews>
  <sheetFormatPr defaultRowHeight="14.4" x14ac:dyDescent="0.3"/>
  <sheetData>
    <row r="1" spans="1:12" x14ac:dyDescent="0.3">
      <c r="A1" s="4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26" t="s">
        <v>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3">
      <c r="A5" s="3" t="s">
        <v>17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3">
      <c r="A6" s="3" t="s">
        <v>18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3">
      <c r="A7" s="3" t="s">
        <v>19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x14ac:dyDescent="0.3">
      <c r="A8" s="3"/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26</v>
      </c>
      <c r="I8" s="3" t="s">
        <v>27</v>
      </c>
      <c r="J8" s="3" t="s">
        <v>28</v>
      </c>
      <c r="K8" s="3" t="s">
        <v>29</v>
      </c>
      <c r="L8" s="3" t="s">
        <v>30</v>
      </c>
    </row>
    <row r="9" spans="1:12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 t="s">
        <v>31</v>
      </c>
    </row>
    <row r="10" spans="1:12" x14ac:dyDescent="0.3">
      <c r="A10" s="5" t="s">
        <v>78</v>
      </c>
      <c r="B10" s="9">
        <v>485.65</v>
      </c>
      <c r="C10" s="9">
        <v>482.13</v>
      </c>
      <c r="D10" s="9">
        <v>485.14</v>
      </c>
      <c r="E10" s="9">
        <v>499.91</v>
      </c>
      <c r="F10" s="9">
        <v>514.41</v>
      </c>
      <c r="G10" s="9">
        <v>523.96</v>
      </c>
      <c r="H10" s="9">
        <v>559.15</v>
      </c>
      <c r="I10" s="9">
        <v>572.75</v>
      </c>
      <c r="J10" s="9">
        <v>611.29</v>
      </c>
      <c r="K10" s="9">
        <v>648.13</v>
      </c>
      <c r="L10" s="9">
        <v>673.82</v>
      </c>
    </row>
    <row r="11" spans="1:12" x14ac:dyDescent="0.3">
      <c r="A11" s="19" t="s">
        <v>79</v>
      </c>
      <c r="B11" s="20">
        <v>365.09</v>
      </c>
      <c r="C11" s="20">
        <v>360.98</v>
      </c>
      <c r="D11" s="20">
        <v>361.26</v>
      </c>
      <c r="E11" s="20">
        <v>373.4</v>
      </c>
      <c r="F11" s="20">
        <v>385.3</v>
      </c>
      <c r="G11" s="20">
        <v>394.61</v>
      </c>
      <c r="H11" s="20">
        <v>420.32</v>
      </c>
      <c r="I11" s="20">
        <v>429</v>
      </c>
      <c r="J11" s="20">
        <v>463.72</v>
      </c>
      <c r="K11" s="20">
        <v>490.14</v>
      </c>
      <c r="L11" s="20">
        <v>507.41</v>
      </c>
    </row>
    <row r="12" spans="1:12" x14ac:dyDescent="0.3">
      <c r="A12" s="15" t="s">
        <v>80</v>
      </c>
      <c r="B12" s="13">
        <v>355.91</v>
      </c>
      <c r="C12" s="13">
        <v>351.53</v>
      </c>
      <c r="D12" s="13">
        <v>351.18</v>
      </c>
      <c r="E12" s="13">
        <v>362.87</v>
      </c>
      <c r="F12" s="13">
        <v>374.62</v>
      </c>
      <c r="G12" s="13">
        <v>383.62</v>
      </c>
      <c r="H12" s="13">
        <v>409.16</v>
      </c>
      <c r="I12" s="13">
        <v>418.34</v>
      </c>
      <c r="J12" s="13">
        <v>452.78</v>
      </c>
      <c r="K12" s="13">
        <v>478.29</v>
      </c>
      <c r="L12" s="13">
        <v>494.69</v>
      </c>
    </row>
    <row r="13" spans="1:12" x14ac:dyDescent="0.3">
      <c r="A13" s="28" t="s">
        <v>81</v>
      </c>
      <c r="B13" s="20">
        <v>9.17</v>
      </c>
      <c r="C13" s="20">
        <v>9.4499999999999993</v>
      </c>
      <c r="D13" s="20">
        <v>10.08</v>
      </c>
      <c r="E13" s="20">
        <v>10.53</v>
      </c>
      <c r="F13" s="20">
        <v>10.68</v>
      </c>
      <c r="G13" s="20">
        <v>10.99</v>
      </c>
      <c r="H13" s="20">
        <v>11.15</v>
      </c>
      <c r="I13" s="20">
        <v>10.66</v>
      </c>
      <c r="J13" s="20">
        <v>10.95</v>
      </c>
      <c r="K13" s="20">
        <v>11.85</v>
      </c>
      <c r="L13" s="20">
        <v>12.72</v>
      </c>
    </row>
    <row r="14" spans="1:12" x14ac:dyDescent="0.3">
      <c r="A14" s="23" t="s">
        <v>82</v>
      </c>
      <c r="B14" s="13">
        <v>9.17</v>
      </c>
      <c r="C14" s="13">
        <v>9.4499999999999993</v>
      </c>
      <c r="D14" s="13">
        <v>10.08</v>
      </c>
      <c r="E14" s="13">
        <v>10.53</v>
      </c>
      <c r="F14" s="13">
        <v>10.68</v>
      </c>
      <c r="G14" s="13">
        <v>10.99</v>
      </c>
      <c r="H14" s="13">
        <v>11.15</v>
      </c>
      <c r="I14" s="13">
        <v>10.66</v>
      </c>
      <c r="J14" s="13">
        <v>10.95</v>
      </c>
      <c r="K14" s="13">
        <v>11.85</v>
      </c>
      <c r="L14" s="13">
        <v>12.72</v>
      </c>
    </row>
    <row r="15" spans="1:12" x14ac:dyDescent="0.3">
      <c r="A15" s="18" t="s">
        <v>83</v>
      </c>
      <c r="B15" s="20">
        <v>120.57</v>
      </c>
      <c r="C15" s="20">
        <v>121.15</v>
      </c>
      <c r="D15" s="20">
        <v>123.89</v>
      </c>
      <c r="E15" s="20">
        <v>126.51</v>
      </c>
      <c r="F15" s="20">
        <v>129.1</v>
      </c>
      <c r="G15" s="20">
        <v>129.36000000000001</v>
      </c>
      <c r="H15" s="20">
        <v>138.84</v>
      </c>
      <c r="I15" s="20">
        <v>143.75</v>
      </c>
      <c r="J15" s="20">
        <v>147.57</v>
      </c>
      <c r="K15" s="20">
        <v>157.97999999999999</v>
      </c>
      <c r="L15" s="20">
        <v>166.41</v>
      </c>
    </row>
    <row r="16" spans="1:12" x14ac:dyDescent="0.3">
      <c r="A16" s="8" t="s">
        <v>84</v>
      </c>
      <c r="B16" s="9">
        <v>93.42</v>
      </c>
      <c r="C16" s="9">
        <v>97.04</v>
      </c>
      <c r="D16" s="9">
        <v>101.85</v>
      </c>
      <c r="E16" s="9">
        <v>105.31</v>
      </c>
      <c r="F16" s="9">
        <v>107.15</v>
      </c>
      <c r="G16" s="9">
        <v>107.89</v>
      </c>
      <c r="H16" s="9">
        <v>111.89</v>
      </c>
      <c r="I16" s="9">
        <v>115.31</v>
      </c>
      <c r="J16" s="9">
        <v>123.04</v>
      </c>
      <c r="K16" s="9">
        <v>130.97</v>
      </c>
      <c r="L16" s="9">
        <v>137.66999999999999</v>
      </c>
    </row>
    <row r="17" spans="1:12" x14ac:dyDescent="0.3">
      <c r="A17" s="10" t="s">
        <v>85</v>
      </c>
      <c r="B17" s="7">
        <v>93.42</v>
      </c>
      <c r="C17" s="7">
        <v>97.04</v>
      </c>
      <c r="D17" s="7">
        <v>101.85</v>
      </c>
      <c r="E17" s="7">
        <v>105.31</v>
      </c>
      <c r="F17" s="7">
        <v>107.15</v>
      </c>
      <c r="G17" s="7">
        <v>107.89</v>
      </c>
      <c r="H17" s="7">
        <v>111.89</v>
      </c>
      <c r="I17" s="7">
        <v>115.31</v>
      </c>
      <c r="J17" s="7">
        <v>123.04</v>
      </c>
      <c r="K17" s="7">
        <v>130.97</v>
      </c>
      <c r="L17" s="7">
        <v>137.66999999999999</v>
      </c>
    </row>
    <row r="18" spans="1:12" x14ac:dyDescent="0.3">
      <c r="A18" s="5" t="s">
        <v>86</v>
      </c>
      <c r="B18" s="9">
        <v>27.15</v>
      </c>
      <c r="C18" s="9">
        <v>24.11</v>
      </c>
      <c r="D18" s="9">
        <v>22.04</v>
      </c>
      <c r="E18" s="9">
        <v>21.2</v>
      </c>
      <c r="F18" s="9">
        <v>21.96</v>
      </c>
      <c r="G18" s="9">
        <v>21.47</v>
      </c>
      <c r="H18" s="9">
        <v>26.95</v>
      </c>
      <c r="I18" s="9">
        <v>28.44</v>
      </c>
      <c r="J18" s="9">
        <v>24.53</v>
      </c>
      <c r="K18" s="9">
        <v>27.01</v>
      </c>
      <c r="L18" s="9">
        <v>28.74</v>
      </c>
    </row>
    <row r="19" spans="1:12" x14ac:dyDescent="0.3">
      <c r="A19" s="19" t="s">
        <v>87</v>
      </c>
      <c r="B19" s="20">
        <v>0.14000000000000001</v>
      </c>
      <c r="C19" s="20">
        <v>0.1</v>
      </c>
      <c r="D19" s="20">
        <v>0.87</v>
      </c>
      <c r="E19" s="20">
        <v>0.59</v>
      </c>
      <c r="F19" s="20">
        <v>0.27</v>
      </c>
      <c r="G19" s="20">
        <v>0.19</v>
      </c>
      <c r="H19" s="20">
        <v>-8.18</v>
      </c>
      <c r="I19" s="20">
        <v>-0.28000000000000003</v>
      </c>
      <c r="J19" s="20">
        <v>0.25</v>
      </c>
      <c r="K19" s="20">
        <v>0.55000000000000004</v>
      </c>
      <c r="L19" s="20">
        <v>0.51</v>
      </c>
    </row>
    <row r="20" spans="1:12" x14ac:dyDescent="0.3">
      <c r="A20" s="15" t="s">
        <v>88</v>
      </c>
      <c r="B20" s="13">
        <v>0.11</v>
      </c>
      <c r="C20" s="13">
        <v>0.08</v>
      </c>
      <c r="D20" s="13">
        <v>0.1</v>
      </c>
      <c r="E20" s="13">
        <v>0.15</v>
      </c>
      <c r="F20" s="13">
        <v>0.22</v>
      </c>
      <c r="G20" s="13">
        <v>0.19</v>
      </c>
      <c r="H20" s="13">
        <v>0.12</v>
      </c>
      <c r="I20" s="13">
        <v>0.16</v>
      </c>
      <c r="J20" s="13">
        <v>0.25</v>
      </c>
      <c r="K20" s="13">
        <v>0.55000000000000004</v>
      </c>
      <c r="L20" s="13">
        <v>0.51</v>
      </c>
    </row>
    <row r="21" spans="1:12" x14ac:dyDescent="0.3">
      <c r="A21" s="10" t="s">
        <v>89</v>
      </c>
      <c r="B21" s="7">
        <v>0.03</v>
      </c>
      <c r="C21" s="7">
        <v>0.02</v>
      </c>
      <c r="D21" s="7">
        <v>0.77</v>
      </c>
      <c r="E21" s="7">
        <v>0.44</v>
      </c>
      <c r="F21" s="7">
        <v>0.05</v>
      </c>
      <c r="G21" s="7">
        <v>0</v>
      </c>
      <c r="H21" s="11">
        <v>-8.3000000000000007</v>
      </c>
      <c r="I21" s="11">
        <v>-0.43</v>
      </c>
      <c r="J21" s="7">
        <v>0</v>
      </c>
      <c r="K21" s="7">
        <v>0</v>
      </c>
      <c r="L21" s="7">
        <v>0</v>
      </c>
    </row>
    <row r="22" spans="1:12" x14ac:dyDescent="0.3">
      <c r="A22" s="8" t="s">
        <v>90</v>
      </c>
      <c r="B22" s="9">
        <v>2.4900000000000002</v>
      </c>
      <c r="C22" s="9">
        <v>2.56</v>
      </c>
      <c r="D22" s="9">
        <v>2.41</v>
      </c>
      <c r="E22" s="9">
        <v>2.33</v>
      </c>
      <c r="F22" s="9">
        <v>2.4</v>
      </c>
      <c r="G22" s="9">
        <v>2.6</v>
      </c>
      <c r="H22" s="9">
        <v>2.3199999999999998</v>
      </c>
      <c r="I22" s="9">
        <v>1.99</v>
      </c>
      <c r="J22" s="9">
        <v>2.13</v>
      </c>
      <c r="K22" s="9">
        <v>2.68</v>
      </c>
      <c r="L22" s="9">
        <v>2.71</v>
      </c>
    </row>
    <row r="23" spans="1:12" x14ac:dyDescent="0.3">
      <c r="A23" s="10" t="s">
        <v>91</v>
      </c>
      <c r="B23" s="7">
        <v>2.5499999999999998</v>
      </c>
      <c r="C23" s="7">
        <v>2.6</v>
      </c>
      <c r="D23" s="7">
        <v>2.4500000000000002</v>
      </c>
      <c r="E23" s="7">
        <v>2.35</v>
      </c>
      <c r="F23" s="7">
        <v>2.4</v>
      </c>
      <c r="G23" s="7">
        <v>2.6</v>
      </c>
      <c r="H23" s="7">
        <v>2.3199999999999998</v>
      </c>
      <c r="I23" s="7">
        <v>1.99</v>
      </c>
      <c r="J23" s="7">
        <v>2.13</v>
      </c>
      <c r="K23" s="7">
        <v>2.68</v>
      </c>
      <c r="L23" s="7">
        <v>2.71</v>
      </c>
    </row>
    <row r="24" spans="1:12" x14ac:dyDescent="0.3">
      <c r="A24" s="15" t="s">
        <v>92</v>
      </c>
      <c r="B24" s="13">
        <v>0.06</v>
      </c>
      <c r="C24" s="13">
        <v>0.04</v>
      </c>
      <c r="D24" s="13">
        <v>0.04</v>
      </c>
      <c r="E24" s="13">
        <v>0.02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</row>
    <row r="25" spans="1:12" x14ac:dyDescent="0.3">
      <c r="A25" s="19" t="s">
        <v>93</v>
      </c>
      <c r="B25" s="20">
        <v>0</v>
      </c>
      <c r="C25" s="20">
        <v>0</v>
      </c>
      <c r="D25" s="20">
        <v>0</v>
      </c>
      <c r="E25" s="20">
        <v>4.34</v>
      </c>
      <c r="F25" s="20">
        <v>8.3699999999999992</v>
      </c>
      <c r="G25" s="20">
        <v>-1.06</v>
      </c>
      <c r="H25" s="20">
        <v>-4.1100000000000003</v>
      </c>
      <c r="I25" s="20">
        <v>7.48</v>
      </c>
      <c r="J25" s="20">
        <v>5.64</v>
      </c>
      <c r="K25" s="20">
        <v>3.03</v>
      </c>
      <c r="L25" s="20">
        <v>-0.31</v>
      </c>
    </row>
    <row r="26" spans="1:12" x14ac:dyDescent="0.3">
      <c r="A26" s="21" t="s">
        <v>94</v>
      </c>
      <c r="B26" s="5"/>
      <c r="C26" s="5"/>
      <c r="D26" s="5"/>
      <c r="E26" s="5"/>
      <c r="F26" s="5"/>
      <c r="G26" s="9">
        <v>0.9</v>
      </c>
      <c r="H26" s="9">
        <v>0</v>
      </c>
      <c r="I26" s="9">
        <v>0</v>
      </c>
      <c r="J26" s="5"/>
      <c r="K26" s="5"/>
      <c r="L26" s="5"/>
    </row>
    <row r="27" spans="1:12" x14ac:dyDescent="0.3">
      <c r="A27" s="22" t="s">
        <v>95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0.9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</row>
    <row r="28" spans="1:12" x14ac:dyDescent="0.3">
      <c r="A28" s="15" t="s">
        <v>96</v>
      </c>
      <c r="B28" s="13">
        <v>0</v>
      </c>
      <c r="C28" s="13">
        <v>0</v>
      </c>
      <c r="D28" s="13">
        <v>0</v>
      </c>
      <c r="E28" s="13">
        <v>1.2</v>
      </c>
      <c r="F28" s="13">
        <v>0</v>
      </c>
      <c r="G28" s="13">
        <v>0</v>
      </c>
      <c r="H28" s="13">
        <v>0.4</v>
      </c>
      <c r="I28" s="13">
        <v>0</v>
      </c>
      <c r="J28" s="13">
        <v>0.8</v>
      </c>
      <c r="K28" s="13">
        <v>0</v>
      </c>
      <c r="L28" s="13">
        <v>0</v>
      </c>
    </row>
    <row r="29" spans="1:12" x14ac:dyDescent="0.3">
      <c r="A29" s="10" t="s">
        <v>97</v>
      </c>
      <c r="B29" s="24"/>
      <c r="C29" s="24"/>
      <c r="D29" s="24"/>
      <c r="E29" s="24"/>
      <c r="F29" s="24"/>
      <c r="G29" s="24"/>
      <c r="H29" s="24"/>
      <c r="I29" s="24"/>
      <c r="J29" s="7">
        <v>3.3</v>
      </c>
      <c r="K29" s="24"/>
      <c r="L29" s="24"/>
    </row>
    <row r="30" spans="1:12" x14ac:dyDescent="0.3">
      <c r="A30" s="21" t="s">
        <v>98</v>
      </c>
      <c r="B30" s="5"/>
      <c r="C30" s="5"/>
      <c r="D30" s="5"/>
      <c r="E30" s="5"/>
      <c r="F30" s="9">
        <v>-8.3699999999999992</v>
      </c>
      <c r="G30" s="9">
        <v>1.96</v>
      </c>
      <c r="H30" s="9">
        <v>8.51</v>
      </c>
      <c r="I30" s="9">
        <v>-2.57</v>
      </c>
      <c r="J30" s="9">
        <v>-1.54</v>
      </c>
      <c r="K30" s="9">
        <v>-3.03</v>
      </c>
      <c r="L30" s="9">
        <v>0.31</v>
      </c>
    </row>
    <row r="31" spans="1:12" x14ac:dyDescent="0.3">
      <c r="A31" s="22" t="s">
        <v>99</v>
      </c>
      <c r="B31" s="24"/>
      <c r="C31" s="24"/>
      <c r="D31" s="24"/>
      <c r="E31" s="24"/>
      <c r="F31" s="24"/>
      <c r="G31" s="24"/>
      <c r="H31" s="7">
        <v>8.51</v>
      </c>
      <c r="I31" s="11">
        <v>-2.57</v>
      </c>
      <c r="J31" s="11">
        <v>-1.54</v>
      </c>
      <c r="K31" s="11">
        <v>-3.03</v>
      </c>
      <c r="L31" s="7">
        <v>0.31</v>
      </c>
    </row>
    <row r="32" spans="1:12" x14ac:dyDescent="0.3">
      <c r="A32" s="23" t="s">
        <v>100</v>
      </c>
      <c r="B32" s="29"/>
      <c r="C32" s="29"/>
      <c r="D32" s="29"/>
      <c r="E32" s="29"/>
      <c r="F32" s="14">
        <v>-8.3699999999999992</v>
      </c>
      <c r="G32" s="13">
        <v>1.96</v>
      </c>
      <c r="H32" s="29"/>
      <c r="I32" s="29"/>
      <c r="J32" s="29"/>
      <c r="K32" s="29"/>
      <c r="L32" s="29"/>
    </row>
    <row r="33" spans="1:14" x14ac:dyDescent="0.3">
      <c r="A33" s="28" t="s">
        <v>101</v>
      </c>
      <c r="B33" s="18"/>
      <c r="C33" s="18"/>
      <c r="D33" s="18"/>
      <c r="E33" s="20">
        <v>3.14</v>
      </c>
      <c r="F33" s="20">
        <v>0</v>
      </c>
      <c r="G33" s="20">
        <v>0</v>
      </c>
      <c r="H33" s="20">
        <v>4</v>
      </c>
      <c r="I33" s="20">
        <v>4.91</v>
      </c>
      <c r="J33" s="18"/>
      <c r="K33" s="20">
        <v>0</v>
      </c>
      <c r="L33" s="18"/>
    </row>
    <row r="34" spans="1:14" x14ac:dyDescent="0.3">
      <c r="A34" s="23" t="s">
        <v>102</v>
      </c>
      <c r="B34" s="29"/>
      <c r="C34" s="29"/>
      <c r="D34" s="29"/>
      <c r="E34" s="13">
        <v>3.14</v>
      </c>
      <c r="F34" s="13">
        <v>0</v>
      </c>
      <c r="G34" s="13">
        <v>0</v>
      </c>
      <c r="H34" s="29"/>
      <c r="I34" s="13">
        <v>2.41</v>
      </c>
      <c r="J34" s="29"/>
      <c r="K34" s="13">
        <v>0</v>
      </c>
      <c r="L34" s="29"/>
    </row>
    <row r="35" spans="1:14" x14ac:dyDescent="0.3">
      <c r="A35" s="22" t="s">
        <v>103</v>
      </c>
      <c r="B35" s="24"/>
      <c r="C35" s="24"/>
      <c r="D35" s="24"/>
      <c r="E35" s="24"/>
      <c r="F35" s="24"/>
      <c r="G35" s="24"/>
      <c r="H35" s="7">
        <v>4</v>
      </c>
      <c r="I35" s="7">
        <v>2.5</v>
      </c>
      <c r="J35" s="24"/>
      <c r="K35" s="24"/>
      <c r="L35" s="24"/>
    </row>
    <row r="36" spans="1:14" x14ac:dyDescent="0.3">
      <c r="A36" s="5" t="s">
        <v>104</v>
      </c>
      <c r="B36" s="9">
        <v>24.8</v>
      </c>
      <c r="C36" s="9">
        <v>21.64</v>
      </c>
      <c r="D36" s="9">
        <v>20.5</v>
      </c>
      <c r="E36" s="9">
        <v>15.12</v>
      </c>
      <c r="F36" s="9">
        <v>11.46</v>
      </c>
      <c r="G36" s="9">
        <v>20.12</v>
      </c>
      <c r="H36" s="9">
        <v>20.56</v>
      </c>
      <c r="I36" s="9">
        <v>18.7</v>
      </c>
      <c r="J36" s="9">
        <v>17.02</v>
      </c>
      <c r="K36" s="9">
        <v>21.85</v>
      </c>
      <c r="L36" s="9">
        <v>26.86</v>
      </c>
    </row>
    <row r="37" spans="1:14" x14ac:dyDescent="0.3">
      <c r="A37" s="19" t="s">
        <v>105</v>
      </c>
      <c r="B37" s="20">
        <v>7.99</v>
      </c>
      <c r="C37" s="20">
        <v>6.56</v>
      </c>
      <c r="D37" s="20">
        <v>6.2</v>
      </c>
      <c r="E37" s="20">
        <v>4.5999999999999996</v>
      </c>
      <c r="F37" s="20">
        <v>4.28</v>
      </c>
      <c r="G37" s="20">
        <v>4.92</v>
      </c>
      <c r="H37" s="20">
        <v>6.86</v>
      </c>
      <c r="I37" s="20">
        <v>4.76</v>
      </c>
      <c r="J37" s="20">
        <v>5.72</v>
      </c>
      <c r="K37" s="20">
        <v>5.58</v>
      </c>
      <c r="L37" s="20">
        <v>6.45</v>
      </c>
      <c r="M37" s="32">
        <v>0.24</v>
      </c>
      <c r="N37" s="2">
        <v>0.25530941000000001</v>
      </c>
    </row>
    <row r="38" spans="1:14" x14ac:dyDescent="0.3">
      <c r="A38" s="15" t="s">
        <v>106</v>
      </c>
      <c r="B38" s="13">
        <v>6.98</v>
      </c>
      <c r="C38" s="13">
        <v>6.18</v>
      </c>
      <c r="D38" s="13">
        <v>3.95</v>
      </c>
      <c r="E38" s="13">
        <v>3.4</v>
      </c>
      <c r="F38" s="13">
        <v>3.26</v>
      </c>
      <c r="G38" s="13">
        <v>3.38</v>
      </c>
      <c r="H38" s="13">
        <v>3.73</v>
      </c>
      <c r="I38" s="13">
        <v>3.96</v>
      </c>
      <c r="J38" s="13">
        <v>2.64</v>
      </c>
      <c r="K38" s="13">
        <v>3.98</v>
      </c>
      <c r="L38" s="29"/>
    </row>
    <row r="39" spans="1:14" x14ac:dyDescent="0.3">
      <c r="A39" s="10" t="s">
        <v>107</v>
      </c>
      <c r="B39" s="7">
        <v>1.53</v>
      </c>
      <c r="C39" s="7">
        <v>1.4</v>
      </c>
      <c r="D39" s="7">
        <v>1.51</v>
      </c>
      <c r="E39" s="7">
        <v>1.38</v>
      </c>
      <c r="F39" s="7">
        <v>1.5</v>
      </c>
      <c r="G39" s="7">
        <v>1.21</v>
      </c>
      <c r="H39" s="7">
        <v>1.1299999999999999</v>
      </c>
      <c r="I39" s="7">
        <v>1.55</v>
      </c>
      <c r="J39" s="7">
        <v>2.65</v>
      </c>
      <c r="K39" s="7">
        <v>1.77</v>
      </c>
      <c r="L39" s="24"/>
    </row>
    <row r="40" spans="1:14" x14ac:dyDescent="0.3">
      <c r="A40" s="15" t="s">
        <v>108</v>
      </c>
      <c r="B40" s="14">
        <v>-0.44</v>
      </c>
      <c r="C40" s="14">
        <v>-0.81</v>
      </c>
      <c r="D40" s="13">
        <v>1.1100000000000001</v>
      </c>
      <c r="E40" s="14">
        <v>-0.03</v>
      </c>
      <c r="F40" s="14">
        <v>-0.38</v>
      </c>
      <c r="G40" s="13">
        <v>0.7</v>
      </c>
      <c r="H40" s="13">
        <v>2.34</v>
      </c>
      <c r="I40" s="14">
        <v>-0.63</v>
      </c>
      <c r="J40" s="13">
        <v>0.73</v>
      </c>
      <c r="K40" s="14">
        <v>-0.3</v>
      </c>
      <c r="L40" s="29"/>
    </row>
    <row r="41" spans="1:14" x14ac:dyDescent="0.3">
      <c r="A41" s="10" t="s">
        <v>109</v>
      </c>
      <c r="B41" s="11">
        <v>-0.08</v>
      </c>
      <c r="C41" s="11">
        <v>-0.22</v>
      </c>
      <c r="D41" s="11">
        <v>-0.36</v>
      </c>
      <c r="E41" s="11">
        <v>-0.15</v>
      </c>
      <c r="F41" s="11">
        <v>-0.09</v>
      </c>
      <c r="G41" s="11">
        <v>-0.37</v>
      </c>
      <c r="H41" s="11">
        <v>-0.34</v>
      </c>
      <c r="I41" s="11">
        <v>-0.13</v>
      </c>
      <c r="J41" s="11">
        <v>-0.3</v>
      </c>
      <c r="K41" s="7">
        <v>0.13</v>
      </c>
      <c r="L41" s="24"/>
    </row>
    <row r="42" spans="1:14" x14ac:dyDescent="0.3">
      <c r="A42" s="5" t="s">
        <v>110</v>
      </c>
      <c r="B42" s="9">
        <v>16.809999999999999</v>
      </c>
      <c r="C42" s="9">
        <v>15.08</v>
      </c>
      <c r="D42" s="9">
        <v>14.29</v>
      </c>
      <c r="E42" s="9">
        <v>10.52</v>
      </c>
      <c r="F42" s="9">
        <v>7.18</v>
      </c>
      <c r="G42" s="9">
        <v>15.2</v>
      </c>
      <c r="H42" s="9">
        <v>13.71</v>
      </c>
      <c r="I42" s="9">
        <v>13.94</v>
      </c>
      <c r="J42" s="9">
        <v>11.29</v>
      </c>
      <c r="K42" s="9">
        <v>16.27</v>
      </c>
      <c r="L42" s="9">
        <v>20.41</v>
      </c>
    </row>
    <row r="43" spans="1:14" x14ac:dyDescent="0.3">
      <c r="A43" s="6" t="s">
        <v>111</v>
      </c>
      <c r="B43" s="7">
        <v>0.63</v>
      </c>
      <c r="C43" s="7">
        <v>0.39</v>
      </c>
      <c r="D43" s="7">
        <v>0.65</v>
      </c>
      <c r="E43" s="7">
        <v>0.66</v>
      </c>
      <c r="F43" s="7">
        <v>0.51</v>
      </c>
      <c r="G43" s="7">
        <v>0.32</v>
      </c>
      <c r="H43" s="7">
        <v>0.2</v>
      </c>
      <c r="I43" s="7">
        <v>0.27</v>
      </c>
      <c r="J43" s="11">
        <v>-0.39</v>
      </c>
      <c r="K43" s="7">
        <v>0.76</v>
      </c>
      <c r="L43" s="7">
        <v>0.73</v>
      </c>
    </row>
    <row r="44" spans="1:14" x14ac:dyDescent="0.3">
      <c r="A44" s="5" t="s">
        <v>112</v>
      </c>
      <c r="B44" s="9">
        <v>16.18</v>
      </c>
      <c r="C44" s="9">
        <v>14.69</v>
      </c>
      <c r="D44" s="9">
        <v>13.64</v>
      </c>
      <c r="E44" s="9">
        <v>9.86</v>
      </c>
      <c r="F44" s="9">
        <v>6.67</v>
      </c>
      <c r="G44" s="9">
        <v>14.88</v>
      </c>
      <c r="H44" s="9">
        <v>13.51</v>
      </c>
      <c r="I44" s="9">
        <v>13.67</v>
      </c>
      <c r="J44" s="9">
        <v>11.68</v>
      </c>
      <c r="K44" s="9">
        <v>15.51</v>
      </c>
      <c r="L44" s="9">
        <v>19.68</v>
      </c>
    </row>
    <row r="45" spans="1:14" x14ac:dyDescent="0.3">
      <c r="A45" s="6" t="s">
        <v>113</v>
      </c>
      <c r="B45" s="7">
        <v>0.18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</row>
    <row r="46" spans="1:14" x14ac:dyDescent="0.3">
      <c r="A46" s="12" t="s">
        <v>114</v>
      </c>
      <c r="B46" s="13">
        <v>16.36</v>
      </c>
      <c r="C46" s="13">
        <v>14.69</v>
      </c>
      <c r="D46" s="13">
        <v>13.64</v>
      </c>
      <c r="E46" s="13">
        <v>9.86</v>
      </c>
      <c r="F46" s="13">
        <v>6.67</v>
      </c>
      <c r="G46" s="13">
        <v>14.88</v>
      </c>
      <c r="H46" s="13">
        <v>13.51</v>
      </c>
      <c r="I46" s="13">
        <v>13.67</v>
      </c>
      <c r="J46" s="13">
        <v>11.68</v>
      </c>
      <c r="K46" s="13">
        <v>15.51</v>
      </c>
      <c r="L46" s="13">
        <v>19.68</v>
      </c>
    </row>
    <row r="47" spans="1:14" x14ac:dyDescent="0.3">
      <c r="A47" s="18" t="s">
        <v>115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</row>
    <row r="48" spans="1:14" x14ac:dyDescent="0.3">
      <c r="A48" s="12" t="s">
        <v>116</v>
      </c>
      <c r="B48" s="13">
        <v>1.68</v>
      </c>
      <c r="C48" s="13">
        <v>1.52</v>
      </c>
      <c r="D48" s="13">
        <v>1.46</v>
      </c>
      <c r="E48" s="13">
        <v>1.43</v>
      </c>
      <c r="F48" s="13">
        <v>1.42</v>
      </c>
      <c r="G48" s="13">
        <v>1.64</v>
      </c>
      <c r="H48" s="13">
        <v>1.24</v>
      </c>
      <c r="I48" s="13">
        <v>2.25</v>
      </c>
      <c r="J48" s="13">
        <v>1.91</v>
      </c>
      <c r="K48" s="13">
        <v>2.17</v>
      </c>
      <c r="L48" s="13">
        <v>2.41</v>
      </c>
    </row>
    <row r="49" spans="1:12" x14ac:dyDescent="0.3">
      <c r="A49" s="19" t="s">
        <v>117</v>
      </c>
      <c r="B49" s="20">
        <v>1.69</v>
      </c>
      <c r="C49" s="20">
        <v>1.53</v>
      </c>
      <c r="D49" s="20">
        <v>1.47</v>
      </c>
      <c r="E49" s="20">
        <v>1.1000000000000001</v>
      </c>
      <c r="F49" s="20">
        <v>0.76</v>
      </c>
      <c r="G49" s="20">
        <v>1.74</v>
      </c>
      <c r="H49" s="20">
        <v>1.59</v>
      </c>
      <c r="I49" s="20">
        <v>1.63</v>
      </c>
      <c r="J49" s="20">
        <v>1.43</v>
      </c>
      <c r="K49" s="20">
        <v>1.92</v>
      </c>
      <c r="L49" s="20">
        <v>2.44</v>
      </c>
    </row>
    <row r="50" spans="1:12" x14ac:dyDescent="0.3">
      <c r="A50" s="15" t="s">
        <v>118</v>
      </c>
      <c r="B50" s="30">
        <v>9690.01</v>
      </c>
      <c r="C50" s="30">
        <v>9621.01</v>
      </c>
      <c r="D50" s="30">
        <v>9303.01</v>
      </c>
      <c r="E50" s="30">
        <v>8985.01</v>
      </c>
      <c r="F50" s="30">
        <v>8787.01</v>
      </c>
      <c r="G50" s="30">
        <v>8550.01</v>
      </c>
      <c r="H50" s="30">
        <v>8493.01</v>
      </c>
      <c r="I50" s="30">
        <v>8376.01</v>
      </c>
      <c r="J50" s="30">
        <v>8172.01</v>
      </c>
      <c r="K50" s="30">
        <v>8077.01</v>
      </c>
      <c r="L50" s="30">
        <v>8038</v>
      </c>
    </row>
    <row r="51" spans="1:12" x14ac:dyDescent="0.3">
      <c r="A51" s="10" t="s">
        <v>119</v>
      </c>
      <c r="B51" s="31">
        <v>9684.01</v>
      </c>
      <c r="C51" s="31">
        <v>9486.01</v>
      </c>
      <c r="D51" s="31">
        <v>9144.01</v>
      </c>
      <c r="E51" s="31">
        <v>8856.01</v>
      </c>
      <c r="F51" s="31">
        <v>8634.01</v>
      </c>
      <c r="G51" s="31">
        <v>8497.49</v>
      </c>
      <c r="H51" s="31">
        <v>8463.01</v>
      </c>
      <c r="I51" s="31">
        <v>8283.01</v>
      </c>
      <c r="J51" s="31">
        <v>8079.01</v>
      </c>
      <c r="K51" s="31">
        <v>8054.01</v>
      </c>
      <c r="L51" s="31">
        <v>8034</v>
      </c>
    </row>
    <row r="52" spans="1:12" x14ac:dyDescent="0.3">
      <c r="A52" s="8" t="s">
        <v>120</v>
      </c>
      <c r="B52" s="9">
        <v>1.68</v>
      </c>
      <c r="C52" s="9">
        <v>1.52</v>
      </c>
      <c r="D52" s="9">
        <v>1.46</v>
      </c>
      <c r="E52" s="9">
        <v>1.0900000000000001</v>
      </c>
      <c r="F52" s="9">
        <v>0.75</v>
      </c>
      <c r="G52" s="9">
        <v>1.73</v>
      </c>
      <c r="H52" s="9">
        <v>1.58</v>
      </c>
      <c r="I52" s="9">
        <v>1.62</v>
      </c>
      <c r="J52" s="9">
        <v>1.42</v>
      </c>
      <c r="K52" s="9">
        <v>1.91</v>
      </c>
      <c r="L52" s="9">
        <v>2.44</v>
      </c>
    </row>
    <row r="53" spans="1:12" x14ac:dyDescent="0.3">
      <c r="A53" s="10" t="s">
        <v>121</v>
      </c>
      <c r="B53" s="31">
        <v>9729.01</v>
      </c>
      <c r="C53" s="31">
        <v>9651.01</v>
      </c>
      <c r="D53" s="31">
        <v>9336.01</v>
      </c>
      <c r="E53" s="31">
        <v>9030.01</v>
      </c>
      <c r="F53" s="31">
        <v>8835.01</v>
      </c>
      <c r="G53" s="31">
        <v>8604.01</v>
      </c>
      <c r="H53" s="31">
        <v>8541.01</v>
      </c>
      <c r="I53" s="31">
        <v>8415.01</v>
      </c>
      <c r="J53" s="31">
        <v>8202.01</v>
      </c>
      <c r="K53" s="31">
        <v>8108.01</v>
      </c>
      <c r="L53" s="31">
        <v>8082</v>
      </c>
    </row>
    <row r="54" spans="1:12" x14ac:dyDescent="0.3">
      <c r="A54" s="15" t="s">
        <v>119</v>
      </c>
      <c r="B54" s="30">
        <v>9684.01</v>
      </c>
      <c r="C54" s="30">
        <v>9486.01</v>
      </c>
      <c r="D54" s="30">
        <v>9144.01</v>
      </c>
      <c r="E54" s="30">
        <v>8856.01</v>
      </c>
      <c r="F54" s="30">
        <v>8634.01</v>
      </c>
      <c r="G54" s="30">
        <v>8497.49</v>
      </c>
      <c r="H54" s="30">
        <v>8463.01</v>
      </c>
      <c r="I54" s="30">
        <v>8283.01</v>
      </c>
      <c r="J54" s="30">
        <v>8079.01</v>
      </c>
      <c r="K54" s="30">
        <v>8054.01</v>
      </c>
      <c r="L54" s="30">
        <v>8034</v>
      </c>
    </row>
    <row r="55" spans="1:12" x14ac:dyDescent="0.3">
      <c r="A55" s="6" t="s">
        <v>122</v>
      </c>
      <c r="B55" s="7">
        <v>92.66</v>
      </c>
      <c r="C55" s="7">
        <v>94.6</v>
      </c>
      <c r="D55" s="7">
        <v>90.34</v>
      </c>
      <c r="E55" s="7">
        <v>89.63</v>
      </c>
      <c r="F55" s="7">
        <v>88.92</v>
      </c>
      <c r="G55" s="7">
        <v>87.99</v>
      </c>
      <c r="H55" s="7">
        <v>85.9</v>
      </c>
      <c r="I55" s="7">
        <v>92.57</v>
      </c>
      <c r="J55" s="7">
        <v>96.2</v>
      </c>
      <c r="K55" s="7">
        <v>89.47</v>
      </c>
      <c r="L55" s="24"/>
    </row>
    <row r="56" spans="1:12" x14ac:dyDescent="0.3">
      <c r="A56" s="8" t="s">
        <v>123</v>
      </c>
      <c r="B56" s="9">
        <v>0.64</v>
      </c>
      <c r="C56" s="9">
        <v>0.65</v>
      </c>
      <c r="D56" s="9">
        <v>0.67</v>
      </c>
      <c r="E56" s="9">
        <v>0.68</v>
      </c>
      <c r="F56" s="9">
        <v>0.69</v>
      </c>
      <c r="G56" s="9">
        <v>0.71</v>
      </c>
      <c r="H56" s="9">
        <v>0.72</v>
      </c>
      <c r="I56" s="9">
        <v>0.73</v>
      </c>
      <c r="J56" s="9">
        <v>0.75</v>
      </c>
      <c r="K56" s="9">
        <v>0.76</v>
      </c>
      <c r="L56" s="9">
        <v>0.81</v>
      </c>
    </row>
    <row r="57" spans="1:12" x14ac:dyDescent="0.3">
      <c r="A57" s="10" t="s">
        <v>124</v>
      </c>
      <c r="B57" s="7">
        <v>38.020000000000003</v>
      </c>
      <c r="C57" s="7">
        <v>42.89</v>
      </c>
      <c r="D57" s="7">
        <v>45.66</v>
      </c>
      <c r="E57" s="7">
        <v>62.2</v>
      </c>
      <c r="F57" s="7">
        <v>92.04</v>
      </c>
      <c r="G57" s="7">
        <v>40.86</v>
      </c>
      <c r="H57" s="7">
        <v>45.52</v>
      </c>
      <c r="I57" s="7">
        <v>45.13</v>
      </c>
      <c r="J57" s="7">
        <v>52.43</v>
      </c>
      <c r="K57" s="7">
        <v>39.729999999999997</v>
      </c>
      <c r="L57" s="7">
        <v>33.369999999999997</v>
      </c>
    </row>
    <row r="58" spans="1:12" x14ac:dyDescent="0.3">
      <c r="A58" s="5" t="s">
        <v>125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x14ac:dyDescent="0.3">
      <c r="A59" s="19" t="s">
        <v>125</v>
      </c>
      <c r="B59" s="20">
        <v>36.32</v>
      </c>
      <c r="C59" s="20">
        <v>33.56</v>
      </c>
      <c r="D59" s="20">
        <v>32.119999999999997</v>
      </c>
      <c r="E59" s="20">
        <v>31.73</v>
      </c>
      <c r="F59" s="20">
        <v>32.64</v>
      </c>
      <c r="G59" s="20">
        <v>32.46</v>
      </c>
      <c r="H59" s="20">
        <v>38.1</v>
      </c>
      <c r="I59" s="20">
        <v>39.1</v>
      </c>
      <c r="J59" s="20">
        <v>35.47</v>
      </c>
      <c r="K59" s="20">
        <v>38.869999999999997</v>
      </c>
      <c r="L59" s="20">
        <v>41.46</v>
      </c>
    </row>
    <row r="60" spans="1:12" x14ac:dyDescent="0.3">
      <c r="A60" s="15" t="s">
        <v>7</v>
      </c>
      <c r="B60" s="13">
        <v>27.15</v>
      </c>
      <c r="C60" s="13">
        <v>24.11</v>
      </c>
      <c r="D60" s="13">
        <v>22.04</v>
      </c>
      <c r="E60" s="13">
        <v>21.2</v>
      </c>
      <c r="F60" s="13">
        <v>21.96</v>
      </c>
      <c r="G60" s="13">
        <v>21.47</v>
      </c>
      <c r="H60" s="13">
        <v>26.95</v>
      </c>
      <c r="I60" s="13">
        <v>28.44</v>
      </c>
      <c r="J60" s="13">
        <v>24.53</v>
      </c>
      <c r="K60" s="13">
        <v>27.01</v>
      </c>
      <c r="L60" s="13">
        <v>28.74</v>
      </c>
    </row>
    <row r="61" spans="1:12" x14ac:dyDescent="0.3">
      <c r="A61" s="10" t="s">
        <v>81</v>
      </c>
      <c r="B61" s="7">
        <v>9.17</v>
      </c>
      <c r="C61" s="7">
        <v>9.4499999999999993</v>
      </c>
      <c r="D61" s="7">
        <v>10.08</v>
      </c>
      <c r="E61" s="7">
        <v>10.53</v>
      </c>
      <c r="F61" s="7">
        <v>10.68</v>
      </c>
      <c r="G61" s="7">
        <v>10.99</v>
      </c>
      <c r="H61" s="7">
        <v>11.15</v>
      </c>
      <c r="I61" s="7">
        <v>10.66</v>
      </c>
      <c r="J61" s="7">
        <v>10.95</v>
      </c>
      <c r="K61" s="7">
        <v>11.85</v>
      </c>
      <c r="L61" s="7">
        <v>12.72</v>
      </c>
    </row>
    <row r="62" spans="1:12" x14ac:dyDescent="0.3">
      <c r="A62" s="25" t="s">
        <v>126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</vt:lpstr>
      <vt:lpstr>WACC</vt:lpstr>
      <vt:lpstr>CFS</vt:lpstr>
      <vt:lpstr>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K</dc:creator>
  <cp:lastModifiedBy>Prashanth K</cp:lastModifiedBy>
  <dcterms:created xsi:type="dcterms:W3CDTF">2026-04-04T12:42:20Z</dcterms:created>
  <dcterms:modified xsi:type="dcterms:W3CDTF">2026-04-06T14:02:12Z</dcterms:modified>
</cp:coreProperties>
</file>