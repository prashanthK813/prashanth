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filterPrivacy="1" codeName="ThisWorkbook"/>
  <xr:revisionPtr revIDLastSave="95" documentId="13_ncr:1_{4DBDC4FD-B81F-4EE3-BB0C-7FA6D9039403}" xr6:coauthVersionLast="47" xr6:coauthVersionMax="47" xr10:uidLastSave="{F53A7105-8740-4E4B-822B-5DF7E9AC4267}"/>
  <bookViews>
    <workbookView xWindow="-108" yWindow="-108" windowWidth="23256" windowHeight="12456" tabRatio="514" xr2:uid="{00000000-000D-0000-FFFF-FFFF00000000}"/>
  </bookViews>
  <sheets>
    <sheet name="LBO Model" sheetId="9" r:id="rId1"/>
  </sheets>
  <externalReferences>
    <externalReference r:id="rId2"/>
  </externalReferences>
  <definedNames>
    <definedName name="CIQWBGuid" hidden="1">"2cd8126d-26c3-430c-b7fa-a069e3a1fc62"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41666.7099189815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353" i="9" l="1"/>
  <c r="I354" i="9" s="1"/>
  <c r="I355" i="9" s="1"/>
  <c r="I356" i="9" s="1"/>
  <c r="I352" i="9"/>
  <c r="K351" i="9"/>
  <c r="L351" i="9" s="1"/>
  <c r="M351" i="9" s="1"/>
  <c r="N351" i="9" s="1"/>
  <c r="J351" i="9"/>
  <c r="B353" i="9"/>
  <c r="B354" i="9" s="1"/>
  <c r="B355" i="9" s="1"/>
  <c r="B356" i="9" s="1"/>
  <c r="B352" i="9"/>
  <c r="D351" i="9"/>
  <c r="E351" i="9" s="1"/>
  <c r="F351" i="9" s="1"/>
  <c r="G351" i="9" s="1"/>
  <c r="C351" i="9"/>
  <c r="I343" i="9"/>
  <c r="I344" i="9" s="1"/>
  <c r="I345" i="9" s="1"/>
  <c r="I346" i="9" s="1"/>
  <c r="I342" i="9"/>
  <c r="K341" i="9"/>
  <c r="L341" i="9" s="1"/>
  <c r="M341" i="9" s="1"/>
  <c r="N341" i="9" s="1"/>
  <c r="J341" i="9"/>
  <c r="B343" i="9"/>
  <c r="B344" i="9" s="1"/>
  <c r="B345" i="9" s="1"/>
  <c r="B346" i="9" s="1"/>
  <c r="B342" i="9"/>
  <c r="D341" i="9"/>
  <c r="E341" i="9" s="1"/>
  <c r="F341" i="9" s="1"/>
  <c r="G341" i="9" s="1"/>
  <c r="M333" i="9" l="1"/>
  <c r="M332" i="9"/>
  <c r="M331" i="9"/>
  <c r="A334" i="9" l="1"/>
  <c r="A333" i="9"/>
  <c r="A332" i="9"/>
  <c r="A331" i="9"/>
  <c r="C320" i="9" l="1"/>
  <c r="F294" i="9" l="1"/>
  <c r="G294" i="9" s="1"/>
  <c r="E295" i="9"/>
  <c r="H84" i="9"/>
  <c r="I84" i="9" s="1"/>
  <c r="J84" i="9" s="1"/>
  <c r="K84" i="9" s="1"/>
  <c r="L84" i="9" s="1"/>
  <c r="M84" i="9" s="1"/>
  <c r="N84" i="9" s="1"/>
  <c r="D32" i="9"/>
  <c r="G153" i="9"/>
  <c r="F153" i="9"/>
  <c r="E153" i="9"/>
  <c r="D153" i="9"/>
  <c r="C247" i="9"/>
  <c r="C239" i="9"/>
  <c r="C231" i="9"/>
  <c r="A244" i="9"/>
  <c r="A236" i="9"/>
  <c r="A228" i="9"/>
  <c r="A220" i="9"/>
  <c r="N213" i="9"/>
  <c r="M213" i="9"/>
  <c r="L213" i="9"/>
  <c r="K213" i="9"/>
  <c r="J213" i="9"/>
  <c r="I213" i="9"/>
  <c r="H213" i="9"/>
  <c r="G295" i="9" l="1"/>
  <c r="H294" i="9"/>
  <c r="E329" i="9"/>
  <c r="F295" i="9"/>
  <c r="F296" i="9" s="1"/>
  <c r="F329" i="9" l="1"/>
  <c r="G296" i="9"/>
  <c r="H295" i="9"/>
  <c r="H296" i="9" s="1"/>
  <c r="I294" i="9"/>
  <c r="G329" i="9"/>
  <c r="J294" i="9" l="1"/>
  <c r="I295" i="9"/>
  <c r="I296" i="9" s="1"/>
  <c r="H329" i="9"/>
  <c r="D284" i="9"/>
  <c r="F284" i="9" s="1"/>
  <c r="G284" i="9" s="1"/>
  <c r="D283" i="9"/>
  <c r="F283" i="9" s="1"/>
  <c r="G283" i="9" s="1"/>
  <c r="D280" i="9"/>
  <c r="F280" i="9" s="1"/>
  <c r="D278" i="9"/>
  <c r="F278" i="9" s="1"/>
  <c r="L278" i="9" s="1"/>
  <c r="D277" i="9"/>
  <c r="D273" i="9"/>
  <c r="D272" i="9"/>
  <c r="D270" i="9"/>
  <c r="D269" i="9"/>
  <c r="D268" i="9"/>
  <c r="D271" i="9" l="1"/>
  <c r="D274" i="9" s="1"/>
  <c r="D285" i="9"/>
  <c r="I329" i="9"/>
  <c r="D279" i="9"/>
  <c r="D281" i="9" s="1"/>
  <c r="K294" i="9"/>
  <c r="J295" i="9"/>
  <c r="J296" i="9" s="1"/>
  <c r="D286" i="9" l="1"/>
  <c r="D288" i="9" s="1"/>
  <c r="J329" i="9"/>
  <c r="L294" i="9"/>
  <c r="L295" i="9" s="1"/>
  <c r="K295" i="9"/>
  <c r="K329" i="9" s="1"/>
  <c r="F196" i="9"/>
  <c r="G196" i="9"/>
  <c r="F197" i="9"/>
  <c r="G197" i="9"/>
  <c r="E196" i="9"/>
  <c r="E197" i="9"/>
  <c r="D197" i="9"/>
  <c r="D196" i="9"/>
  <c r="D198" i="9"/>
  <c r="E195" i="9" s="1"/>
  <c r="E187" i="9"/>
  <c r="F187" i="9"/>
  <c r="G187" i="9"/>
  <c r="E188" i="9"/>
  <c r="F188" i="9"/>
  <c r="G188" i="9"/>
  <c r="E189" i="9"/>
  <c r="F189" i="9"/>
  <c r="G189" i="9"/>
  <c r="D189" i="9"/>
  <c r="D188" i="9"/>
  <c r="D187" i="9"/>
  <c r="M75" i="9"/>
  <c r="D77" i="9"/>
  <c r="F77" i="9" s="1"/>
  <c r="E272" i="9" s="1"/>
  <c r="F272" i="9" s="1"/>
  <c r="L272" i="9" s="1"/>
  <c r="H195" i="9" s="1"/>
  <c r="D74" i="9" a="1"/>
  <c r="D74" i="9" s="1"/>
  <c r="E74" i="9" s="1"/>
  <c r="H68" i="9"/>
  <c r="C56" i="9"/>
  <c r="G248" i="9" s="1"/>
  <c r="C55" i="9"/>
  <c r="G240" i="9" s="1"/>
  <c r="C54" i="9"/>
  <c r="G232" i="9" s="1"/>
  <c r="C53" i="9"/>
  <c r="G224" i="9" s="1"/>
  <c r="B58" i="9"/>
  <c r="D21" i="9"/>
  <c r="C63" i="9" s="1"/>
  <c r="C52" i="9" s="1"/>
  <c r="D20" i="9"/>
  <c r="D38" i="9" s="1"/>
  <c r="J7" i="9"/>
  <c r="I7" i="9"/>
  <c r="H7" i="9"/>
  <c r="G7" i="9" s="1"/>
  <c r="N47" i="9" s="1"/>
  <c r="H6" i="9"/>
  <c r="I6" i="9" s="1"/>
  <c r="J6" i="9" s="1"/>
  <c r="K6" i="9" s="1"/>
  <c r="L6" i="9" s="1"/>
  <c r="M6" i="9" s="1"/>
  <c r="N6" i="9" s="1"/>
  <c r="G190" i="9" l="1"/>
  <c r="D39" i="9"/>
  <c r="D190" i="9"/>
  <c r="D192" i="9" s="1"/>
  <c r="E198" i="9"/>
  <c r="F195" i="9" s="1"/>
  <c r="F198" i="9" s="1"/>
  <c r="G195" i="9" s="1"/>
  <c r="F190" i="9"/>
  <c r="G192" i="9" s="1"/>
  <c r="C64" i="9"/>
  <c r="H277" i="9" s="1"/>
  <c r="K277" i="9" s="1"/>
  <c r="L277" i="9" s="1"/>
  <c r="L279" i="9" s="1"/>
  <c r="E190" i="9"/>
  <c r="E192" i="9" s="1"/>
  <c r="F74" i="9"/>
  <c r="E79" i="9"/>
  <c r="E333" i="9"/>
  <c r="H245" i="9"/>
  <c r="H246" i="9" s="1"/>
  <c r="C67" i="9"/>
  <c r="L296" i="9"/>
  <c r="L329" i="9"/>
  <c r="M295" i="9"/>
  <c r="M329" i="9" s="1"/>
  <c r="G86" i="9"/>
  <c r="H221" i="9"/>
  <c r="H65" i="9"/>
  <c r="J280" i="9" s="1"/>
  <c r="J268" i="9" s="1"/>
  <c r="D79" i="9"/>
  <c r="F75" i="9"/>
  <c r="D195" i="9"/>
  <c r="K296" i="9"/>
  <c r="F76" i="9"/>
  <c r="C65" i="9"/>
  <c r="H66" i="9"/>
  <c r="C66" i="9"/>
  <c r="E331" i="9"/>
  <c r="H229" i="9"/>
  <c r="H230" i="9" s="1"/>
  <c r="E332" i="9"/>
  <c r="G256" i="9"/>
  <c r="H237" i="9"/>
  <c r="H238" i="9" s="1"/>
  <c r="G198" i="9"/>
  <c r="K39" i="9"/>
  <c r="H40" i="9"/>
  <c r="L40" i="9"/>
  <c r="I41" i="9"/>
  <c r="M41" i="9"/>
  <c r="J42" i="9"/>
  <c r="J118" i="9" s="1"/>
  <c r="N42" i="9"/>
  <c r="N118" i="9" s="1"/>
  <c r="K43" i="9"/>
  <c r="H44" i="9"/>
  <c r="L44" i="9"/>
  <c r="I45" i="9"/>
  <c r="M45" i="9"/>
  <c r="J46" i="9"/>
  <c r="N46" i="9"/>
  <c r="K47" i="9"/>
  <c r="H39" i="9"/>
  <c r="H113" i="9" s="1"/>
  <c r="L39" i="9"/>
  <c r="I40" i="9"/>
  <c r="M40" i="9"/>
  <c r="J41" i="9"/>
  <c r="N41" i="9"/>
  <c r="K42" i="9"/>
  <c r="K118" i="9" s="1"/>
  <c r="H43" i="9"/>
  <c r="L43" i="9"/>
  <c r="I44" i="9"/>
  <c r="M44" i="9"/>
  <c r="J45" i="9"/>
  <c r="N45" i="9"/>
  <c r="K46" i="9"/>
  <c r="H47" i="9"/>
  <c r="H197" i="9" s="1"/>
  <c r="L47" i="9"/>
  <c r="I39" i="9"/>
  <c r="M39" i="9"/>
  <c r="J40" i="9"/>
  <c r="N40" i="9"/>
  <c r="K41" i="9"/>
  <c r="H42" i="9"/>
  <c r="H118" i="9" s="1"/>
  <c r="L42" i="9"/>
  <c r="L118" i="9" s="1"/>
  <c r="I43" i="9"/>
  <c r="M43" i="9"/>
  <c r="J44" i="9"/>
  <c r="N44" i="9"/>
  <c r="K45" i="9"/>
  <c r="H46" i="9"/>
  <c r="L46" i="9"/>
  <c r="I47" i="9"/>
  <c r="M47" i="9"/>
  <c r="J39" i="9"/>
  <c r="N39" i="9"/>
  <c r="K40" i="9"/>
  <c r="H41" i="9"/>
  <c r="L41" i="9"/>
  <c r="I42" i="9"/>
  <c r="I118" i="9" s="1"/>
  <c r="M42" i="9"/>
  <c r="M118" i="9" s="1"/>
  <c r="J43" i="9"/>
  <c r="N43" i="9"/>
  <c r="K44" i="9"/>
  <c r="H45" i="9"/>
  <c r="L45" i="9"/>
  <c r="I46" i="9"/>
  <c r="M46" i="9"/>
  <c r="J47" i="9"/>
  <c r="H196" i="9" l="1"/>
  <c r="F192" i="9"/>
  <c r="H191" i="9"/>
  <c r="E269" i="9" a="1"/>
  <c r="E268" i="9"/>
  <c r="F268" i="9" s="1"/>
  <c r="F79" i="9"/>
  <c r="M78" i="9" s="1"/>
  <c r="H121" i="9"/>
  <c r="H161" i="9" s="1"/>
  <c r="F301" i="9"/>
  <c r="H166" i="9"/>
  <c r="H198" i="9"/>
  <c r="H114" i="9"/>
  <c r="H134" i="9"/>
  <c r="H187" i="9" s="1"/>
  <c r="I113" i="9"/>
  <c r="I196" i="9" s="1"/>
  <c r="I166" i="9" s="1"/>
  <c r="H117" i="9"/>
  <c r="H280" i="9"/>
  <c r="K280" i="9" s="1"/>
  <c r="L280" i="9" s="1"/>
  <c r="L281" i="9" s="1"/>
  <c r="H253" i="9"/>
  <c r="G87" i="9"/>
  <c r="G88" i="9" s="1"/>
  <c r="H254" i="9"/>
  <c r="H207" i="9" s="1"/>
  <c r="H111" i="9"/>
  <c r="H130" i="9" s="1"/>
  <c r="H157" i="9" s="1"/>
  <c r="I111" i="9" l="1"/>
  <c r="J111" i="9" s="1"/>
  <c r="K111" i="9" s="1"/>
  <c r="H202" i="9"/>
  <c r="H184" i="9"/>
  <c r="J130" i="9"/>
  <c r="J157" i="9" s="1"/>
  <c r="G111" i="9"/>
  <c r="I130" i="9"/>
  <c r="I157" i="9" s="1"/>
  <c r="E269" i="9"/>
  <c r="F269" i="9" s="1"/>
  <c r="L269" i="9" s="1"/>
  <c r="F270" i="9"/>
  <c r="L270" i="9" s="1"/>
  <c r="I168" i="9"/>
  <c r="I206" i="9" s="1"/>
  <c r="G300" i="9"/>
  <c r="G310" i="9" s="1"/>
  <c r="H135" i="9"/>
  <c r="H188" i="9" s="1"/>
  <c r="H143" i="9"/>
  <c r="H189" i="9" s="1"/>
  <c r="H115" i="9"/>
  <c r="H119" i="9" s="1"/>
  <c r="I195" i="9"/>
  <c r="H137" i="9"/>
  <c r="I114" i="9"/>
  <c r="I115" i="9" s="1"/>
  <c r="I134" i="9"/>
  <c r="I187" i="9" s="1"/>
  <c r="I117" i="9"/>
  <c r="J113" i="9"/>
  <c r="H168" i="9"/>
  <c r="H206" i="9" s="1"/>
  <c r="F300" i="9"/>
  <c r="F310" i="9" s="1"/>
  <c r="D37" i="9"/>
  <c r="J202" i="9" l="1"/>
  <c r="J184" i="9"/>
  <c r="I202" i="9"/>
  <c r="I184" i="9"/>
  <c r="L111" i="9"/>
  <c r="K130" i="9"/>
  <c r="K157" i="9" s="1"/>
  <c r="F111" i="9"/>
  <c r="G130" i="9"/>
  <c r="G157" i="9" s="1"/>
  <c r="I119" i="9"/>
  <c r="I98" i="9" s="1"/>
  <c r="I99" i="9" s="1"/>
  <c r="H190" i="9"/>
  <c r="H192" i="9" s="1"/>
  <c r="H162" i="9" s="1"/>
  <c r="I197" i="9"/>
  <c r="I198" i="9" s="1"/>
  <c r="H122" i="9"/>
  <c r="H97" i="9"/>
  <c r="H98" i="9"/>
  <c r="H99" i="9" s="1"/>
  <c r="J134" i="9"/>
  <c r="J187" i="9" s="1"/>
  <c r="K113" i="9"/>
  <c r="J114" i="9"/>
  <c r="J115" i="9" s="1"/>
  <c r="J117" i="9"/>
  <c r="J196" i="9"/>
  <c r="J166" i="9" s="1"/>
  <c r="I143" i="9"/>
  <c r="I189" i="9" s="1"/>
  <c r="I135" i="9"/>
  <c r="I188" i="9" s="1"/>
  <c r="D40" i="9"/>
  <c r="H63" i="9" s="1"/>
  <c r="E306" i="9"/>
  <c r="G202" i="9" l="1"/>
  <c r="G184" i="9"/>
  <c r="E111" i="9"/>
  <c r="F130" i="9"/>
  <c r="F157" i="9" s="1"/>
  <c r="K202" i="9"/>
  <c r="K184" i="9"/>
  <c r="M111" i="9"/>
  <c r="L130" i="9"/>
  <c r="L157" i="9" s="1"/>
  <c r="F302" i="9"/>
  <c r="I190" i="9"/>
  <c r="I192" i="9" s="1"/>
  <c r="G302" i="9" s="1"/>
  <c r="J168" i="9"/>
  <c r="J206" i="9" s="1"/>
  <c r="H300" i="9"/>
  <c r="H310" i="9" s="1"/>
  <c r="K134" i="9"/>
  <c r="K187" i="9" s="1"/>
  <c r="L113" i="9"/>
  <c r="K114" i="9"/>
  <c r="K117" i="9"/>
  <c r="K196" i="9"/>
  <c r="K166" i="9" s="1"/>
  <c r="J195" i="9"/>
  <c r="I137" i="9"/>
  <c r="J119" i="9"/>
  <c r="I121" i="9"/>
  <c r="G301" i="9"/>
  <c r="J143" i="9"/>
  <c r="J189" i="9" s="1"/>
  <c r="J135" i="9"/>
  <c r="J188" i="9" s="1"/>
  <c r="D41" i="9"/>
  <c r="D42" i="9" s="1"/>
  <c r="G268" i="9"/>
  <c r="M74" i="9"/>
  <c r="M76" i="9" s="1"/>
  <c r="M79" i="9" s="1"/>
  <c r="M80" i="9" s="1"/>
  <c r="G273" i="9" s="1"/>
  <c r="K273" i="9" s="1"/>
  <c r="L273" i="9" s="1"/>
  <c r="H138" i="9" s="1"/>
  <c r="I138" i="9" s="1"/>
  <c r="J138" i="9" s="1"/>
  <c r="K138" i="9" s="1"/>
  <c r="L138" i="9" s="1"/>
  <c r="M138" i="9" s="1"/>
  <c r="N138" i="9" s="1"/>
  <c r="I162" i="9" l="1"/>
  <c r="L202" i="9"/>
  <c r="L184" i="9"/>
  <c r="F202" i="9"/>
  <c r="F184" i="9"/>
  <c r="D111" i="9"/>
  <c r="D130" i="9" s="1"/>
  <c r="D157" i="9" s="1"/>
  <c r="E130" i="9"/>
  <c r="E157" i="9" s="1"/>
  <c r="N111" i="9"/>
  <c r="N130" i="9" s="1"/>
  <c r="N157" i="9" s="1"/>
  <c r="M130" i="9"/>
  <c r="M157" i="9" s="1"/>
  <c r="J190" i="9"/>
  <c r="J192" i="9" s="1"/>
  <c r="J162" i="9" s="1"/>
  <c r="K168" i="9"/>
  <c r="K206" i="9" s="1"/>
  <c r="I300" i="9"/>
  <c r="I310" i="9" s="1"/>
  <c r="I161" i="9"/>
  <c r="I122" i="9"/>
  <c r="I97" i="9"/>
  <c r="J98" i="9"/>
  <c r="J197" i="9"/>
  <c r="J198" i="9" s="1"/>
  <c r="K115" i="9"/>
  <c r="K119" i="9" s="1"/>
  <c r="K135" i="9"/>
  <c r="K188" i="9" s="1"/>
  <c r="K143" i="9"/>
  <c r="K189" i="9" s="1"/>
  <c r="L134" i="9"/>
  <c r="L187" i="9" s="1"/>
  <c r="L117" i="9"/>
  <c r="M113" i="9"/>
  <c r="L114" i="9"/>
  <c r="L115" i="9" s="1"/>
  <c r="L196" i="9"/>
  <c r="L166" i="9" s="1"/>
  <c r="M202" i="9" l="1"/>
  <c r="M184" i="9"/>
  <c r="N202" i="9"/>
  <c r="N184" i="9"/>
  <c r="E202" i="9"/>
  <c r="E184" i="9"/>
  <c r="D202" i="9"/>
  <c r="D184" i="9"/>
  <c r="L119" i="9"/>
  <c r="L98" i="9" s="1"/>
  <c r="K190" i="9"/>
  <c r="K192" i="9" s="1"/>
  <c r="K162" i="9" s="1"/>
  <c r="H302" i="9"/>
  <c r="M134" i="9"/>
  <c r="M187" i="9" s="1"/>
  <c r="M117" i="9"/>
  <c r="N113" i="9"/>
  <c r="M114" i="9"/>
  <c r="M115" i="9" s="1"/>
  <c r="M196" i="9"/>
  <c r="M166" i="9" s="1"/>
  <c r="K195" i="9"/>
  <c r="J137" i="9"/>
  <c r="L168" i="9"/>
  <c r="L206" i="9" s="1"/>
  <c r="J300" i="9"/>
  <c r="J310" i="9" s="1"/>
  <c r="K98" i="9"/>
  <c r="L135" i="9"/>
  <c r="L188" i="9" s="1"/>
  <c r="L143" i="9"/>
  <c r="L189" i="9" s="1"/>
  <c r="J121" i="9"/>
  <c r="H301" i="9"/>
  <c r="J99" i="9"/>
  <c r="I302" i="9" l="1"/>
  <c r="L190" i="9"/>
  <c r="L192" i="9" s="1"/>
  <c r="L162" i="9" s="1"/>
  <c r="K99" i="9"/>
  <c r="M168" i="9"/>
  <c r="M206" i="9" s="1"/>
  <c r="K300" i="9"/>
  <c r="K310" i="9" s="1"/>
  <c r="M119" i="9"/>
  <c r="J161" i="9"/>
  <c r="J122" i="9"/>
  <c r="J97" i="9"/>
  <c r="M143" i="9"/>
  <c r="M189" i="9" s="1"/>
  <c r="M135" i="9"/>
  <c r="M188" i="9" s="1"/>
  <c r="L99" i="9"/>
  <c r="K197" i="9"/>
  <c r="K198" i="9" s="1"/>
  <c r="N134" i="9"/>
  <c r="N187" i="9" s="1"/>
  <c r="N117" i="9"/>
  <c r="N114" i="9"/>
  <c r="N196" i="9"/>
  <c r="N166" i="9" s="1"/>
  <c r="M190" i="9" l="1"/>
  <c r="M192" i="9" s="1"/>
  <c r="M162" i="9" s="1"/>
  <c r="J302" i="9"/>
  <c r="M98" i="9"/>
  <c r="L195" i="9"/>
  <c r="K137" i="9"/>
  <c r="N168" i="9"/>
  <c r="N206" i="9" s="1"/>
  <c r="L300" i="9"/>
  <c r="L310" i="9" s="1"/>
  <c r="N115" i="9"/>
  <c r="N119" i="9" s="1"/>
  <c r="N135" i="9"/>
  <c r="N188" i="9" s="1"/>
  <c r="N143" i="9"/>
  <c r="N189" i="9" s="1"/>
  <c r="K121" i="9"/>
  <c r="I301" i="9"/>
  <c r="K302" i="9" l="1"/>
  <c r="N190" i="9"/>
  <c r="N192" i="9" s="1"/>
  <c r="N162" i="9" s="1"/>
  <c r="N98" i="9"/>
  <c r="L197" i="9"/>
  <c r="L198" i="9" s="1"/>
  <c r="K161" i="9"/>
  <c r="K97" i="9"/>
  <c r="K122" i="9"/>
  <c r="M99" i="9"/>
  <c r="L302" i="9" l="1"/>
  <c r="N99" i="9"/>
  <c r="L121" i="9"/>
  <c r="J301" i="9"/>
  <c r="M195" i="9"/>
  <c r="L137" i="9"/>
  <c r="M197" i="9" l="1"/>
  <c r="M198" i="9" s="1"/>
  <c r="L161" i="9"/>
  <c r="L97" i="9"/>
  <c r="L122" i="9"/>
  <c r="M137" i="9" l="1"/>
  <c r="N195" i="9"/>
  <c r="M121" i="9"/>
  <c r="K301" i="9"/>
  <c r="M161" i="9" l="1"/>
  <c r="M97" i="9"/>
  <c r="M122" i="9"/>
  <c r="N197" i="9"/>
  <c r="N121" i="9" l="1"/>
  <c r="L301" i="9"/>
  <c r="N198" i="9"/>
  <c r="N137" i="9" s="1"/>
  <c r="N161" i="9" l="1"/>
  <c r="N122" i="9"/>
  <c r="N97" i="9"/>
  <c r="F298" i="9" l="1" a="1"/>
  <c r="F298" i="9" l="1"/>
  <c r="C319" i="9"/>
  <c r="C321" i="9" s="1"/>
  <c r="H299" i="9"/>
  <c r="H303" i="9" s="1"/>
  <c r="H305" i="9" s="1"/>
  <c r="H306" i="9" s="1"/>
  <c r="L299" i="9"/>
  <c r="L303" i="9" s="1"/>
  <c r="L305" i="9" s="1"/>
  <c r="L306" i="9" s="1"/>
  <c r="I299" i="9"/>
  <c r="I303" i="9" s="1"/>
  <c r="I305" i="9" s="1"/>
  <c r="I306" i="9" s="1"/>
  <c r="J299" i="9"/>
  <c r="J303" i="9" s="1"/>
  <c r="J305" i="9" s="1"/>
  <c r="J306" i="9" s="1"/>
  <c r="G299" i="9"/>
  <c r="G303" i="9" s="1"/>
  <c r="G305" i="9" s="1"/>
  <c r="G306" i="9" s="1"/>
  <c r="K299" i="9"/>
  <c r="K303" i="9" s="1"/>
  <c r="K305" i="9" s="1"/>
  <c r="K306" i="9" s="1"/>
  <c r="M306" i="9" l="1"/>
  <c r="M305" i="9"/>
  <c r="F299" i="9"/>
  <c r="F303" i="9" s="1"/>
  <c r="F305" i="9" s="1"/>
  <c r="F306" i="9" s="1"/>
  <c r="L320" i="9" l="1"/>
  <c r="G320" i="9" s="1"/>
  <c r="H320" i="9" s="1"/>
  <c r="D31" i="9"/>
  <c r="L288" i="9"/>
  <c r="L286" i="9"/>
  <c r="L285" i="9"/>
  <c r="H94" i="9"/>
  <c r="H172" i="9"/>
  <c r="J107" i="9"/>
  <c r="J100" i="9"/>
  <c r="J125" i="9"/>
  <c r="D58" i="9"/>
  <c r="D52" i="9"/>
  <c r="K212" i="9"/>
  <c r="K209" i="9"/>
  <c r="K205" i="9"/>
  <c r="N94" i="9"/>
  <c r="N172" i="9"/>
  <c r="M103" i="9"/>
  <c r="M91" i="9"/>
  <c r="I331" i="9"/>
  <c r="K234" i="9"/>
  <c r="K247" i="9"/>
  <c r="K255" i="9"/>
  <c r="K218" i="9"/>
  <c r="J309" i="9"/>
  <c r="J312" i="9"/>
  <c r="J314" i="9"/>
  <c r="J315" i="9"/>
  <c r="J334" i="9"/>
  <c r="J218" i="9"/>
  <c r="J255" i="9"/>
  <c r="J247" i="9"/>
  <c r="I107" i="9"/>
  <c r="I100" i="9"/>
  <c r="I125" i="9"/>
  <c r="M94" i="9"/>
  <c r="M172" i="9"/>
  <c r="L207" i="9"/>
  <c r="L254" i="9"/>
  <c r="L246" i="9"/>
  <c r="K105" i="9"/>
  <c r="K95" i="9"/>
  <c r="K106" i="9"/>
  <c r="K333" i="9"/>
  <c r="C324" i="9"/>
  <c r="K230" i="9"/>
  <c r="G332" i="9"/>
  <c r="I242" i="9"/>
  <c r="L139" i="9"/>
  <c r="L136" i="9"/>
  <c r="L212" i="9"/>
  <c r="L209" i="9"/>
  <c r="L205" i="9"/>
  <c r="J205" i="9"/>
  <c r="J209" i="9"/>
  <c r="J212" i="9"/>
  <c r="I103" i="9"/>
  <c r="I91" i="9"/>
  <c r="L103" i="9"/>
  <c r="L91" i="9"/>
  <c r="K93" i="9"/>
  <c r="K104" i="9"/>
  <c r="J332" i="9"/>
  <c r="L242" i="9"/>
  <c r="K142" i="9"/>
  <c r="K144" i="9"/>
  <c r="K146" i="9"/>
  <c r="K151" i="9"/>
  <c r="K153" i="9"/>
  <c r="N176" i="9"/>
  <c r="N222" i="9"/>
  <c r="N171" i="9"/>
  <c r="L311" i="9"/>
  <c r="J333" i="9"/>
  <c r="G333" i="9"/>
  <c r="J103" i="9"/>
  <c r="J91" i="9"/>
  <c r="H218" i="9"/>
  <c r="L150" i="9"/>
  <c r="J94" i="9"/>
  <c r="J172" i="9"/>
  <c r="D34" i="9"/>
  <c r="C252" i="9"/>
  <c r="K332" i="9"/>
  <c r="M242" i="9"/>
  <c r="D57" i="9"/>
  <c r="I106" i="9"/>
  <c r="I95" i="9"/>
  <c r="I105" i="9"/>
  <c r="H139" i="9"/>
  <c r="H136" i="9"/>
  <c r="I150" i="9"/>
  <c r="C236" i="9"/>
  <c r="I238" i="9"/>
  <c r="K150" i="9"/>
  <c r="L231" i="9"/>
  <c r="L239" i="9"/>
  <c r="G331" i="9"/>
  <c r="I234" i="9"/>
  <c r="H223" i="9"/>
  <c r="H215" i="9"/>
  <c r="B341" i="9"/>
  <c r="C334" i="9"/>
  <c r="B351" i="9"/>
  <c r="E334" i="9"/>
  <c r="E315" i="9"/>
  <c r="M334" i="9"/>
  <c r="M315" i="9"/>
  <c r="I86" i="9"/>
  <c r="I88" i="9"/>
  <c r="I102" i="9"/>
  <c r="H309" i="9"/>
  <c r="H312" i="9"/>
  <c r="H314" i="9"/>
  <c r="H315" i="9"/>
  <c r="H334" i="9"/>
  <c r="M230" i="9"/>
  <c r="J242" i="9"/>
  <c r="H332" i="9"/>
  <c r="I333" i="9"/>
  <c r="H333" i="9"/>
  <c r="L238" i="9"/>
  <c r="I142" i="9"/>
  <c r="I144" i="9"/>
  <c r="I146" i="9"/>
  <c r="I151" i="9"/>
  <c r="I153" i="9"/>
  <c r="H205" i="9"/>
  <c r="H209" i="9"/>
  <c r="H212" i="9"/>
  <c r="I351" i="9"/>
  <c r="F309" i="9"/>
  <c r="F312" i="9"/>
  <c r="F314" i="9"/>
  <c r="F315" i="9"/>
  <c r="F334" i="9"/>
  <c r="C336" i="9"/>
  <c r="I341" i="9"/>
  <c r="J230" i="9"/>
  <c r="N153" i="9"/>
  <c r="N151" i="9"/>
  <c r="N142" i="9"/>
  <c r="N144" i="9"/>
  <c r="N146" i="9"/>
  <c r="L125" i="9"/>
  <c r="L100" i="9"/>
  <c r="L107" i="9"/>
  <c r="I215" i="9"/>
  <c r="H145" i="9"/>
  <c r="H87" i="9"/>
  <c r="M106" i="9"/>
  <c r="M95" i="9"/>
  <c r="M105" i="9"/>
  <c r="K139" i="9"/>
  <c r="K136" i="9"/>
  <c r="I205" i="9"/>
  <c r="I209" i="9"/>
  <c r="I212" i="9"/>
  <c r="I93" i="9"/>
  <c r="I104" i="9"/>
  <c r="L226" i="9"/>
  <c r="N139" i="9"/>
  <c r="N136" i="9"/>
  <c r="H133" i="9"/>
  <c r="H90" i="9"/>
  <c r="I268" i="9"/>
  <c r="I284" i="9"/>
  <c r="K284" i="9"/>
  <c r="L284" i="9"/>
  <c r="H149" i="9"/>
  <c r="I149" i="9"/>
  <c r="J149" i="9"/>
  <c r="K149" i="9"/>
  <c r="L149" i="9"/>
  <c r="M149" i="9"/>
  <c r="N149" i="9"/>
  <c r="J150" i="9"/>
  <c r="H321" i="9"/>
  <c r="G321" i="9"/>
  <c r="K246" i="9"/>
  <c r="K254" i="9"/>
  <c r="K207" i="9"/>
  <c r="N205" i="9"/>
  <c r="N209" i="9"/>
  <c r="N212" i="9"/>
  <c r="K239" i="9"/>
  <c r="K216" i="9"/>
  <c r="K231" i="9"/>
  <c r="J311" i="9"/>
  <c r="L222" i="9"/>
  <c r="L171" i="9"/>
  <c r="L176" i="9"/>
  <c r="J226" i="9"/>
  <c r="H176" i="9"/>
  <c r="H171" i="9"/>
  <c r="F311" i="9"/>
  <c r="N90" i="9"/>
  <c r="N107" i="9"/>
  <c r="N125" i="9"/>
  <c r="N100" i="9"/>
  <c r="K309" i="9"/>
  <c r="K312" i="9"/>
  <c r="K314" i="9"/>
  <c r="K315" i="9"/>
  <c r="K334" i="9"/>
  <c r="L230" i="9"/>
  <c r="L145" i="9"/>
  <c r="L87" i="9"/>
  <c r="L94" i="9"/>
  <c r="L172" i="9"/>
  <c r="M139" i="9"/>
  <c r="M136" i="9"/>
  <c r="M176" i="9"/>
  <c r="M222" i="9"/>
  <c r="M171" i="9"/>
  <c r="K311" i="9"/>
  <c r="J142" i="9"/>
  <c r="J144" i="9"/>
  <c r="J146" i="9"/>
  <c r="J151" i="9"/>
  <c r="J153" i="9"/>
  <c r="L104" i="9"/>
  <c r="L334" i="9"/>
  <c r="L315" i="9"/>
  <c r="L309" i="9"/>
  <c r="L312" i="9"/>
  <c r="L314" i="9"/>
  <c r="J86" i="9"/>
  <c r="J88" i="9"/>
  <c r="J102" i="9"/>
  <c r="I254" i="9"/>
  <c r="I207" i="9"/>
  <c r="K238" i="9"/>
  <c r="I246" i="9"/>
  <c r="C244" i="9"/>
  <c r="M93" i="9"/>
  <c r="M104" i="9"/>
  <c r="N103" i="9"/>
  <c r="N91" i="9"/>
  <c r="L216" i="9"/>
  <c r="L247" i="9"/>
  <c r="L255" i="9"/>
  <c r="L218" i="9"/>
  <c r="M205" i="9"/>
  <c r="M209" i="9"/>
  <c r="M212" i="9"/>
  <c r="N231" i="9"/>
  <c r="N239" i="9"/>
  <c r="L271" i="9"/>
  <c r="L274" i="9"/>
  <c r="K242" i="9"/>
  <c r="I332" i="9"/>
  <c r="N124" i="9"/>
  <c r="N126" i="9"/>
  <c r="N160" i="9"/>
  <c r="N163" i="9"/>
  <c r="N178" i="9"/>
  <c r="N180" i="9"/>
  <c r="N133" i="9"/>
  <c r="C323" i="9"/>
  <c r="C325" i="9"/>
  <c r="M314" i="9"/>
  <c r="L321" i="9"/>
  <c r="J2" i="9"/>
  <c r="K226" i="9"/>
  <c r="J106" i="9"/>
  <c r="J95" i="9"/>
  <c r="J105" i="9"/>
  <c r="K133" i="9"/>
  <c r="K90" i="9"/>
  <c r="M86" i="9"/>
  <c r="M88" i="9"/>
  <c r="M102" i="9"/>
  <c r="J246" i="9"/>
  <c r="J254" i="9"/>
  <c r="J207" i="9"/>
  <c r="N223" i="9"/>
  <c r="N215" i="9"/>
  <c r="M150" i="9"/>
  <c r="M125" i="9"/>
  <c r="M100" i="9"/>
  <c r="M107" i="9"/>
  <c r="K215" i="9"/>
  <c r="H150" i="9"/>
  <c r="H104" i="9"/>
  <c r="N230" i="9"/>
  <c r="N229" i="9"/>
  <c r="N232" i="9"/>
  <c r="K102" i="9"/>
  <c r="I247" i="9"/>
  <c r="I255" i="9"/>
  <c r="I218" i="9"/>
  <c r="G334" i="9"/>
  <c r="G309" i="9"/>
  <c r="G312" i="9"/>
  <c r="G314" i="9"/>
  <c r="G315" i="9"/>
  <c r="C69" i="9"/>
  <c r="D33" i="9"/>
  <c r="G90" i="9"/>
  <c r="G91" i="9"/>
  <c r="M145" i="9"/>
  <c r="M87" i="9"/>
  <c r="H102" i="9"/>
  <c r="N240" i="9"/>
  <c r="N237" i="9"/>
  <c r="N238" i="9"/>
  <c r="K125" i="9"/>
  <c r="K100" i="9"/>
  <c r="K107" i="9"/>
  <c r="I90" i="9"/>
  <c r="J90" i="9"/>
  <c r="I223" i="9"/>
  <c r="I172" i="9"/>
  <c r="I94" i="9"/>
  <c r="H142" i="9"/>
  <c r="H144" i="9"/>
  <c r="H146" i="9"/>
  <c r="H151" i="9"/>
  <c r="H153" i="9"/>
  <c r="D30" i="9"/>
  <c r="M2" i="9"/>
  <c r="M247" i="9"/>
  <c r="M255" i="9"/>
  <c r="M218" i="9"/>
  <c r="N246" i="9"/>
  <c r="N254" i="9"/>
  <c r="N207" i="9"/>
  <c r="H86" i="9"/>
  <c r="H88" i="9"/>
  <c r="H91" i="9"/>
  <c r="H103" i="9"/>
  <c r="J93" i="9"/>
  <c r="J104" i="9"/>
  <c r="H106" i="9"/>
  <c r="H93" i="9"/>
  <c r="H95" i="9"/>
  <c r="H105" i="9"/>
  <c r="D56" i="9"/>
  <c r="D55" i="9"/>
  <c r="D53" i="9"/>
  <c r="C58" i="9"/>
  <c r="D54" i="9"/>
  <c r="M223" i="9"/>
  <c r="M215" i="9"/>
  <c r="N221" i="9"/>
  <c r="N224" i="9"/>
  <c r="N86" i="9"/>
  <c r="N88" i="9"/>
  <c r="N102" i="9"/>
  <c r="I87" i="9"/>
  <c r="I145" i="9"/>
  <c r="H283" i="9"/>
  <c r="K283" i="9"/>
  <c r="L283" i="9"/>
  <c r="H148" i="9"/>
  <c r="I148" i="9"/>
  <c r="J148" i="9"/>
  <c r="K148" i="9"/>
  <c r="L148" i="9"/>
  <c r="M148" i="9"/>
  <c r="N148" i="9"/>
  <c r="N150" i="9"/>
  <c r="M229" i="9"/>
  <c r="M232" i="9"/>
  <c r="N234" i="9"/>
  <c r="L331" i="9"/>
  <c r="K211" i="9"/>
  <c r="K214" i="9"/>
  <c r="K223" i="9"/>
  <c r="K172" i="9"/>
  <c r="K94" i="9"/>
  <c r="K178" i="9"/>
  <c r="K180" i="9"/>
  <c r="L179" i="9"/>
  <c r="L211" i="9"/>
  <c r="L214" i="9"/>
  <c r="L223" i="9"/>
  <c r="L215" i="9"/>
  <c r="I231" i="9"/>
  <c r="I211" i="9"/>
  <c r="I214" i="9"/>
  <c r="I216" i="9"/>
  <c r="I239" i="9"/>
  <c r="M133" i="9"/>
  <c r="M90" i="9"/>
  <c r="F333" i="9"/>
  <c r="C333" i="9"/>
  <c r="L133" i="9"/>
  <c r="L90" i="9"/>
  <c r="K86" i="9"/>
  <c r="K88" i="9"/>
  <c r="K91" i="9"/>
  <c r="K103" i="9"/>
  <c r="M246" i="9"/>
  <c r="M254" i="9"/>
  <c r="M207" i="9"/>
  <c r="M142" i="9"/>
  <c r="M144" i="9"/>
  <c r="M146" i="9"/>
  <c r="M151" i="9"/>
  <c r="M153" i="9"/>
  <c r="M221" i="9"/>
  <c r="M224" i="9"/>
  <c r="N226" i="9"/>
  <c r="K87" i="9"/>
  <c r="K145" i="9"/>
  <c r="L142" i="9"/>
  <c r="L144" i="9"/>
  <c r="L146" i="9"/>
  <c r="L151" i="9"/>
  <c r="L153" i="9"/>
  <c r="M226" i="9"/>
  <c r="N87" i="9"/>
  <c r="K253" i="9"/>
  <c r="K256" i="9"/>
  <c r="L253" i="9"/>
  <c r="L256" i="9"/>
  <c r="M253" i="9"/>
  <c r="M256" i="9"/>
  <c r="N253" i="9"/>
  <c r="N256" i="9"/>
  <c r="N145" i="9"/>
  <c r="G311" i="9"/>
  <c r="H126" i="9"/>
  <c r="H160" i="9"/>
  <c r="H163" i="9"/>
  <c r="H178" i="9"/>
  <c r="H180" i="9"/>
  <c r="I179" i="9"/>
  <c r="I222" i="9"/>
  <c r="I171" i="9"/>
  <c r="I176" i="9"/>
  <c r="L105" i="9"/>
  <c r="L93" i="9"/>
  <c r="L95" i="9"/>
  <c r="L106" i="9"/>
  <c r="J238" i="9"/>
  <c r="I230" i="9"/>
  <c r="C228" i="9"/>
  <c r="J239" i="9"/>
  <c r="J216" i="9"/>
  <c r="J231" i="9"/>
  <c r="J234" i="9"/>
  <c r="H331" i="9"/>
  <c r="I133" i="9"/>
  <c r="I136" i="9"/>
  <c r="I139" i="9"/>
  <c r="N104" i="9"/>
  <c r="J133" i="9"/>
  <c r="J136" i="9"/>
  <c r="J139" i="9"/>
  <c r="M250" i="9"/>
  <c r="M258" i="9"/>
  <c r="M124" i="9"/>
  <c r="M126" i="9"/>
  <c r="M160" i="9"/>
  <c r="M163" i="9"/>
  <c r="M178" i="9"/>
  <c r="M180" i="9"/>
  <c r="N179" i="9"/>
  <c r="N211" i="9"/>
  <c r="N214" i="9"/>
  <c r="N216" i="9"/>
  <c r="N247" i="9"/>
  <c r="N255" i="9"/>
  <c r="N218" i="9"/>
  <c r="M238" i="9"/>
  <c r="J87" i="9"/>
  <c r="H255" i="9"/>
  <c r="H256" i="9"/>
  <c r="I253" i="9"/>
  <c r="I256" i="9"/>
  <c r="J253" i="9"/>
  <c r="J256" i="9"/>
  <c r="J145" i="9"/>
  <c r="L234" i="9"/>
  <c r="J331" i="9"/>
  <c r="L333" i="9"/>
  <c r="H242" i="9"/>
  <c r="F332" i="9"/>
  <c r="C332" i="9"/>
  <c r="C331" i="9"/>
  <c r="H234" i="9"/>
  <c r="F331" i="9"/>
  <c r="H239" i="9"/>
  <c r="H240" i="9"/>
  <c r="I237" i="9"/>
  <c r="I240" i="9"/>
  <c r="J237" i="9"/>
  <c r="J240" i="9"/>
  <c r="K237" i="9"/>
  <c r="K240" i="9"/>
  <c r="L237" i="9"/>
  <c r="L240" i="9"/>
  <c r="M237" i="9"/>
  <c r="M240" i="9"/>
  <c r="N242" i="9"/>
  <c r="L332" i="9"/>
  <c r="N106" i="9"/>
  <c r="N250" i="9"/>
  <c r="N258" i="9"/>
  <c r="N93" i="9"/>
  <c r="N95" i="9"/>
  <c r="N105" i="9"/>
  <c r="K250" i="9"/>
  <c r="K258" i="9"/>
  <c r="K124" i="9"/>
  <c r="K126" i="9"/>
  <c r="K160" i="9"/>
  <c r="K163" i="9"/>
  <c r="I309" i="9"/>
  <c r="I312" i="9"/>
  <c r="I314" i="9"/>
  <c r="I315" i="9"/>
  <c r="I334" i="9"/>
  <c r="J211" i="9"/>
  <c r="J214" i="9"/>
  <c r="J223" i="9"/>
  <c r="J215" i="9"/>
  <c r="H226" i="9"/>
  <c r="I226" i="9"/>
  <c r="I311" i="9"/>
  <c r="J250" i="9"/>
  <c r="J258" i="9"/>
  <c r="J124" i="9"/>
  <c r="J126" i="9"/>
  <c r="J160" i="9"/>
  <c r="J163" i="9"/>
  <c r="J178" i="9"/>
  <c r="J180" i="9"/>
  <c r="K179" i="9"/>
  <c r="K222" i="9"/>
  <c r="K171" i="9"/>
  <c r="K176" i="9"/>
  <c r="H311" i="9"/>
  <c r="I250" i="9"/>
  <c r="I258" i="9"/>
  <c r="I124" i="9"/>
  <c r="I126" i="9"/>
  <c r="I160" i="9"/>
  <c r="I163" i="9"/>
  <c r="I178" i="9"/>
  <c r="I180" i="9"/>
  <c r="J179" i="9"/>
  <c r="J222" i="9"/>
  <c r="J171" i="9"/>
  <c r="J176" i="9"/>
  <c r="M239" i="9"/>
  <c r="L250" i="9"/>
  <c r="L258" i="9"/>
  <c r="L124" i="9"/>
  <c r="L126" i="9"/>
  <c r="L160" i="9"/>
  <c r="L163" i="9"/>
  <c r="L178" i="9"/>
  <c r="L180" i="9"/>
  <c r="M179" i="9"/>
  <c r="M211" i="9"/>
  <c r="M214" i="9"/>
  <c r="M216" i="9"/>
  <c r="M231" i="9"/>
  <c r="I245" i="9"/>
  <c r="I248" i="9"/>
  <c r="J245" i="9"/>
  <c r="J248" i="9"/>
  <c r="K245" i="9"/>
  <c r="K248" i="9"/>
  <c r="L245" i="9"/>
  <c r="L248" i="9"/>
  <c r="M245" i="9"/>
  <c r="M248" i="9"/>
  <c r="N245" i="9"/>
  <c r="N248" i="9"/>
  <c r="H231" i="9"/>
  <c r="H232" i="9"/>
  <c r="I229" i="9"/>
  <c r="I232" i="9"/>
  <c r="J229" i="9"/>
  <c r="J232" i="9"/>
  <c r="K229" i="9"/>
  <c r="K232" i="9"/>
  <c r="L229" i="9"/>
  <c r="L232" i="9"/>
  <c r="M234" i="9"/>
  <c r="K331" i="9"/>
  <c r="H222" i="9"/>
  <c r="H224" i="9"/>
  <c r="I221" i="9"/>
  <c r="I224" i="9"/>
  <c r="J221" i="9"/>
  <c r="J224" i="9"/>
  <c r="K221" i="9"/>
  <c r="K224" i="9"/>
  <c r="L221" i="9"/>
  <c r="L224" i="9"/>
  <c r="L86" i="9"/>
  <c r="L88" i="9"/>
  <c r="L102" i="9"/>
  <c r="H67" i="9"/>
  <c r="H69" i="9"/>
  <c r="C57" i="9"/>
  <c r="C68" i="9"/>
  <c r="H268" i="9"/>
  <c r="K268" i="9"/>
  <c r="L268" i="9"/>
  <c r="H179" i="9"/>
  <c r="H211" i="9"/>
  <c r="H214" i="9"/>
  <c r="H216" i="9"/>
  <c r="H247" i="9"/>
  <c r="H248" i="9"/>
  <c r="H250" i="9"/>
  <c r="H258" i="9"/>
  <c r="H124" i="9"/>
  <c r="H125" i="9"/>
  <c r="H100" i="9"/>
  <c r="H107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G51" authorId="0" shapeId="0" xr:uid="{14F16805-9575-405A-9863-8599ED3074C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% of available cash flow allocated to each piece of debt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<sst xmlns="http://schemas.openxmlformats.org/spreadsheetml/2006/main" count="355" uniqueCount="253">
  <si>
    <t>Target</t>
  </si>
  <si>
    <t>EBITDA</t>
  </si>
  <si>
    <t>EBIT</t>
  </si>
  <si>
    <t>Transaction</t>
  </si>
  <si>
    <t>Revenue</t>
  </si>
  <si>
    <t>Assumptions</t>
  </si>
  <si>
    <t>Income Statement</t>
  </si>
  <si>
    <t>Cost of Goods Sold (COGS)</t>
  </si>
  <si>
    <t>Gross Profit</t>
  </si>
  <si>
    <t>Depreciation &amp; Amortization</t>
  </si>
  <si>
    <t>Interest</t>
  </si>
  <si>
    <t>Net Earnings</t>
  </si>
  <si>
    <t>Balance Sheet</t>
  </si>
  <si>
    <t>Assets</t>
  </si>
  <si>
    <t>Cash</t>
  </si>
  <si>
    <t>Accounts Receivable</t>
  </si>
  <si>
    <t>Inventory</t>
  </si>
  <si>
    <t>Property &amp; Equipment</t>
  </si>
  <si>
    <t>Total Assets</t>
  </si>
  <si>
    <t>Liabilities</t>
  </si>
  <si>
    <t>Accounts Payable</t>
  </si>
  <si>
    <t>Total Liabilities</t>
  </si>
  <si>
    <t>Shareholder's Equity</t>
  </si>
  <si>
    <t>Equity Capital</t>
  </si>
  <si>
    <t>Retained Earnings</t>
  </si>
  <si>
    <t>Total Liabilities &amp; Shareholder's Equity</t>
  </si>
  <si>
    <t>Check</t>
  </si>
  <si>
    <t>Cash Flow Statement</t>
  </si>
  <si>
    <t>Operating Cash Flow</t>
  </si>
  <si>
    <t>Plus: Depreciation &amp; Amortization</t>
  </si>
  <si>
    <t>Less: Changes in Working Capital</t>
  </si>
  <si>
    <t>Cash from Operations</t>
  </si>
  <si>
    <t>Investing Cash Flow</t>
  </si>
  <si>
    <t>Investments in Property &amp; Equipment</t>
  </si>
  <si>
    <t>Cash from Investing</t>
  </si>
  <si>
    <t>Financing Cash Flow</t>
  </si>
  <si>
    <t>Cash from Financing</t>
  </si>
  <si>
    <t>Net Increase (decrease) in Cash</t>
  </si>
  <si>
    <t>Opening Cash Balance</t>
  </si>
  <si>
    <t>Closing Cash Balance</t>
  </si>
  <si>
    <t>Working Capital Schedule</t>
  </si>
  <si>
    <t>Net Working Capital (NWC)</t>
  </si>
  <si>
    <t>Change in NWC</t>
  </si>
  <si>
    <t>Depreciation Schedule</t>
  </si>
  <si>
    <t>PPE Opening</t>
  </si>
  <si>
    <t>Plus Capex</t>
  </si>
  <si>
    <t>Less Depreciation</t>
  </si>
  <si>
    <t>PPE Closing</t>
  </si>
  <si>
    <t>Interest Expense</t>
  </si>
  <si>
    <t>Tax Rate</t>
  </si>
  <si>
    <t>Enterprise Value</t>
  </si>
  <si>
    <t>Financing</t>
  </si>
  <si>
    <t>Cash Consideration</t>
  </si>
  <si>
    <t>Financial Reporting Units</t>
  </si>
  <si>
    <t>Currency</t>
  </si>
  <si>
    <t>Purchase Price</t>
  </si>
  <si>
    <t>Sources &amp; Uses of Cash</t>
  </si>
  <si>
    <t>Sources of Cash</t>
  </si>
  <si>
    <t>Other Closing Costs</t>
  </si>
  <si>
    <t>Total Sources</t>
  </si>
  <si>
    <t>Goodwill and Purchase Price Allocation</t>
  </si>
  <si>
    <t>Fair Market Value</t>
  </si>
  <si>
    <t>Identifiable Intangibles</t>
  </si>
  <si>
    <t>Book Value</t>
  </si>
  <si>
    <t>Fair Value</t>
  </si>
  <si>
    <t>Current Assets</t>
  </si>
  <si>
    <t>Short Term Debt</t>
  </si>
  <si>
    <t>Long Term Debt</t>
  </si>
  <si>
    <t>Current Liabilities</t>
  </si>
  <si>
    <t>Adjustment</t>
  </si>
  <si>
    <t>Purchase Price Allocation</t>
  </si>
  <si>
    <t>Net Book Value of Assets</t>
  </si>
  <si>
    <t>Excess Purchase Price</t>
  </si>
  <si>
    <t>Fair Value Adjustments</t>
  </si>
  <si>
    <t>Excess Purchase Price After Adjustments</t>
  </si>
  <si>
    <t xml:space="preserve">Goodwill </t>
  </si>
  <si>
    <t>Restructuring Charges</t>
  </si>
  <si>
    <t>Total Purchase Price</t>
  </si>
  <si>
    <t>Write-off Existing Goodwill</t>
  </si>
  <si>
    <t>Transaction Close Date</t>
  </si>
  <si>
    <t>Purchase</t>
  </si>
  <si>
    <t>Goodwill</t>
  </si>
  <si>
    <t>Total Adj.</t>
  </si>
  <si>
    <t>Step #</t>
  </si>
  <si>
    <t>Cost of Goods Sold</t>
  </si>
  <si>
    <t>General &amp; Administrative</t>
  </si>
  <si>
    <t>Marketing, Advertising &amp; Promotion</t>
  </si>
  <si>
    <t>Investments in Businesses</t>
  </si>
  <si>
    <t>Opening Balance</t>
  </si>
  <si>
    <t>Closing Balance</t>
  </si>
  <si>
    <t>Closing Balance Sheet</t>
  </si>
  <si>
    <t>Total Debt</t>
  </si>
  <si>
    <t xml:space="preserve">Total </t>
  </si>
  <si>
    <t>Payment of Dividends</t>
  </si>
  <si>
    <t>Uses of Cash</t>
  </si>
  <si>
    <t>Stock Consideration</t>
  </si>
  <si>
    <t>Target Debt - Replace</t>
  </si>
  <si>
    <t>Debt Financing Fees</t>
  </si>
  <si>
    <t>Equity Financing Fees</t>
  </si>
  <si>
    <t>Total Uses</t>
  </si>
  <si>
    <t>Debt + Equity</t>
  </si>
  <si>
    <t>Fees</t>
  </si>
  <si>
    <t>Re-fi Debt</t>
  </si>
  <si>
    <t>Pro Forma Consolidated Balance Sheet</t>
  </si>
  <si>
    <t>LBO Target Name</t>
  </si>
  <si>
    <t>Revenue Growth Rate</t>
  </si>
  <si>
    <t>Marketing &amp; Advertising</t>
  </si>
  <si>
    <t>General &amp; Admin (fixed costs)</t>
  </si>
  <si>
    <t>Inventory Days</t>
  </si>
  <si>
    <t>Accounts Payable Days</t>
  </si>
  <si>
    <t>Accounts Receivable Days</t>
  </si>
  <si>
    <t>Property, Plant &amp; Equipment</t>
  </si>
  <si>
    <t>Exit EV/EBITDA</t>
  </si>
  <si>
    <t>Less: Total Debt</t>
  </si>
  <si>
    <t>Plus: Cash Balance</t>
  </si>
  <si>
    <t>Equity Offer Value</t>
  </si>
  <si>
    <t>$/Share</t>
  </si>
  <si>
    <t>Premium (Discount)</t>
  </si>
  <si>
    <t>Term Loan 1</t>
  </si>
  <si>
    <t>Term Loan 2</t>
  </si>
  <si>
    <t>Line of Credit</t>
  </si>
  <si>
    <t>Type</t>
  </si>
  <si>
    <t>% of Total</t>
  </si>
  <si>
    <t>$ Value</t>
  </si>
  <si>
    <t>x EBITDA</t>
  </si>
  <si>
    <t>Year 1</t>
  </si>
  <si>
    <t>Year 2</t>
  </si>
  <si>
    <t>Year 3</t>
  </si>
  <si>
    <t>Year 4</t>
  </si>
  <si>
    <t>Year 5</t>
  </si>
  <si>
    <t>Credit Metrics</t>
  </si>
  <si>
    <t>Coupon</t>
  </si>
  <si>
    <t>Financing Fee</t>
  </si>
  <si>
    <t>Sponsor Equity</t>
  </si>
  <si>
    <t>General Inputs</t>
  </si>
  <si>
    <t>Normalized EBITDA for valuation</t>
  </si>
  <si>
    <t>Cash (target)</t>
  </si>
  <si>
    <t>Debt &amp; Interest Schedules</t>
  </si>
  <si>
    <t>Plus: Additions</t>
  </si>
  <si>
    <t>Less: Repayments</t>
  </si>
  <si>
    <t>Total Interest Expense</t>
  </si>
  <si>
    <t>Sweep</t>
  </si>
  <si>
    <t>Less: Required Repayments</t>
  </si>
  <si>
    <t>Less: Discretionary Repayments</t>
  </si>
  <si>
    <t>Interest Expense (avg balance)</t>
  </si>
  <si>
    <t>Minimum Cash Balance</t>
  </si>
  <si>
    <t>TOTAL LONG TERM DEBT</t>
  </si>
  <si>
    <t>Identifiable Assets</t>
  </si>
  <si>
    <t>Closing</t>
  </si>
  <si>
    <t>Year 6</t>
  </si>
  <si>
    <t>Repayment of Debt</t>
  </si>
  <si>
    <t>Issuance of equity</t>
  </si>
  <si>
    <t>Repurchase of equity</t>
  </si>
  <si>
    <t>Total Debt/EBITDA</t>
  </si>
  <si>
    <t>Net Debt/EBITDA</t>
  </si>
  <si>
    <t>Close</t>
  </si>
  <si>
    <t>Net Debt</t>
  </si>
  <si>
    <t>EBIT/Interest</t>
  </si>
  <si>
    <t>Less: Cash used in Investing</t>
  </si>
  <si>
    <t>Issuance of Debt (line of credit)</t>
  </si>
  <si>
    <t>Plus: Issuance of Equity</t>
  </si>
  <si>
    <t>Cash Available for Discretionary Debt Repayments</t>
  </si>
  <si>
    <t>Total Cash Generated</t>
  </si>
  <si>
    <t>Plus: Cash Generated in Period</t>
  </si>
  <si>
    <t>Less: Minimum Cash Balance</t>
  </si>
  <si>
    <t>Cash Available before Revolver Pay Down</t>
  </si>
  <si>
    <t>Revolver Pay Down</t>
  </si>
  <si>
    <t>Cash Available After Revolver Pay Down</t>
  </si>
  <si>
    <t>DCF Analysis</t>
  </si>
  <si>
    <t>Exit</t>
  </si>
  <si>
    <t>Entry</t>
  </si>
  <si>
    <t>Less: Taxes</t>
  </si>
  <si>
    <t>Less: Capex</t>
  </si>
  <si>
    <t>Plus: D&amp;A</t>
  </si>
  <si>
    <t>Less: Changes in WC</t>
  </si>
  <si>
    <t>Unlevered Free Cash Flow (Free Cash Flow to the Firm)</t>
  </si>
  <si>
    <t>Less: Debt Repayment</t>
  </si>
  <si>
    <t>Levered Free Cash Flow (Free Cash Flow to Equity)</t>
  </si>
  <si>
    <t>Cash Used for Discretionary Payments</t>
  </si>
  <si>
    <t>Terminal Value</t>
  </si>
  <si>
    <t>Exit Year EBITDA</t>
  </si>
  <si>
    <t>Exit Multiple</t>
  </si>
  <si>
    <t>Plus: Cash</t>
  </si>
  <si>
    <t>Less: Debt</t>
  </si>
  <si>
    <t>Terminal Equity Value</t>
  </si>
  <si>
    <t>Terminal Enterprise Value</t>
  </si>
  <si>
    <t>DCF Value</t>
  </si>
  <si>
    <t>Equity Value</t>
  </si>
  <si>
    <t>Discount Rate</t>
  </si>
  <si>
    <t>NPV</t>
  </si>
  <si>
    <t>Internal Rate of Return</t>
  </si>
  <si>
    <t>Unlevered</t>
  </si>
  <si>
    <t>Levered</t>
  </si>
  <si>
    <t>Year Forecast Starts</t>
  </si>
  <si>
    <t>DCF Values</t>
  </si>
  <si>
    <t>IRR Values</t>
  </si>
  <si>
    <t>IRR by Investor Type</t>
  </si>
  <si>
    <t>Sub Debt 1</t>
  </si>
  <si>
    <t>Live Case -&gt;</t>
  </si>
  <si>
    <t>IRR</t>
  </si>
  <si>
    <t>Cash Flow</t>
  </si>
  <si>
    <t>Investor</t>
  </si>
  <si>
    <t>Total Debt Service</t>
  </si>
  <si>
    <t>EBITDA - Capex</t>
  </si>
  <si>
    <t>Working Capital &amp; Depreciation</t>
  </si>
  <si>
    <t>Direct Purchase Price Override</t>
  </si>
  <si>
    <t>Error Checks</t>
  </si>
  <si>
    <t>Operating Balance Sheet Balances</t>
  </si>
  <si>
    <t>Transaction Balance Sheet Balances</t>
  </si>
  <si>
    <t>Sources and Uses of Cash Balance</t>
  </si>
  <si>
    <t>Error Checks -&gt;</t>
  </si>
  <si>
    <t>Acquisition Adjustments</t>
  </si>
  <si>
    <t>Less: Mandatory Debt Repayment</t>
  </si>
  <si>
    <t>Operating Scenarios</t>
  </si>
  <si>
    <t>Cases--&gt;</t>
  </si>
  <si>
    <t>Days in Year</t>
  </si>
  <si>
    <t>Capital Expenditures (% Rev)</t>
  </si>
  <si>
    <t>Depreciation Rate (% PPE)</t>
  </si>
  <si>
    <t>Fiscal Year End (Month)</t>
  </si>
  <si>
    <t>Fiscal Year End (Day)</t>
  </si>
  <si>
    <t>Cash Sweep can't be &gt;100% of Cash Flow</t>
  </si>
  <si>
    <t>Sponsor IRR -&gt;</t>
  </si>
  <si>
    <t>Fixed Charges</t>
  </si>
  <si>
    <t>Current Taxes</t>
  </si>
  <si>
    <t>Entry EV/EBITDA</t>
  </si>
  <si>
    <t>DCF &amp; Rates of Return</t>
  </si>
  <si>
    <t>Mandatory Principal Repayment (Loan Amortization)</t>
  </si>
  <si>
    <t>FV Adjust</t>
  </si>
  <si>
    <t>Debt Principal Repayment = 100%</t>
  </si>
  <si>
    <t>Principal Repayments</t>
  </si>
  <si>
    <t>Debt Service Coverage (EBITDA) / (Interest + Principal)</t>
  </si>
  <si>
    <t>Debt Service Coverage (EBITDA - Capex) / (Interest + Principal)</t>
  </si>
  <si>
    <t>Fixed Charge Coverage (EBITDA - Capex - Taxes ) / (Interest + Principal)</t>
  </si>
  <si>
    <t>Base Case</t>
  </si>
  <si>
    <t>Upside Case</t>
  </si>
  <si>
    <t>Downside Case</t>
  </si>
  <si>
    <t>LIVE Case</t>
  </si>
  <si>
    <t>Target Share Price</t>
  </si>
  <si>
    <t>Target Debt</t>
  </si>
  <si>
    <t xml:space="preserve">Target Cash </t>
  </si>
  <si>
    <t>Fully Diluted Shares Outstanding (000s)</t>
  </si>
  <si>
    <t>Megamart Co.</t>
  </si>
  <si>
    <t>$ 000s</t>
  </si>
  <si>
    <t>USD</t>
  </si>
  <si>
    <t>OFF</t>
  </si>
  <si>
    <t>na</t>
  </si>
  <si>
    <t>Sponsor Cash-on-Cash</t>
  </si>
  <si>
    <t>Sponsor IRR(Entry vs Exit Multiple)</t>
  </si>
  <si>
    <t>Entry EV / EBITDA</t>
  </si>
  <si>
    <t>Sponsor Cash on cash (Entry vs Exit Multiple)</t>
  </si>
  <si>
    <t>Sponsor IRR(Senior Debt/EBITDA)</t>
  </si>
  <si>
    <t>Debt/EBITDA (Term Loan 1)</t>
  </si>
  <si>
    <t>Debt/EBITDA (Term Loan 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</si>
</sst>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64" formatCode="_-* #,##0.00_-;\-* #,##0.00_-;_-* &quot;-&quot;??_-;_-@_-"/>
    <numFmt numFmtId="165" formatCode="&quot;$&quot;#,##0_);\(&quot;$&quot;#,##0\)"/>
    <numFmt numFmtId="166" formatCode="&quot;$&quot;#,##0.00_);\(&quot;$&quot;#,##0.00\)"/>
    <numFmt numFmtId="167" formatCode="_(* #,##0.00_);_(* \(#,##0.00\);_(* &quot;-&quot;??_);_(@_)"/>
    <numFmt numFmtId="168" formatCode="0.0\x"/>
    <numFmt numFmtId="169" formatCode="_-* #,##0_-;\(#,##0\)_-;_-* &quot;-&quot;_-;_-@_-"/>
    <numFmt numFmtId="170" formatCode="_(* #,##0_);_(* \(#,##0\);_(* &quot;-&quot;??_);_(@_)"/>
    <numFmt numFmtId="171" formatCode="0.0%"/>
    <numFmt numFmtId="172" formatCode="0.0000_ ;\-0.0000\ "/>
    <numFmt numFmtId="173" formatCode="0.000"/>
    <numFmt numFmtId="174" formatCode="0\A"/>
    <numFmt numFmtId="175" formatCode="0\F"/>
    <numFmt numFmtId="176" formatCode="0.000_ ;\-0.000\ "/>
    <numFmt numFmtId="177" formatCode="_-* #,##0.00_-;\(#,##0.00\)_-;_-* &quot;-&quot;_-;_-@_-"/>
    <numFmt numFmtId="178" formatCode="0.00\x"/>
    <numFmt numFmtId="179" formatCode="_-* #,##0.0_-;\(#,##0.0\)_-;_-* &quot;-&quot;_-;_-@_-"/>
    <numFmt numFmtId="180" formatCode="0&quot;F&quot;"/>
  </numFmts>
  <fonts count="41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b/>
      <sz val="13"/>
      <color indexed="8"/>
      <name val="Verdana"/>
      <family val="2"/>
    </font>
    <font>
      <b/>
      <sz val="12"/>
      <color indexed="8"/>
      <name val="Verdana"/>
      <family val="2"/>
    </font>
    <font>
      <b/>
      <sz val="10"/>
      <color indexed="9"/>
      <name val="Arial"/>
      <family val="2"/>
    </font>
    <font>
      <b/>
      <u val="singleAccounting"/>
      <sz val="8"/>
      <color indexed="8"/>
      <name val="Verdana"/>
      <family val="2"/>
    </font>
    <font>
      <b/>
      <sz val="8"/>
      <color indexed="9"/>
      <name val="Verdana"/>
      <family val="2"/>
    </font>
    <font>
      <b/>
      <u val="singleAccounting"/>
      <sz val="8"/>
      <color indexed="8"/>
      <name val="Arial"/>
      <family val="2"/>
    </font>
    <font>
      <sz val="8"/>
      <color indexed="8"/>
      <name val="Arial"/>
      <family val="2"/>
    </font>
    <font>
      <vertAlign val="superscript"/>
      <sz val="8"/>
      <color indexed="8"/>
      <name val="Arial"/>
      <family val="2"/>
    </font>
    <font>
      <vertAlign val="subscript"/>
      <sz val="8"/>
      <color indexed="8"/>
      <name val="Arial"/>
      <family val="2"/>
    </font>
    <font>
      <b/>
      <sz val="8"/>
      <color indexed="8"/>
      <name val="Arial"/>
      <family val="2"/>
    </font>
    <font>
      <i/>
      <sz val="8"/>
      <color indexed="8"/>
      <name val="Arial"/>
      <family val="2"/>
    </font>
    <font>
      <sz val="1"/>
      <color indexed="9"/>
      <name val="Symbol"/>
      <family val="1"/>
      <charset val="2"/>
    </font>
    <font>
      <sz val="10"/>
      <color indexed="8"/>
      <name val="Arial"/>
      <family val="2"/>
    </font>
    <font>
      <b/>
      <sz val="8"/>
      <color indexed="8"/>
      <name val="Verdana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10"/>
      <color theme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color theme="0"/>
      <name val="Garamond"/>
      <family val="1"/>
    </font>
    <font>
      <sz val="12"/>
      <color theme="1"/>
      <name val="Garamond"/>
      <family val="1"/>
    </font>
    <font>
      <sz val="12"/>
      <color theme="0"/>
      <name val="Garamond"/>
      <family val="1"/>
    </font>
    <font>
      <b/>
      <sz val="16"/>
      <color theme="0"/>
      <name val="Garamond"/>
      <family val="1"/>
    </font>
    <font>
      <b/>
      <sz val="14"/>
      <color theme="0"/>
      <name val="Garamond"/>
      <family val="1"/>
    </font>
    <font>
      <b/>
      <sz val="12"/>
      <color theme="0"/>
      <name val="Garamond"/>
      <family val="1"/>
    </font>
    <font>
      <i/>
      <sz val="12"/>
      <color theme="1"/>
      <name val="Garamond"/>
      <family val="1"/>
    </font>
    <font>
      <sz val="12"/>
      <name val="Garamond"/>
      <family val="1"/>
    </font>
    <font>
      <b/>
      <sz val="12"/>
      <color theme="1"/>
      <name val="Garamond"/>
      <family val="1"/>
    </font>
    <font>
      <b/>
      <sz val="12"/>
      <name val="Garamond"/>
      <family val="1"/>
    </font>
    <font>
      <sz val="12"/>
      <color rgb="FF0000FF"/>
      <name val="Garamond"/>
      <family val="1"/>
    </font>
    <font>
      <b/>
      <sz val="12"/>
      <color rgb="FF0000FF"/>
      <name val="Garamond"/>
      <family val="1"/>
    </font>
    <font>
      <i/>
      <sz val="12"/>
      <color rgb="FF0000FF"/>
      <name val="Garamond"/>
      <family val="1"/>
    </font>
    <font>
      <sz val="12"/>
      <color rgb="FF00B050"/>
      <name val="Garamond"/>
      <family val="1"/>
    </font>
    <font>
      <b/>
      <sz val="13"/>
      <color theme="1"/>
      <name val="Garamond"/>
      <family val="1"/>
    </font>
    <font>
      <sz val="11"/>
      <color theme="1"/>
      <name val="Garamond"/>
      <family val="1"/>
    </font>
    <font>
      <b/>
      <sz val="11"/>
      <color theme="1"/>
      <name val="Garamond"/>
      <family val="1"/>
    </font>
    <font>
      <sz val="10"/>
      <name val="Garamond"/>
      <family val="1"/>
    </font>
    <font>
      <sz val="10"/>
      <color theme="1"/>
      <name val="Garamond"/>
      <family val="1"/>
    </font>
  </fonts>
  <fills count="9">
    <fill>
      <patternFill patternType="none"/>
    </fill>
    <fill>
      <patternFill patternType="gray125"/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-0.499984740745262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thick">
        <color theme="0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tted">
        <color rgb="FFADC7ED"/>
      </left>
      <right style="dotted">
        <color rgb="FFADC7ED"/>
      </right>
      <top style="dotted">
        <color rgb="FFADC7ED"/>
      </top>
      <bottom style="dotted">
        <color rgb="FFADC7ED"/>
      </bottom>
      <diagonal/>
    </border>
    <border>
      <left/>
      <right style="thin">
        <color indexed="64"/>
      </right>
      <top/>
      <bottom/>
      <diagonal/>
    </border>
  </borders>
  <cellStyleXfs count="26">
    <xf numFmtId="0" fontId="0" fillId="0" borderId="0"/>
    <xf numFmtId="0" fontId="3" fillId="0" borderId="0" applyAlignment="0"/>
    <xf numFmtId="0" fontId="4" fillId="0" borderId="0" applyAlignment="0"/>
    <xf numFmtId="0" fontId="5" fillId="2" borderId="0" applyAlignment="0"/>
    <xf numFmtId="0" fontId="6" fillId="3" borderId="0" applyAlignment="0"/>
    <xf numFmtId="0" fontId="7" fillId="4" borderId="0" applyAlignment="0"/>
    <xf numFmtId="0" fontId="8" fillId="5" borderId="0" applyAlignment="0"/>
    <xf numFmtId="0" fontId="9" fillId="0" borderId="0" applyAlignment="0"/>
    <xf numFmtId="0" fontId="10" fillId="0" borderId="0" applyAlignment="0"/>
    <xf numFmtId="0" fontId="11" fillId="0" borderId="0" applyAlignment="0"/>
    <xf numFmtId="0" fontId="12" fillId="0" borderId="0" applyAlignment="0"/>
    <xf numFmtId="0" fontId="13" fillId="0" borderId="0" applyAlignment="0"/>
    <xf numFmtId="0" fontId="12" fillId="0" borderId="0" applyAlignment="0">
      <alignment wrapText="1"/>
    </xf>
    <xf numFmtId="0" fontId="14" fillId="0" borderId="0" applyAlignment="0"/>
    <xf numFmtId="0" fontId="15" fillId="0" borderId="0" applyAlignment="0"/>
    <xf numFmtId="0" fontId="16" fillId="0" borderId="0" applyAlignment="0"/>
    <xf numFmtId="0" fontId="17" fillId="0" borderId="0"/>
    <xf numFmtId="164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167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" fillId="0" borderId="0"/>
    <xf numFmtId="0" fontId="19" fillId="0" borderId="0" applyNumberFormat="0" applyFill="0" applyBorder="0" applyAlignment="0" applyProtection="0"/>
  </cellStyleXfs>
  <cellXfs count="177">
    <xf numFmtId="0" fontId="0" fillId="0" borderId="0" xfId="0"/>
    <xf numFmtId="169" fontId="22" fillId="8" borderId="0" xfId="19" applyNumberFormat="1" applyFont="1" applyFill="1" applyAlignment="1" applyProtection="1">
      <alignment vertical="center"/>
      <protection locked="0"/>
    </xf>
    <xf numFmtId="169" fontId="23" fillId="8" borderId="0" xfId="19" applyNumberFormat="1" applyFont="1" applyFill="1" applyProtection="1">
      <protection locked="0"/>
    </xf>
    <xf numFmtId="169" fontId="23" fillId="8" borderId="0" xfId="19" applyNumberFormat="1" applyFont="1" applyFill="1" applyAlignment="1" applyProtection="1">
      <alignment horizontal="center"/>
      <protection locked="0"/>
    </xf>
    <xf numFmtId="169" fontId="24" fillId="8" borderId="0" xfId="19" applyNumberFormat="1" applyFont="1" applyFill="1" applyAlignment="1" applyProtection="1">
      <alignment horizontal="centerContinuous"/>
      <protection locked="0"/>
    </xf>
    <xf numFmtId="169" fontId="23" fillId="0" borderId="0" xfId="19" applyNumberFormat="1" applyFont="1" applyProtection="1">
      <protection locked="0"/>
    </xf>
    <xf numFmtId="169" fontId="25" fillId="8" borderId="0" xfId="19" applyNumberFormat="1" applyFont="1" applyFill="1" applyAlignment="1" applyProtection="1">
      <protection locked="0"/>
    </xf>
    <xf numFmtId="169" fontId="26" fillId="8" borderId="0" xfId="19" applyNumberFormat="1" applyFont="1" applyFill="1" applyAlignment="1" applyProtection="1">
      <protection locked="0"/>
    </xf>
    <xf numFmtId="169" fontId="26" fillId="8" borderId="0" xfId="19" applyNumberFormat="1" applyFont="1" applyFill="1" applyAlignment="1" applyProtection="1">
      <alignment horizontal="center"/>
      <protection locked="0"/>
    </xf>
    <xf numFmtId="169" fontId="27" fillId="8" borderId="0" xfId="19" applyNumberFormat="1" applyFont="1" applyFill="1" applyAlignment="1" applyProtection="1">
      <alignment horizontal="center"/>
      <protection locked="0"/>
    </xf>
    <xf numFmtId="169" fontId="27" fillId="8" borderId="11" xfId="19" applyNumberFormat="1" applyFont="1" applyFill="1" applyBorder="1" applyAlignment="1" applyProtection="1">
      <alignment horizontal="center"/>
      <protection locked="0"/>
    </xf>
    <xf numFmtId="171" fontId="27" fillId="8" borderId="0" xfId="22" applyNumberFormat="1" applyFont="1" applyFill="1" applyAlignment="1" applyProtection="1">
      <alignment horizontal="center"/>
      <protection locked="0"/>
    </xf>
    <xf numFmtId="169" fontId="23" fillId="0" borderId="0" xfId="19" applyNumberFormat="1" applyFont="1" applyAlignment="1" applyProtection="1">
      <alignment horizontal="center"/>
      <protection locked="0"/>
    </xf>
    <xf numFmtId="169" fontId="28" fillId="0" borderId="0" xfId="19" applyNumberFormat="1" applyFont="1" applyAlignment="1" applyProtection="1">
      <alignment horizontal="right"/>
      <protection locked="0"/>
    </xf>
    <xf numFmtId="169" fontId="25" fillId="8" borderId="0" xfId="19" applyNumberFormat="1" applyFont="1" applyFill="1" applyBorder="1" applyProtection="1">
      <protection locked="0"/>
    </xf>
    <xf numFmtId="169" fontId="29" fillId="8" borderId="0" xfId="19" applyNumberFormat="1" applyFont="1" applyFill="1" applyBorder="1" applyProtection="1">
      <protection locked="0"/>
    </xf>
    <xf numFmtId="169" fontId="29" fillId="8" borderId="0" xfId="19" applyNumberFormat="1" applyFont="1" applyFill="1" applyBorder="1" applyAlignment="1" applyProtection="1">
      <alignment horizontal="center"/>
      <protection locked="0"/>
    </xf>
    <xf numFmtId="169" fontId="30" fillId="7" borderId="0" xfId="19" applyNumberFormat="1" applyFont="1" applyFill="1" applyProtection="1">
      <protection locked="0"/>
    </xf>
    <xf numFmtId="169" fontId="23" fillId="7" borderId="0" xfId="19" applyNumberFormat="1" applyFont="1" applyFill="1" applyProtection="1">
      <protection locked="0"/>
    </xf>
    <xf numFmtId="169" fontId="23" fillId="7" borderId="0" xfId="19" applyNumberFormat="1" applyFont="1" applyFill="1" applyAlignment="1" applyProtection="1">
      <alignment horizontal="center"/>
      <protection locked="0"/>
    </xf>
    <xf numFmtId="169" fontId="23" fillId="7" borderId="0" xfId="19" applyNumberFormat="1" applyFont="1" applyFill="1" applyBorder="1" applyProtection="1">
      <protection locked="0"/>
    </xf>
    <xf numFmtId="180" fontId="31" fillId="7" borderId="0" xfId="19" applyNumberFormat="1" applyFont="1" applyFill="1" applyBorder="1" applyAlignment="1" applyProtection="1">
      <alignment horizontal="right"/>
      <protection locked="0"/>
    </xf>
    <xf numFmtId="169" fontId="32" fillId="0" borderId="0" xfId="19" applyNumberFormat="1" applyFont="1" applyAlignment="1" applyProtection="1">
      <alignment horizontal="right"/>
      <protection locked="0"/>
    </xf>
    <xf numFmtId="169" fontId="23" fillId="6" borderId="0" xfId="19" applyNumberFormat="1" applyFont="1" applyFill="1" applyProtection="1">
      <protection locked="0"/>
    </xf>
    <xf numFmtId="169" fontId="29" fillId="6" borderId="0" xfId="19" applyNumberFormat="1" applyFont="1" applyFill="1" applyAlignment="1" applyProtection="1">
      <alignment horizontal="right"/>
      <protection locked="0"/>
    </xf>
    <xf numFmtId="169" fontId="23" fillId="0" borderId="0" xfId="19" applyNumberFormat="1" applyFont="1" applyAlignment="1" applyProtection="1">
      <alignment horizontal="right"/>
      <protection locked="0"/>
    </xf>
    <xf numFmtId="166" fontId="32" fillId="0" borderId="0" xfId="19" applyNumberFormat="1" applyFont="1" applyFill="1" applyProtection="1">
      <protection locked="0"/>
    </xf>
    <xf numFmtId="169" fontId="33" fillId="0" borderId="0" xfId="19" applyNumberFormat="1" applyFont="1" applyProtection="1">
      <protection locked="0"/>
    </xf>
    <xf numFmtId="169" fontId="23" fillId="0" borderId="1" xfId="19" applyNumberFormat="1" applyFont="1" applyBorder="1" applyProtection="1">
      <protection locked="0"/>
    </xf>
    <xf numFmtId="171" fontId="32" fillId="0" borderId="1" xfId="22" applyNumberFormat="1" applyFont="1" applyBorder="1" applyProtection="1">
      <protection locked="0"/>
    </xf>
    <xf numFmtId="14" fontId="32" fillId="0" borderId="0" xfId="19" applyNumberFormat="1" applyFont="1" applyProtection="1">
      <protection locked="0"/>
    </xf>
    <xf numFmtId="171" fontId="32" fillId="0" borderId="0" xfId="22" applyNumberFormat="1" applyFont="1" applyProtection="1">
      <protection locked="0"/>
    </xf>
    <xf numFmtId="0" fontId="32" fillId="0" borderId="0" xfId="19" applyNumberFormat="1" applyFont="1" applyProtection="1">
      <protection locked="0"/>
    </xf>
    <xf numFmtId="169" fontId="23" fillId="0" borderId="0" xfId="19" quotePrefix="1" applyNumberFormat="1" applyFont="1" applyProtection="1">
      <protection locked="0"/>
    </xf>
    <xf numFmtId="169" fontId="32" fillId="0" borderId="0" xfId="19" applyNumberFormat="1" applyFont="1" applyProtection="1">
      <protection locked="0"/>
    </xf>
    <xf numFmtId="170" fontId="32" fillId="0" borderId="0" xfId="23" applyNumberFormat="1" applyFont="1" applyProtection="1">
      <protection locked="0"/>
    </xf>
    <xf numFmtId="169" fontId="23" fillId="0" borderId="0" xfId="19" applyNumberFormat="1" applyFont="1" applyBorder="1" applyProtection="1">
      <protection locked="0"/>
    </xf>
    <xf numFmtId="170" fontId="32" fillId="0" borderId="0" xfId="23" applyNumberFormat="1" applyFont="1" applyBorder="1" applyProtection="1">
      <protection locked="0"/>
    </xf>
    <xf numFmtId="171" fontId="32" fillId="0" borderId="0" xfId="22" applyNumberFormat="1" applyFont="1" applyFill="1" applyBorder="1" applyProtection="1">
      <protection locked="0"/>
    </xf>
    <xf numFmtId="171" fontId="32" fillId="0" borderId="0" xfId="22" applyNumberFormat="1" applyFont="1" applyFill="1" applyProtection="1">
      <protection locked="0"/>
    </xf>
    <xf numFmtId="169" fontId="29" fillId="0" borderId="0" xfId="19" applyNumberFormat="1" applyFont="1" applyProtection="1">
      <protection locked="0"/>
    </xf>
    <xf numFmtId="169" fontId="32" fillId="0" borderId="0" xfId="19" applyNumberFormat="1" applyFont="1" applyFill="1" applyProtection="1">
      <protection locked="0"/>
    </xf>
    <xf numFmtId="169" fontId="29" fillId="0" borderId="0" xfId="19" applyNumberFormat="1" applyFont="1" applyAlignment="1" applyProtection="1">
      <alignment horizontal="right"/>
      <protection locked="0"/>
    </xf>
    <xf numFmtId="165" fontId="23" fillId="0" borderId="0" xfId="19" applyNumberFormat="1" applyFont="1" applyProtection="1">
      <protection locked="0"/>
    </xf>
    <xf numFmtId="169" fontId="30" fillId="0" borderId="0" xfId="19" applyNumberFormat="1" applyFont="1" applyProtection="1">
      <protection locked="0"/>
    </xf>
    <xf numFmtId="171" fontId="29" fillId="0" borderId="1" xfId="22" applyNumberFormat="1" applyFont="1" applyBorder="1" applyProtection="1">
      <protection locked="0"/>
    </xf>
    <xf numFmtId="169" fontId="30" fillId="0" borderId="1" xfId="19" applyNumberFormat="1" applyFont="1" applyBorder="1" applyProtection="1">
      <protection locked="0"/>
    </xf>
    <xf numFmtId="169" fontId="30" fillId="0" borderId="1" xfId="19" applyNumberFormat="1" applyFont="1" applyBorder="1" applyAlignment="1" applyProtection="1">
      <alignment horizontal="center"/>
      <protection locked="0"/>
    </xf>
    <xf numFmtId="165" fontId="30" fillId="0" borderId="1" xfId="19" applyNumberFormat="1" applyFont="1" applyBorder="1" applyProtection="1">
      <protection locked="0"/>
    </xf>
    <xf numFmtId="171" fontId="29" fillId="0" borderId="0" xfId="22" applyNumberFormat="1" applyFont="1" applyProtection="1">
      <protection locked="0"/>
    </xf>
    <xf numFmtId="169" fontId="28" fillId="0" borderId="0" xfId="19" applyNumberFormat="1" applyFont="1" applyProtection="1">
      <protection locked="0"/>
    </xf>
    <xf numFmtId="169" fontId="28" fillId="0" borderId="0" xfId="19" applyNumberFormat="1" applyFont="1" applyAlignment="1" applyProtection="1">
      <alignment horizontal="center"/>
      <protection locked="0"/>
    </xf>
    <xf numFmtId="166" fontId="28" fillId="0" borderId="0" xfId="19" applyNumberFormat="1" applyFont="1" applyProtection="1">
      <protection locked="0"/>
    </xf>
    <xf numFmtId="171" fontId="28" fillId="0" borderId="0" xfId="22" applyNumberFormat="1" applyFont="1" applyProtection="1">
      <protection locked="0"/>
    </xf>
    <xf numFmtId="170" fontId="29" fillId="0" borderId="0" xfId="23" applyNumberFormat="1" applyFont="1" applyProtection="1">
      <protection locked="0"/>
    </xf>
    <xf numFmtId="170" fontId="29" fillId="0" borderId="0" xfId="23" applyNumberFormat="1" applyFont="1" applyBorder="1" applyProtection="1">
      <protection locked="0"/>
    </xf>
    <xf numFmtId="171" fontId="29" fillId="0" borderId="0" xfId="22" applyNumberFormat="1" applyFont="1" applyFill="1" applyBorder="1" applyProtection="1">
      <protection locked="0"/>
    </xf>
    <xf numFmtId="169" fontId="23" fillId="0" borderId="5" xfId="19" applyNumberFormat="1" applyFont="1" applyBorder="1" applyAlignment="1" applyProtection="1">
      <alignment horizontal="center"/>
      <protection locked="0"/>
    </xf>
    <xf numFmtId="10" fontId="29" fillId="0" borderId="0" xfId="22" applyNumberFormat="1" applyFont="1" applyFill="1" applyProtection="1">
      <protection locked="0"/>
    </xf>
    <xf numFmtId="169" fontId="30" fillId="0" borderId="0" xfId="19" applyNumberFormat="1" applyFont="1" applyAlignment="1" applyProtection="1">
      <alignment horizontal="right"/>
      <protection locked="0"/>
    </xf>
    <xf numFmtId="165" fontId="30" fillId="0" borderId="0" xfId="19" applyNumberFormat="1" applyFont="1" applyAlignment="1" applyProtection="1">
      <alignment horizontal="right"/>
      <protection locked="0"/>
    </xf>
    <xf numFmtId="169" fontId="30" fillId="0" borderId="0" xfId="19" applyNumberFormat="1" applyFont="1" applyBorder="1" applyAlignment="1" applyProtection="1">
      <alignment horizontal="right"/>
      <protection locked="0"/>
    </xf>
    <xf numFmtId="169" fontId="30" fillId="0" borderId="0" xfId="19" applyNumberFormat="1" applyFont="1" applyBorder="1" applyAlignment="1" applyProtection="1">
      <alignment horizontal="centerContinuous"/>
      <protection locked="0"/>
    </xf>
    <xf numFmtId="169" fontId="30" fillId="0" borderId="0" xfId="19" applyNumberFormat="1" applyFont="1" applyFill="1" applyAlignment="1" applyProtection="1">
      <alignment horizontal="right"/>
      <protection locked="0"/>
    </xf>
    <xf numFmtId="169" fontId="30" fillId="0" borderId="0" xfId="19" applyNumberFormat="1" applyFont="1" applyFill="1" applyBorder="1" applyAlignment="1" applyProtection="1">
      <alignment horizontal="right"/>
      <protection locked="0"/>
    </xf>
    <xf numFmtId="169" fontId="30" fillId="0" borderId="6" xfId="19" applyNumberFormat="1" applyFont="1" applyFill="1" applyBorder="1" applyAlignment="1" applyProtection="1">
      <alignment horizontal="right"/>
      <protection locked="0"/>
    </xf>
    <xf numFmtId="169" fontId="30" fillId="0" borderId="1" xfId="19" applyNumberFormat="1" applyFont="1" applyFill="1" applyBorder="1" applyAlignment="1" applyProtection="1">
      <alignment horizontal="right"/>
      <protection locked="0"/>
    </xf>
    <xf numFmtId="169" fontId="32" fillId="0" borderId="1" xfId="19" applyNumberFormat="1" applyFont="1" applyBorder="1" applyProtection="1">
      <protection locked="0"/>
    </xf>
    <xf numFmtId="168" fontId="32" fillId="6" borderId="1" xfId="22" applyNumberFormat="1" applyFont="1" applyFill="1" applyBorder="1" applyAlignment="1" applyProtection="1">
      <alignment horizontal="right"/>
      <protection locked="0"/>
    </xf>
    <xf numFmtId="169" fontId="23" fillId="0" borderId="1" xfId="19" applyNumberFormat="1" applyFont="1" applyBorder="1" applyAlignment="1" applyProtection="1">
      <alignment horizontal="center"/>
      <protection locked="0"/>
    </xf>
    <xf numFmtId="171" fontId="23" fillId="0" borderId="1" xfId="22" applyNumberFormat="1" applyFont="1" applyBorder="1" applyProtection="1">
      <protection locked="0"/>
    </xf>
    <xf numFmtId="171" fontId="32" fillId="6" borderId="1" xfId="22" applyNumberFormat="1" applyFont="1" applyFill="1" applyBorder="1" applyProtection="1">
      <protection locked="0"/>
    </xf>
    <xf numFmtId="169" fontId="32" fillId="6" borderId="1" xfId="19" applyNumberFormat="1" applyFont="1" applyFill="1" applyBorder="1" applyAlignment="1" applyProtection="1">
      <alignment horizontal="right"/>
      <protection locked="0"/>
    </xf>
    <xf numFmtId="169" fontId="32" fillId="0" borderId="0" xfId="19" applyNumberFormat="1" applyFont="1" applyBorder="1" applyProtection="1">
      <protection locked="0"/>
    </xf>
    <xf numFmtId="178" fontId="32" fillId="6" borderId="0" xfId="22" applyNumberFormat="1" applyFont="1" applyFill="1" applyBorder="1" applyProtection="1">
      <protection locked="0"/>
    </xf>
    <xf numFmtId="169" fontId="23" fillId="0" borderId="0" xfId="19" applyNumberFormat="1" applyFont="1" applyBorder="1" applyAlignment="1" applyProtection="1">
      <alignment horizontal="center"/>
      <protection locked="0"/>
    </xf>
    <xf numFmtId="171" fontId="23" fillId="0" borderId="0" xfId="22" applyNumberFormat="1" applyFont="1" applyBorder="1" applyProtection="1">
      <protection locked="0"/>
    </xf>
    <xf numFmtId="171" fontId="32" fillId="0" borderId="0" xfId="22" applyNumberFormat="1" applyFont="1" applyBorder="1" applyProtection="1">
      <protection locked="0"/>
    </xf>
    <xf numFmtId="171" fontId="23" fillId="0" borderId="0" xfId="22" applyNumberFormat="1" applyFont="1" applyProtection="1">
      <protection locked="0"/>
    </xf>
    <xf numFmtId="169" fontId="23" fillId="0" borderId="0" xfId="19" applyNumberFormat="1" applyFont="1" applyFill="1" applyAlignment="1" applyProtection="1">
      <alignment horizontal="center"/>
      <protection locked="0"/>
    </xf>
    <xf numFmtId="168" fontId="31" fillId="0" borderId="1" xfId="22" applyNumberFormat="1" applyFont="1" applyBorder="1" applyProtection="1">
      <protection locked="0"/>
    </xf>
    <xf numFmtId="171" fontId="30" fillId="0" borderId="1" xfId="22" applyNumberFormat="1" applyFont="1" applyBorder="1" applyProtection="1">
      <protection locked="0"/>
    </xf>
    <xf numFmtId="9" fontId="30" fillId="0" borderId="1" xfId="22" applyFont="1" applyBorder="1" applyProtection="1">
      <protection locked="0"/>
    </xf>
    <xf numFmtId="179" fontId="23" fillId="0" borderId="0" xfId="19" applyNumberFormat="1" applyFont="1" applyProtection="1">
      <protection locked="0"/>
    </xf>
    <xf numFmtId="169" fontId="30" fillId="0" borderId="0" xfId="19" applyNumberFormat="1" applyFont="1" applyBorder="1" applyProtection="1">
      <protection locked="0"/>
    </xf>
    <xf numFmtId="9" fontId="30" fillId="0" borderId="0" xfId="22" applyFont="1" applyBorder="1" applyProtection="1">
      <protection locked="0"/>
    </xf>
    <xf numFmtId="169" fontId="23" fillId="0" borderId="1" xfId="19" applyNumberFormat="1" applyFont="1" applyFill="1" applyBorder="1" applyProtection="1">
      <protection locked="0"/>
    </xf>
    <xf numFmtId="169" fontId="23" fillId="0" borderId="0" xfId="19" applyNumberFormat="1" applyFont="1" applyFill="1" applyProtection="1">
      <protection locked="0"/>
    </xf>
    <xf numFmtId="169" fontId="30" fillId="7" borderId="0" xfId="19" applyNumberFormat="1" applyFont="1" applyFill="1" applyAlignment="1" applyProtection="1">
      <alignment horizontal="center"/>
      <protection locked="0"/>
    </xf>
    <xf numFmtId="169" fontId="29" fillId="0" borderId="0" xfId="19" applyNumberFormat="1" applyFont="1" applyFill="1" applyBorder="1" applyProtection="1">
      <protection locked="0"/>
    </xf>
    <xf numFmtId="169" fontId="32" fillId="0" borderId="0" xfId="19" applyNumberFormat="1" applyFont="1" applyBorder="1" applyAlignment="1" applyProtection="1">
      <alignment horizontal="right"/>
      <protection locked="0"/>
    </xf>
    <xf numFmtId="169" fontId="29" fillId="0" borderId="0" xfId="19" applyNumberFormat="1" applyFont="1" applyFill="1" applyProtection="1">
      <protection locked="0"/>
    </xf>
    <xf numFmtId="169" fontId="35" fillId="0" borderId="0" xfId="19" applyNumberFormat="1" applyFont="1" applyFill="1" applyProtection="1">
      <protection locked="0"/>
    </xf>
    <xf numFmtId="174" fontId="36" fillId="0" borderId="0" xfId="19" applyNumberFormat="1" applyFont="1" applyAlignment="1" applyProtection="1">
      <alignment horizontal="right"/>
      <protection locked="0"/>
    </xf>
    <xf numFmtId="175" fontId="36" fillId="0" borderId="0" xfId="19" applyNumberFormat="1" applyFont="1" applyAlignment="1" applyProtection="1">
      <alignment horizontal="right"/>
      <protection locked="0"/>
    </xf>
    <xf numFmtId="169" fontId="28" fillId="0" borderId="1" xfId="19" applyNumberFormat="1" applyFont="1" applyBorder="1" applyAlignment="1" applyProtection="1">
      <alignment horizontal="right"/>
      <protection locked="0"/>
    </xf>
    <xf numFmtId="169" fontId="28" fillId="0" borderId="0" xfId="19" applyNumberFormat="1" applyFont="1" applyBorder="1" applyAlignment="1" applyProtection="1">
      <alignment horizontal="right"/>
      <protection locked="0"/>
    </xf>
    <xf numFmtId="169" fontId="30" fillId="0" borderId="0" xfId="19" applyNumberFormat="1" applyFont="1" applyAlignment="1" applyProtection="1">
      <alignment horizontal="center"/>
      <protection locked="0"/>
    </xf>
    <xf numFmtId="168" fontId="23" fillId="0" borderId="0" xfId="19" applyNumberFormat="1" applyFont="1" applyBorder="1" applyProtection="1">
      <protection locked="0"/>
    </xf>
    <xf numFmtId="169" fontId="30" fillId="0" borderId="0" xfId="19" applyNumberFormat="1" applyFont="1" applyFill="1" applyProtection="1">
      <protection locked="0"/>
    </xf>
    <xf numFmtId="169" fontId="30" fillId="0" borderId="0" xfId="19" applyNumberFormat="1" applyFont="1" applyFill="1" applyAlignment="1" applyProtection="1">
      <alignment horizontal="center"/>
      <protection locked="0"/>
    </xf>
    <xf numFmtId="169" fontId="31" fillId="0" borderId="0" xfId="19" applyNumberFormat="1" applyFont="1" applyProtection="1">
      <protection locked="0"/>
    </xf>
    <xf numFmtId="169" fontId="29" fillId="0" borderId="0" xfId="19" applyNumberFormat="1" applyFont="1" applyBorder="1" applyProtection="1">
      <protection locked="0"/>
    </xf>
    <xf numFmtId="169" fontId="31" fillId="0" borderId="1" xfId="19" applyNumberFormat="1" applyFont="1" applyBorder="1" applyProtection="1">
      <protection locked="0"/>
    </xf>
    <xf numFmtId="169" fontId="30" fillId="0" borderId="0" xfId="19" applyNumberFormat="1" applyFont="1" applyBorder="1" applyAlignment="1" applyProtection="1">
      <alignment horizontal="center"/>
      <protection locked="0"/>
    </xf>
    <xf numFmtId="9" fontId="33" fillId="0" borderId="0" xfId="20" applyFont="1" applyBorder="1" applyProtection="1">
      <protection locked="0"/>
    </xf>
    <xf numFmtId="9" fontId="31" fillId="0" borderId="0" xfId="20" applyFont="1" applyBorder="1" applyProtection="1">
      <protection locked="0"/>
    </xf>
    <xf numFmtId="169" fontId="31" fillId="0" borderId="0" xfId="19" applyNumberFormat="1" applyFont="1" applyBorder="1" applyProtection="1">
      <protection locked="0"/>
    </xf>
    <xf numFmtId="169" fontId="30" fillId="0" borderId="3" xfId="19" applyNumberFormat="1" applyFont="1" applyBorder="1" applyProtection="1">
      <protection locked="0"/>
    </xf>
    <xf numFmtId="169" fontId="30" fillId="0" borderId="3" xfId="19" applyNumberFormat="1" applyFont="1" applyBorder="1" applyAlignment="1" applyProtection="1">
      <alignment horizontal="center"/>
      <protection locked="0"/>
    </xf>
    <xf numFmtId="169" fontId="31" fillId="0" borderId="3" xfId="19" applyNumberFormat="1" applyFont="1" applyBorder="1" applyProtection="1">
      <protection locked="0"/>
    </xf>
    <xf numFmtId="0" fontId="37" fillId="0" borderId="0" xfId="21" applyFont="1" applyProtection="1">
      <protection locked="0"/>
    </xf>
    <xf numFmtId="170" fontId="23" fillId="0" borderId="0" xfId="19" applyNumberFormat="1" applyFont="1" applyProtection="1">
      <protection locked="0"/>
    </xf>
    <xf numFmtId="0" fontId="37" fillId="0" borderId="1" xfId="21" applyFont="1" applyBorder="1" applyProtection="1">
      <protection locked="0"/>
    </xf>
    <xf numFmtId="169" fontId="33" fillId="0" borderId="0" xfId="19" applyNumberFormat="1" applyFont="1" applyBorder="1" applyProtection="1">
      <protection locked="0"/>
    </xf>
    <xf numFmtId="0" fontId="38" fillId="0" borderId="1" xfId="21" applyFont="1" applyBorder="1" applyProtection="1">
      <protection locked="0"/>
    </xf>
    <xf numFmtId="169" fontId="30" fillId="0" borderId="4" xfId="19" applyNumberFormat="1" applyFont="1" applyBorder="1" applyProtection="1">
      <protection locked="0"/>
    </xf>
    <xf numFmtId="169" fontId="30" fillId="0" borderId="4" xfId="19" applyNumberFormat="1" applyFont="1" applyBorder="1" applyAlignment="1" applyProtection="1">
      <alignment horizontal="center"/>
      <protection locked="0"/>
    </xf>
    <xf numFmtId="169" fontId="31" fillId="0" borderId="4" xfId="19" applyNumberFormat="1" applyFont="1" applyBorder="1" applyProtection="1">
      <protection locked="0"/>
    </xf>
    <xf numFmtId="172" fontId="28" fillId="0" borderId="0" xfId="19" applyNumberFormat="1" applyFont="1" applyProtection="1">
      <protection locked="0"/>
    </xf>
    <xf numFmtId="172" fontId="28" fillId="0" borderId="0" xfId="19" applyNumberFormat="1" applyFont="1" applyAlignment="1" applyProtection="1">
      <alignment horizontal="center"/>
      <protection locked="0"/>
    </xf>
    <xf numFmtId="176" fontId="28" fillId="0" borderId="0" xfId="19" applyNumberFormat="1" applyFont="1" applyProtection="1">
      <protection locked="0"/>
    </xf>
    <xf numFmtId="169" fontId="32" fillId="6" borderId="0" xfId="19" applyNumberFormat="1" applyFont="1" applyFill="1" applyProtection="1">
      <protection locked="0"/>
    </xf>
    <xf numFmtId="169" fontId="29" fillId="6" borderId="0" xfId="19" applyNumberFormat="1" applyFont="1" applyFill="1" applyProtection="1">
      <protection locked="0"/>
    </xf>
    <xf numFmtId="169" fontId="29" fillId="0" borderId="1" xfId="19" applyNumberFormat="1" applyFont="1" applyBorder="1" applyProtection="1">
      <protection locked="0"/>
    </xf>
    <xf numFmtId="169" fontId="31" fillId="7" borderId="0" xfId="19" applyNumberFormat="1" applyFont="1" applyFill="1" applyProtection="1">
      <protection locked="0"/>
    </xf>
    <xf numFmtId="169" fontId="29" fillId="7" borderId="0" xfId="19" applyNumberFormat="1" applyFont="1" applyFill="1" applyProtection="1">
      <protection locked="0"/>
    </xf>
    <xf numFmtId="169" fontId="29" fillId="7" borderId="0" xfId="19" applyNumberFormat="1" applyFont="1" applyFill="1" applyAlignment="1" applyProtection="1">
      <alignment horizontal="center"/>
      <protection locked="0"/>
    </xf>
    <xf numFmtId="169" fontId="29" fillId="0" borderId="0" xfId="19" applyNumberFormat="1" applyFont="1" applyBorder="1" applyAlignment="1" applyProtection="1">
      <alignment horizontal="center"/>
      <protection locked="0"/>
    </xf>
    <xf numFmtId="169" fontId="29" fillId="6" borderId="0" xfId="19" applyNumberFormat="1" applyFont="1" applyFill="1" applyBorder="1" applyProtection="1">
      <protection locked="0"/>
    </xf>
    <xf numFmtId="169" fontId="31" fillId="0" borderId="1" xfId="19" applyNumberFormat="1" applyFont="1" applyBorder="1" applyAlignment="1" applyProtection="1">
      <alignment horizontal="center"/>
      <protection locked="0"/>
    </xf>
    <xf numFmtId="169" fontId="31" fillId="0" borderId="0" xfId="19" applyNumberFormat="1" applyFont="1" applyBorder="1" applyAlignment="1" applyProtection="1">
      <alignment horizontal="center"/>
      <protection locked="0"/>
    </xf>
    <xf numFmtId="169" fontId="29" fillId="0" borderId="0" xfId="19" applyNumberFormat="1" applyFont="1" applyFill="1" applyAlignment="1" applyProtection="1">
      <alignment horizontal="center"/>
      <protection locked="0"/>
    </xf>
    <xf numFmtId="169" fontId="29" fillId="0" borderId="1" xfId="19" applyNumberFormat="1" applyFont="1" applyFill="1" applyBorder="1" applyProtection="1">
      <protection locked="0"/>
    </xf>
    <xf numFmtId="169" fontId="29" fillId="0" borderId="1" xfId="19" applyNumberFormat="1" applyFont="1" applyFill="1" applyBorder="1" applyAlignment="1" applyProtection="1">
      <alignment horizontal="center"/>
      <protection locked="0"/>
    </xf>
    <xf numFmtId="9" fontId="29" fillId="0" borderId="0" xfId="22" applyFont="1" applyFill="1" applyAlignment="1" applyProtection="1">
      <alignment horizontal="center"/>
      <protection locked="0"/>
    </xf>
    <xf numFmtId="169" fontId="34" fillId="0" borderId="0" xfId="19" applyNumberFormat="1" applyFont="1" applyProtection="1">
      <protection locked="0"/>
    </xf>
    <xf numFmtId="14" fontId="39" fillId="0" borderId="1" xfId="19" applyNumberFormat="1" applyFont="1" applyBorder="1" applyProtection="1">
      <protection locked="0"/>
    </xf>
    <xf numFmtId="169" fontId="40" fillId="0" borderId="1" xfId="19" applyNumberFormat="1" applyFont="1" applyBorder="1" applyAlignment="1" applyProtection="1">
      <alignment horizontal="right"/>
      <protection locked="0"/>
    </xf>
    <xf numFmtId="169" fontId="30" fillId="6" borderId="1" xfId="19" applyNumberFormat="1" applyFont="1" applyFill="1" applyBorder="1" applyProtection="1">
      <protection locked="0"/>
    </xf>
    <xf numFmtId="169" fontId="30" fillId="0" borderId="1" xfId="19" applyNumberFormat="1" applyFont="1" applyFill="1" applyBorder="1" applyProtection="1">
      <protection locked="0"/>
    </xf>
    <xf numFmtId="169" fontId="30" fillId="6" borderId="3" xfId="19" applyNumberFormat="1" applyFont="1" applyFill="1" applyBorder="1" applyProtection="1">
      <protection locked="0"/>
    </xf>
    <xf numFmtId="169" fontId="30" fillId="0" borderId="3" xfId="19" applyNumberFormat="1" applyFont="1" applyFill="1" applyBorder="1" applyProtection="1">
      <protection locked="0"/>
    </xf>
    <xf numFmtId="169" fontId="30" fillId="6" borderId="0" xfId="19" applyNumberFormat="1" applyFont="1" applyFill="1" applyBorder="1" applyProtection="1">
      <protection locked="0"/>
    </xf>
    <xf numFmtId="169" fontId="30" fillId="0" borderId="0" xfId="19" applyNumberFormat="1" applyFont="1" applyFill="1" applyBorder="1" applyProtection="1">
      <protection locked="0"/>
    </xf>
    <xf numFmtId="169" fontId="30" fillId="6" borderId="0" xfId="19" applyNumberFormat="1" applyFont="1" applyFill="1" applyProtection="1">
      <protection locked="0"/>
    </xf>
    <xf numFmtId="169" fontId="30" fillId="6" borderId="4" xfId="19" applyNumberFormat="1" applyFont="1" applyFill="1" applyBorder="1" applyProtection="1">
      <protection locked="0"/>
    </xf>
    <xf numFmtId="173" fontId="28" fillId="0" borderId="0" xfId="19" applyNumberFormat="1" applyFont="1" applyProtection="1">
      <protection locked="0"/>
    </xf>
    <xf numFmtId="175" fontId="36" fillId="6" borderId="0" xfId="19" applyNumberFormat="1" applyFont="1" applyFill="1" applyAlignment="1" applyProtection="1">
      <alignment horizontal="right"/>
      <protection locked="0"/>
    </xf>
    <xf numFmtId="14" fontId="23" fillId="6" borderId="0" xfId="19" applyNumberFormat="1" applyFont="1" applyFill="1" applyBorder="1" applyAlignment="1" applyProtection="1">
      <alignment horizontal="right"/>
      <protection locked="0"/>
    </xf>
    <xf numFmtId="177" fontId="32" fillId="6" borderId="0" xfId="19" applyNumberFormat="1" applyFont="1" applyFill="1" applyBorder="1" applyProtection="1">
      <protection locked="0"/>
    </xf>
    <xf numFmtId="177" fontId="29" fillId="6" borderId="0" xfId="19" applyNumberFormat="1" applyFont="1" applyFill="1" applyBorder="1" applyProtection="1">
      <protection locked="0"/>
    </xf>
    <xf numFmtId="175" fontId="36" fillId="6" borderId="0" xfId="19" applyNumberFormat="1" applyFont="1" applyFill="1" applyBorder="1" applyAlignment="1" applyProtection="1">
      <alignment horizontal="right"/>
      <protection locked="0"/>
    </xf>
    <xf numFmtId="169" fontId="30" fillId="6" borderId="7" xfId="19" applyNumberFormat="1" applyFont="1" applyFill="1" applyBorder="1" applyProtection="1">
      <protection locked="0"/>
    </xf>
    <xf numFmtId="169" fontId="30" fillId="6" borderId="1" xfId="19" applyNumberFormat="1" applyFont="1" applyFill="1" applyBorder="1" applyAlignment="1" applyProtection="1">
      <alignment horizontal="center"/>
      <protection locked="0"/>
    </xf>
    <xf numFmtId="169" fontId="33" fillId="6" borderId="1" xfId="19" applyNumberFormat="1" applyFont="1" applyFill="1" applyBorder="1" applyProtection="1">
      <protection locked="0"/>
    </xf>
    <xf numFmtId="169" fontId="30" fillId="6" borderId="8" xfId="19" applyNumberFormat="1" applyFont="1" applyFill="1" applyBorder="1" applyProtection="1">
      <protection locked="0"/>
    </xf>
    <xf numFmtId="169" fontId="30" fillId="6" borderId="9" xfId="19" applyNumberFormat="1" applyFont="1" applyFill="1" applyBorder="1" applyProtection="1">
      <protection locked="0"/>
    </xf>
    <xf numFmtId="169" fontId="30" fillId="6" borderId="2" xfId="19" applyNumberFormat="1" applyFont="1" applyFill="1" applyBorder="1" applyProtection="1">
      <protection locked="0"/>
    </xf>
    <xf numFmtId="169" fontId="30" fillId="6" borderId="2" xfId="19" applyNumberFormat="1" applyFont="1" applyFill="1" applyBorder="1" applyAlignment="1" applyProtection="1">
      <alignment horizontal="center"/>
      <protection locked="0"/>
    </xf>
    <xf numFmtId="169" fontId="30" fillId="6" borderId="10" xfId="19" applyNumberFormat="1" applyFont="1" applyFill="1" applyBorder="1" applyProtection="1">
      <protection locked="0"/>
    </xf>
    <xf numFmtId="169" fontId="23" fillId="6" borderId="0" xfId="19" applyNumberFormat="1" applyFont="1" applyFill="1" applyAlignment="1" applyProtection="1">
      <alignment horizontal="center"/>
      <protection locked="0"/>
    </xf>
    <xf numFmtId="168" fontId="23" fillId="0" borderId="0" xfId="19" applyNumberFormat="1" applyFont="1" applyProtection="1">
      <protection locked="0"/>
    </xf>
    <xf numFmtId="14" fontId="30" fillId="6" borderId="0" xfId="19" applyNumberFormat="1" applyFont="1" applyFill="1" applyProtection="1">
      <protection locked="0"/>
    </xf>
    <xf numFmtId="169" fontId="30" fillId="6" borderId="0" xfId="19" applyNumberFormat="1" applyFont="1" applyFill="1" applyBorder="1" applyAlignment="1" applyProtection="1">
      <alignment horizontal="right"/>
      <protection locked="0"/>
    </xf>
    <xf numFmtId="169" fontId="30" fillId="6" borderId="1" xfId="19" applyNumberFormat="1" applyFont="1" applyFill="1" applyBorder="1" applyAlignment="1" applyProtection="1">
      <alignment horizontal="centerContinuous"/>
      <protection locked="0"/>
    </xf>
    <xf numFmtId="168" fontId="23" fillId="0" borderId="0" xfId="19" applyNumberFormat="1" applyFont="1" applyAlignment="1" applyProtection="1">
      <alignment horizontal="right"/>
      <protection locked="0"/>
    </xf>
    <xf numFmtId="169" fontId="30" fillId="7" borderId="0" xfId="19" applyNumberFormat="1" applyFont="1" applyFill="1" applyAlignment="1" applyProtection="1">
      <alignment horizontal="centerContinuous"/>
      <protection locked="0"/>
    </xf>
    <xf numFmtId="169" fontId="23" fillId="0" borderId="0" xfId="19" applyNumberFormat="1" applyFont="1" applyAlignment="1" applyProtection="1">
      <alignment horizontal="centerContinuous"/>
      <protection locked="0"/>
    </xf>
    <xf numFmtId="9" fontId="24" fillId="0" borderId="0" xfId="22" applyFont="1" applyAlignment="1" applyProtection="1">
      <alignment horizontal="right"/>
      <protection locked="0"/>
    </xf>
    <xf numFmtId="168" fontId="23" fillId="0" borderId="1" xfId="19" applyNumberFormat="1" applyFont="1" applyBorder="1" applyAlignment="1" applyProtection="1">
      <alignment horizontal="right"/>
      <protection locked="0"/>
    </xf>
    <xf numFmtId="168" fontId="23" fillId="0" borderId="12" xfId="19" applyNumberFormat="1" applyFont="1" applyBorder="1" applyAlignment="1" applyProtection="1">
      <alignment horizontal="right"/>
      <protection locked="0"/>
    </xf>
    <xf numFmtId="168" fontId="23" fillId="0" borderId="1" xfId="22" applyNumberFormat="1" applyFont="1" applyBorder="1" applyProtection="1">
      <protection locked="0"/>
    </xf>
    <xf numFmtId="168" fontId="23" fillId="0" borderId="0" xfId="22" applyNumberFormat="1" applyFont="1" applyProtection="1">
      <protection locked="0"/>
    </xf>
    <xf numFmtId="168" fontId="32" fillId="0" borderId="0" xfId="22" applyNumberFormat="1" applyFont="1" applyBorder="1" applyProtection="1">
      <protection locked="0"/>
    </xf>
    <xf numFmtId="166" fontId="34" fillId="0" borderId="0" xfId="19" applyNumberFormat="1" applyFont="1" applyBorder="1" applyProtection="1">
      <protection locked="0"/>
    </xf>
    <xf numFmtId="171" fontId="0" fillId="0" borderId="0" xfId="22" applyNumberFormat="1" applyFont="1" applyAlignment="1">
      <alignment horizontal="right"/>
    </xf>
  </cellXfs>
  <cellStyles count="26">
    <cellStyle name="ChartingText" xfId="14" xr:uid="{00000000-0005-0000-0000-000000000000}"/>
    <cellStyle name="CHPTop" xfId="15" xr:uid="{00000000-0005-0000-0000-000001000000}"/>
    <cellStyle name="ColumnHeaderNormal" xfId="6" xr:uid="{00000000-0005-0000-0000-000002000000}"/>
    <cellStyle name="Comma" xfId="23" builtinId="3"/>
    <cellStyle name="Comma 2" xfId="17" xr:uid="{00000000-0005-0000-0000-000003000000}"/>
    <cellStyle name="Comma 3" xfId="19" xr:uid="{00000000-0005-0000-0000-000004000000}"/>
    <cellStyle name="Hyperlink 2 2" xfId="25" xr:uid="{0264EA20-814A-4DAB-8A30-603B6CEC698A}"/>
    <cellStyle name="Invisible" xfId="13" xr:uid="{00000000-0005-0000-0000-000006000000}"/>
    <cellStyle name="NewColumnHeaderNormal" xfId="4" xr:uid="{00000000-0005-0000-0000-000007000000}"/>
    <cellStyle name="NewSectionHeaderNormal" xfId="3" xr:uid="{00000000-0005-0000-0000-000008000000}"/>
    <cellStyle name="NewTitleNormal" xfId="2" xr:uid="{00000000-0005-0000-0000-000009000000}"/>
    <cellStyle name="Normal" xfId="0" builtinId="0"/>
    <cellStyle name="Normal 2" xfId="16" xr:uid="{00000000-0005-0000-0000-00000B000000}"/>
    <cellStyle name="Normal 2 2" xfId="24" xr:uid="{7E54B6F7-C6CD-47D5-894F-CBA9F3A220FA}"/>
    <cellStyle name="Normal 3" xfId="21" xr:uid="{00000000-0005-0000-0000-00000C000000}"/>
    <cellStyle name="Percent" xfId="22" builtinId="5"/>
    <cellStyle name="Percent 2" xfId="18" xr:uid="{00000000-0005-0000-0000-00000E000000}"/>
    <cellStyle name="Percent 3" xfId="20" xr:uid="{00000000-0005-0000-0000-00000F000000}"/>
    <cellStyle name="SectionHeaderNormal" xfId="5" xr:uid="{00000000-0005-0000-0000-000010000000}"/>
    <cellStyle name="SubScript" xfId="9" xr:uid="{00000000-0005-0000-0000-000011000000}"/>
    <cellStyle name="SuperScript" xfId="8" xr:uid="{00000000-0005-0000-0000-000012000000}"/>
    <cellStyle name="TextBold" xfId="10" xr:uid="{00000000-0005-0000-0000-000013000000}"/>
    <cellStyle name="TextItalic" xfId="11" xr:uid="{00000000-0005-0000-0000-000014000000}"/>
    <cellStyle name="TextNormal" xfId="7" xr:uid="{00000000-0005-0000-0000-000015000000}"/>
    <cellStyle name="TitleNormal" xfId="1" xr:uid="{00000000-0005-0000-0000-000016000000}"/>
    <cellStyle name="Total" xfId="12" builtinId="25" customBuiltin="1"/>
  </cellStyles>
  <dxfs count="26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none">
          <bgColor auto="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FA4040"/>
      <rgbColor rgb="00FFFFEB"/>
      <rgbColor rgb="00EEEEEE"/>
      <rgbColor rgb="00F0F0DC"/>
      <rgbColor rgb="00993366"/>
      <rgbColor rgb="00F5F5E1"/>
      <rgbColor rgb="00004080"/>
    </indexedColors>
    <mruColors>
      <color rgb="FF0000FF"/>
      <color rgb="FFED942D"/>
      <color rgb="FF132E57"/>
      <color rgb="FFFA621C"/>
      <color rgb="FF1E8496"/>
      <color rgb="FF1E8432"/>
      <color rgb="FFADC7E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46bfef7e38da6c85/Documents/Copy%20of%20LBO_Model_Solved(1).xlsx" TargetMode="External"/><Relationship Id="rId1" Type="http://schemas.openxmlformats.org/officeDocument/2006/relationships/externalLinkPath" Target="Copy%20of%20LBO_Model_Solved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BO Model"/>
    </sheetNames>
    <sheetDataSet>
      <sheetData sheetId="0">
        <row r="220">
          <cell r="A220" t="str">
            <v>Line of Credit</v>
          </cell>
        </row>
        <row r="228">
          <cell r="A228" t="str">
            <v>Term Loan 1</v>
          </cell>
        </row>
        <row r="236">
          <cell r="A236" t="str">
            <v>Term Loan 2</v>
          </cell>
        </row>
        <row r="244">
          <cell r="A244" t="str">
            <v>Sub Debt 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Blue Warm">
      <a:dk1>
        <a:sysClr val="windowText" lastClr="000000"/>
      </a:dk1>
      <a:lt1>
        <a:sysClr val="window" lastClr="FFFFFF"/>
      </a:lt1>
      <a:dk2>
        <a:srgbClr val="242852"/>
      </a:dk2>
      <a:lt2>
        <a:srgbClr val="ACCBF9"/>
      </a:lt2>
      <a:accent1>
        <a:srgbClr val="4A66AC"/>
      </a:accent1>
      <a:accent2>
        <a:srgbClr val="629DD1"/>
      </a:accent2>
      <a:accent3>
        <a:srgbClr val="297FD5"/>
      </a:accent3>
      <a:accent4>
        <a:srgbClr val="7F8FA9"/>
      </a:accent4>
      <a:accent5>
        <a:srgbClr val="5AA2AE"/>
      </a:accent5>
      <a:accent6>
        <a:srgbClr val="9D90A0"/>
      </a:accent6>
      <a:hlink>
        <a:srgbClr val="9454C3"/>
      </a:hlink>
      <a:folHlink>
        <a:srgbClr val="3EBBF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410000" mc:Ignorable="a14" a14:legacySpreadsheetColorIndex="65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wrap="none" lIns="18288" tIns="0" rIns="0" bIns="0" upright="1">
        <a:spAutoFit/>
      </a:bodyPr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wrap="none" lIns="18288" tIns="0" rIns="0" bIns="0" upright="1">
        <a:spAutoFit/>
      </a:bodyPr>
      <a:lstStyle/>
    </a:lnDef>
  </a:objectDefaults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86" row="7">
    <wetp:webextensionref xmlns:r="http://schemas.openxmlformats.org/officeDocument/2006/relationships" r:id="rId1"/>
  </wetp:taskpane>
  <wetp:taskpane dockstate="right" visibility="0" width="438" row="2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C4DCB30B-E021-4F6A-AC53-A2A8B16D0806}">
  <we:reference id="wa200006575" version="1.0.0.1" store="en-US" storeType="OMEX"/>
  <we:alternateReferences>
    <we:reference id="wa200006575" version="1.0.0.1" store="" storeType="OMEX"/>
  </we:alternateReferences>
  <we:properties/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A5FB60C9-156C-45B0-978D-CB498D6DA4F3}">
  <we:reference id="wa200010215" version="1.0.0.0" store="en-US" storeType="OMEX"/>
  <we:alternateReferences>
    <we:reference id="WA200010215" version="1.0.0.0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58"/>
  <sheetViews>
    <sheetView showGridLines="0" tabSelected="1" zoomScale="84" zoomScaleNormal="100" workbookViewId="0">
      <pane ySplit="2" topLeftCell="A3" activePane="bottomLeft" state="frozen"/>
      <selection pane="bottomLeft"/>
    </sheetView>
  </sheetViews>
  <sheetFormatPr defaultColWidth="9.109375" defaultRowHeight="15.6" outlineLevelRow="1" x14ac:dyDescent="0.3"/>
  <cols>
    <col min="1" max="1" width="14.44140625" style="5" customWidth="1"/>
    <col min="2" max="2" width="15.44140625" style="5" customWidth="1"/>
    <col min="3" max="3" width="14.44140625" style="12" customWidth="1"/>
    <col min="4" max="8" width="14.44140625" style="5" customWidth="1"/>
    <col min="9" max="9" width="14" style="5" customWidth="1"/>
    <col min="10" max="10" width="15.5546875" style="5" customWidth="1"/>
    <col min="11" max="14" width="14.44140625" style="5" customWidth="1"/>
    <col min="15" max="16384" width="9.109375" style="5"/>
  </cols>
  <sheetData>
    <row r="1" spans="1:14" ht="18" customHeight="1" x14ac:dyDescent="0.3">
      <c r="A1" s="1"/>
      <c r="B1" s="2"/>
      <c r="C1" s="3"/>
      <c r="D1" s="3"/>
      <c r="E1" s="3"/>
      <c r="F1" s="3"/>
      <c r="G1" s="3"/>
      <c r="H1" s="3"/>
      <c r="I1" s="3"/>
      <c r="J1" s="4"/>
      <c r="K1" s="4"/>
      <c r="L1" s="4"/>
      <c r="M1" s="4"/>
      <c r="N1" s="4"/>
    </row>
    <row r="2" spans="1:14" ht="16.5" customHeight="1" x14ac:dyDescent="0.4">
      <c r="A2" s="6"/>
      <c r="B2" s="7"/>
      <c r="C2" s="8"/>
      <c r="D2" s="8"/>
      <c r="E2" s="8"/>
      <c r="F2" s="9" t="s">
        <v>198</v>
      </c>
      <c r="G2" s="10" t="s">
        <v>233</v>
      </c>
      <c r="H2" s="2"/>
      <c r="I2" s="9" t="s">
        <v>221</v>
      </c>
      <c r="J2" s="11">
        <f ca="1">L321</f>
        <v>0.17694390416145325</v>
      </c>
      <c r="K2" s="9"/>
      <c r="L2" s="9" t="s">
        <v>210</v>
      </c>
      <c r="M2" s="9" t="str">
        <f ca="1">IF(D30="OK",IF(D31="OK",IF(D32="OK",IF(D33="OK",IF(D34="OK","OK","ERROR"),"ERROR"),"ERROR"),"ERROR"),"ERROR")</f>
        <v>OK</v>
      </c>
      <c r="N2" s="9"/>
    </row>
    <row r="3" spans="1:14" x14ac:dyDescent="0.3"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</row>
    <row r="4" spans="1:14" ht="21" x14ac:dyDescent="0.4">
      <c r="A4" s="14" t="s">
        <v>5</v>
      </c>
      <c r="B4" s="15"/>
      <c r="C4" s="16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</row>
    <row r="5" spans="1:14" hidden="1" outlineLevel="1" x14ac:dyDescent="0.3">
      <c r="D5" s="13"/>
      <c r="E5" s="13"/>
      <c r="F5" s="13"/>
      <c r="G5" s="13"/>
      <c r="H5" s="13"/>
      <c r="I5" s="13"/>
      <c r="J5" s="13"/>
      <c r="K5" s="13"/>
      <c r="L5" s="13"/>
      <c r="M5" s="13"/>
    </row>
    <row r="6" spans="1:14" hidden="1" outlineLevel="1" x14ac:dyDescent="0.3">
      <c r="A6" s="17" t="s">
        <v>134</v>
      </c>
      <c r="B6" s="18"/>
      <c r="C6" s="19"/>
      <c r="D6" s="18"/>
      <c r="F6" s="17" t="s">
        <v>213</v>
      </c>
      <c r="G6" s="20"/>
      <c r="H6" s="21">
        <f>D11</f>
        <v>2025</v>
      </c>
      <c r="I6" s="21">
        <f t="shared" ref="I6:N6" si="0">H6+1</f>
        <v>2026</v>
      </c>
      <c r="J6" s="21">
        <f t="shared" si="0"/>
        <v>2027</v>
      </c>
      <c r="K6" s="21">
        <f t="shared" si="0"/>
        <v>2028</v>
      </c>
      <c r="L6" s="21">
        <f t="shared" si="0"/>
        <v>2029</v>
      </c>
      <c r="M6" s="21">
        <f t="shared" si="0"/>
        <v>2030</v>
      </c>
      <c r="N6" s="21">
        <f t="shared" si="0"/>
        <v>2031</v>
      </c>
    </row>
    <row r="7" spans="1:14" hidden="1" outlineLevel="1" x14ac:dyDescent="0.3">
      <c r="A7" s="5" t="s">
        <v>104</v>
      </c>
      <c r="D7" s="22" t="s">
        <v>241</v>
      </c>
      <c r="F7" s="23" t="s">
        <v>214</v>
      </c>
      <c r="G7" s="23">
        <f>MATCH(G2,H7:J7,0)</f>
        <v>1</v>
      </c>
      <c r="H7" s="24" t="str">
        <f>F8</f>
        <v>Base Case</v>
      </c>
      <c r="I7" s="24" t="str">
        <f>F18</f>
        <v>Upside Case</v>
      </c>
      <c r="J7" s="24" t="str">
        <f>F28</f>
        <v>Downside Case</v>
      </c>
      <c r="K7" s="23"/>
      <c r="L7" s="23"/>
      <c r="M7" s="23"/>
      <c r="N7" s="23"/>
    </row>
    <row r="8" spans="1:14" hidden="1" outlineLevel="1" x14ac:dyDescent="0.3">
      <c r="A8" s="5" t="s">
        <v>237</v>
      </c>
      <c r="C8" s="25"/>
      <c r="D8" s="26">
        <v>11</v>
      </c>
      <c r="F8" s="27" t="s">
        <v>233</v>
      </c>
    </row>
    <row r="9" spans="1:14" hidden="1" outlineLevel="1" x14ac:dyDescent="0.3">
      <c r="C9" s="25"/>
      <c r="D9" s="26"/>
      <c r="F9" s="28" t="s">
        <v>105</v>
      </c>
      <c r="G9" s="29"/>
      <c r="H9" s="29">
        <v>0.03</v>
      </c>
      <c r="I9" s="29">
        <v>0.03</v>
      </c>
      <c r="J9" s="29">
        <v>0.03</v>
      </c>
      <c r="K9" s="29">
        <v>0.03</v>
      </c>
      <c r="L9" s="29">
        <v>0.03</v>
      </c>
      <c r="M9" s="29">
        <v>0.03</v>
      </c>
      <c r="N9" s="29">
        <v>0.03</v>
      </c>
    </row>
    <row r="10" spans="1:14" hidden="1" outlineLevel="1" x14ac:dyDescent="0.3">
      <c r="A10" s="5" t="s">
        <v>79</v>
      </c>
      <c r="D10" s="30">
        <v>45473</v>
      </c>
      <c r="F10" s="5" t="s">
        <v>84</v>
      </c>
      <c r="H10" s="31">
        <v>0.38</v>
      </c>
      <c r="I10" s="31">
        <v>0.38</v>
      </c>
      <c r="J10" s="31">
        <v>0.375</v>
      </c>
      <c r="K10" s="31">
        <v>0.37</v>
      </c>
      <c r="L10" s="31">
        <v>0.36499999999999999</v>
      </c>
      <c r="M10" s="31">
        <v>0.36499999999999999</v>
      </c>
      <c r="N10" s="31">
        <v>0.36499999999999999</v>
      </c>
    </row>
    <row r="11" spans="1:14" hidden="1" outlineLevel="1" x14ac:dyDescent="0.3">
      <c r="A11" s="5" t="s">
        <v>193</v>
      </c>
      <c r="D11" s="32">
        <v>2025</v>
      </c>
      <c r="F11" s="5" t="s">
        <v>106</v>
      </c>
      <c r="H11" s="31">
        <v>0.16</v>
      </c>
      <c r="I11" s="31">
        <v>0.16</v>
      </c>
      <c r="J11" s="31">
        <v>0.16</v>
      </c>
      <c r="K11" s="31">
        <v>0.16</v>
      </c>
      <c r="L11" s="31">
        <v>0.16</v>
      </c>
      <c r="M11" s="31">
        <v>0.16</v>
      </c>
      <c r="N11" s="31">
        <v>0.16</v>
      </c>
    </row>
    <row r="12" spans="1:14" hidden="1" outlineLevel="1" x14ac:dyDescent="0.3">
      <c r="A12" s="5" t="s">
        <v>218</v>
      </c>
      <c r="D12" s="32">
        <v>3</v>
      </c>
      <c r="F12" s="33" t="s">
        <v>107</v>
      </c>
      <c r="H12" s="34">
        <v>7000</v>
      </c>
      <c r="I12" s="34">
        <v>7000</v>
      </c>
      <c r="J12" s="34">
        <v>7500</v>
      </c>
      <c r="K12" s="34">
        <v>8000</v>
      </c>
      <c r="L12" s="34">
        <v>8000</v>
      </c>
      <c r="M12" s="34">
        <v>8500</v>
      </c>
      <c r="N12" s="34">
        <v>8500</v>
      </c>
    </row>
    <row r="13" spans="1:14" hidden="1" outlineLevel="1" x14ac:dyDescent="0.3">
      <c r="A13" s="5" t="s">
        <v>219</v>
      </c>
      <c r="D13" s="32">
        <v>31</v>
      </c>
      <c r="F13" s="5" t="s">
        <v>110</v>
      </c>
      <c r="H13" s="35">
        <v>10</v>
      </c>
      <c r="I13" s="35">
        <v>10</v>
      </c>
      <c r="J13" s="35">
        <v>10</v>
      </c>
      <c r="K13" s="35">
        <v>10</v>
      </c>
      <c r="L13" s="35">
        <v>10</v>
      </c>
      <c r="M13" s="35">
        <v>10</v>
      </c>
      <c r="N13" s="35">
        <v>10</v>
      </c>
    </row>
    <row r="14" spans="1:14" hidden="1" outlineLevel="1" x14ac:dyDescent="0.3">
      <c r="A14" s="5" t="s">
        <v>53</v>
      </c>
      <c r="D14" s="22" t="s">
        <v>242</v>
      </c>
      <c r="F14" s="5" t="s">
        <v>109</v>
      </c>
      <c r="H14" s="35">
        <v>30</v>
      </c>
      <c r="I14" s="35">
        <v>30</v>
      </c>
      <c r="J14" s="35">
        <v>30</v>
      </c>
      <c r="K14" s="35">
        <v>30</v>
      </c>
      <c r="L14" s="35">
        <v>30</v>
      </c>
      <c r="M14" s="35">
        <v>30</v>
      </c>
      <c r="N14" s="35">
        <v>30</v>
      </c>
    </row>
    <row r="15" spans="1:14" hidden="1" outlineLevel="1" x14ac:dyDescent="0.3">
      <c r="A15" s="5" t="s">
        <v>54</v>
      </c>
      <c r="D15" s="22" t="s">
        <v>243</v>
      </c>
      <c r="F15" s="36" t="s">
        <v>108</v>
      </c>
      <c r="H15" s="37">
        <v>80</v>
      </c>
      <c r="I15" s="37">
        <v>80</v>
      </c>
      <c r="J15" s="37">
        <v>80</v>
      </c>
      <c r="K15" s="37">
        <v>80</v>
      </c>
      <c r="L15" s="37">
        <v>80</v>
      </c>
      <c r="M15" s="37">
        <v>80</v>
      </c>
      <c r="N15" s="37">
        <v>80</v>
      </c>
    </row>
    <row r="16" spans="1:14" hidden="1" outlineLevel="1" x14ac:dyDescent="0.3">
      <c r="A16" s="5" t="s">
        <v>215</v>
      </c>
      <c r="D16" s="34">
        <v>365</v>
      </c>
      <c r="F16" s="36" t="s">
        <v>216</v>
      </c>
      <c r="H16" s="38">
        <v>8.5000000000000006E-2</v>
      </c>
      <c r="I16" s="38">
        <v>8.5000000000000006E-2</v>
      </c>
      <c r="J16" s="38">
        <v>0.08</v>
      </c>
      <c r="K16" s="38">
        <v>0.08</v>
      </c>
      <c r="L16" s="38">
        <v>0.08</v>
      </c>
      <c r="M16" s="38">
        <v>7.4999999999999997E-2</v>
      </c>
      <c r="N16" s="38">
        <v>7.4999999999999997E-2</v>
      </c>
    </row>
    <row r="17" spans="1:14" hidden="1" outlineLevel="1" x14ac:dyDescent="0.3">
      <c r="F17" s="5" t="s">
        <v>217</v>
      </c>
      <c r="H17" s="39">
        <v>0.2</v>
      </c>
      <c r="I17" s="39">
        <v>0.2</v>
      </c>
      <c r="J17" s="39">
        <v>0.2</v>
      </c>
      <c r="K17" s="39">
        <v>0.2</v>
      </c>
      <c r="L17" s="39">
        <v>0.2</v>
      </c>
      <c r="M17" s="39">
        <v>0.2</v>
      </c>
      <c r="N17" s="39">
        <v>0.2</v>
      </c>
    </row>
    <row r="18" spans="1:14" hidden="1" outlineLevel="1" x14ac:dyDescent="0.3">
      <c r="A18" s="5" t="s">
        <v>135</v>
      </c>
      <c r="D18" s="34">
        <v>25000</v>
      </c>
      <c r="F18" s="27" t="s">
        <v>234</v>
      </c>
    </row>
    <row r="19" spans="1:14" hidden="1" outlineLevel="1" x14ac:dyDescent="0.3">
      <c r="F19" s="28" t="s">
        <v>105</v>
      </c>
      <c r="G19" s="29"/>
      <c r="H19" s="29">
        <v>0.03</v>
      </c>
      <c r="I19" s="29">
        <v>0.04</v>
      </c>
      <c r="J19" s="29">
        <v>0.05</v>
      </c>
      <c r="K19" s="29">
        <v>0.05</v>
      </c>
      <c r="L19" s="29">
        <v>0.05</v>
      </c>
      <c r="M19" s="29">
        <v>0.04</v>
      </c>
      <c r="N19" s="29">
        <v>0.04</v>
      </c>
    </row>
    <row r="20" spans="1:14" hidden="1" outlineLevel="1" x14ac:dyDescent="0.3">
      <c r="A20" s="5" t="s">
        <v>238</v>
      </c>
      <c r="D20" s="40">
        <f>G142+G145</f>
        <v>16801.075268817203</v>
      </c>
      <c r="F20" s="5" t="s">
        <v>84</v>
      </c>
      <c r="H20" s="31">
        <v>0.38</v>
      </c>
      <c r="I20" s="31">
        <v>0.37</v>
      </c>
      <c r="J20" s="31">
        <v>0.36</v>
      </c>
      <c r="K20" s="31">
        <v>0.36</v>
      </c>
      <c r="L20" s="31">
        <v>0.36</v>
      </c>
      <c r="M20" s="31">
        <v>0.36</v>
      </c>
      <c r="N20" s="31">
        <v>0.36</v>
      </c>
    </row>
    <row r="21" spans="1:14" hidden="1" outlineLevel="1" x14ac:dyDescent="0.3">
      <c r="A21" s="5" t="s">
        <v>239</v>
      </c>
      <c r="D21" s="40">
        <f>G133</f>
        <v>57269.263877213911</v>
      </c>
      <c r="F21" s="5" t="s">
        <v>106</v>
      </c>
      <c r="H21" s="31">
        <v>0.16</v>
      </c>
      <c r="I21" s="31">
        <v>0.16</v>
      </c>
      <c r="J21" s="31">
        <v>0.16</v>
      </c>
      <c r="K21" s="31">
        <v>0.16</v>
      </c>
      <c r="L21" s="31">
        <v>0.16</v>
      </c>
      <c r="M21" s="31">
        <v>0.16</v>
      </c>
      <c r="N21" s="31">
        <v>0.16</v>
      </c>
    </row>
    <row r="22" spans="1:14" hidden="1" outlineLevel="1" x14ac:dyDescent="0.3">
      <c r="A22" s="5" t="s">
        <v>76</v>
      </c>
      <c r="D22" s="34">
        <v>2000</v>
      </c>
      <c r="F22" s="33" t="s">
        <v>107</v>
      </c>
      <c r="H22" s="34">
        <v>7000</v>
      </c>
      <c r="I22" s="34">
        <v>7000</v>
      </c>
      <c r="J22" s="34">
        <v>7000</v>
      </c>
      <c r="K22" s="34">
        <v>7000</v>
      </c>
      <c r="L22" s="34">
        <v>7000</v>
      </c>
      <c r="M22" s="34">
        <v>7000</v>
      </c>
      <c r="N22" s="34">
        <v>7000</v>
      </c>
    </row>
    <row r="23" spans="1:14" hidden="1" outlineLevel="1" x14ac:dyDescent="0.3">
      <c r="A23" s="5" t="s">
        <v>145</v>
      </c>
      <c r="D23" s="41">
        <v>10000</v>
      </c>
      <c r="F23" s="5" t="s">
        <v>110</v>
      </c>
      <c r="H23" s="35">
        <v>10</v>
      </c>
      <c r="I23" s="35">
        <v>10</v>
      </c>
      <c r="J23" s="35">
        <v>10</v>
      </c>
      <c r="K23" s="35">
        <v>10</v>
      </c>
      <c r="L23" s="35">
        <v>10</v>
      </c>
      <c r="M23" s="35">
        <v>10</v>
      </c>
      <c r="N23" s="35">
        <v>10</v>
      </c>
    </row>
    <row r="24" spans="1:14" hidden="1" outlineLevel="1" x14ac:dyDescent="0.3">
      <c r="A24" s="5" t="s">
        <v>58</v>
      </c>
      <c r="D24" s="34">
        <v>2000</v>
      </c>
      <c r="F24" s="5" t="s">
        <v>109</v>
      </c>
      <c r="H24" s="35">
        <v>30</v>
      </c>
      <c r="I24" s="35">
        <v>30</v>
      </c>
      <c r="J24" s="35">
        <v>30</v>
      </c>
      <c r="K24" s="35">
        <v>30</v>
      </c>
      <c r="L24" s="35">
        <v>30</v>
      </c>
      <c r="M24" s="35">
        <v>30</v>
      </c>
      <c r="N24" s="35">
        <v>30</v>
      </c>
    </row>
    <row r="25" spans="1:14" hidden="1" outlineLevel="1" x14ac:dyDescent="0.3">
      <c r="F25" s="36" t="s">
        <v>108</v>
      </c>
      <c r="H25" s="37">
        <v>80</v>
      </c>
      <c r="I25" s="37">
        <v>80</v>
      </c>
      <c r="J25" s="37">
        <v>80</v>
      </c>
      <c r="K25" s="37">
        <v>80</v>
      </c>
      <c r="L25" s="37">
        <v>80</v>
      </c>
      <c r="M25" s="37">
        <v>80</v>
      </c>
      <c r="N25" s="37">
        <v>80</v>
      </c>
    </row>
    <row r="26" spans="1:14" hidden="1" outlineLevel="1" x14ac:dyDescent="0.3">
      <c r="A26" s="5" t="s">
        <v>49</v>
      </c>
      <c r="D26" s="31">
        <v>0.3</v>
      </c>
      <c r="F26" s="36" t="s">
        <v>216</v>
      </c>
      <c r="H26" s="38">
        <v>0.08</v>
      </c>
      <c r="I26" s="38">
        <v>0.08</v>
      </c>
      <c r="J26" s="38">
        <v>0.08</v>
      </c>
      <c r="K26" s="38">
        <v>0.08</v>
      </c>
      <c r="L26" s="38">
        <v>0.08</v>
      </c>
      <c r="M26" s="38">
        <v>0.08</v>
      </c>
      <c r="N26" s="38">
        <v>0.08</v>
      </c>
    </row>
    <row r="27" spans="1:14" hidden="1" outlineLevel="1" x14ac:dyDescent="0.3">
      <c r="A27" s="5" t="s">
        <v>240</v>
      </c>
      <c r="D27" s="34">
        <v>15000</v>
      </c>
      <c r="F27" s="5" t="s">
        <v>217</v>
      </c>
      <c r="H27" s="39">
        <v>0.2</v>
      </c>
      <c r="I27" s="39">
        <v>0.2</v>
      </c>
      <c r="J27" s="39">
        <v>0.2</v>
      </c>
      <c r="K27" s="39">
        <v>0.2</v>
      </c>
      <c r="L27" s="39">
        <v>0.2</v>
      </c>
      <c r="M27" s="39">
        <v>0.2</v>
      </c>
      <c r="N27" s="39">
        <v>0.2</v>
      </c>
    </row>
    <row r="28" spans="1:14" hidden="1" outlineLevel="1" x14ac:dyDescent="0.3">
      <c r="D28" s="12"/>
      <c r="F28" s="27" t="s">
        <v>235</v>
      </c>
    </row>
    <row r="29" spans="1:14" hidden="1" outlineLevel="1" x14ac:dyDescent="0.3">
      <c r="A29" s="17" t="s">
        <v>206</v>
      </c>
      <c r="B29" s="18"/>
      <c r="C29" s="19"/>
      <c r="D29" s="18"/>
      <c r="F29" s="28" t="s">
        <v>105</v>
      </c>
      <c r="G29" s="29"/>
      <c r="H29" s="29">
        <v>0.03</v>
      </c>
      <c r="I29" s="29">
        <v>2.5000000000000001E-2</v>
      </c>
      <c r="J29" s="29">
        <v>0.02</v>
      </c>
      <c r="K29" s="29">
        <v>0.01</v>
      </c>
      <c r="L29" s="29">
        <v>0</v>
      </c>
      <c r="M29" s="29">
        <v>0</v>
      </c>
      <c r="N29" s="29">
        <v>0</v>
      </c>
    </row>
    <row r="30" spans="1:14" hidden="1" outlineLevel="1" x14ac:dyDescent="0.3">
      <c r="A30" s="5" t="s">
        <v>207</v>
      </c>
      <c r="D30" s="42" t="str">
        <f ca="1">IF(ABS(SUM(D153:N153))&gt;0.01,"ERROR","OK")</f>
        <v>OK</v>
      </c>
      <c r="F30" s="5" t="s">
        <v>84</v>
      </c>
      <c r="H30" s="31">
        <v>0.39</v>
      </c>
      <c r="I30" s="31">
        <v>0.4</v>
      </c>
      <c r="J30" s="31">
        <v>0.41</v>
      </c>
      <c r="K30" s="31">
        <v>0.41</v>
      </c>
      <c r="L30" s="31">
        <v>0.42</v>
      </c>
      <c r="M30" s="31">
        <v>0.42</v>
      </c>
      <c r="N30" s="31">
        <v>0.42</v>
      </c>
    </row>
    <row r="31" spans="1:14" hidden="1" outlineLevel="1" x14ac:dyDescent="0.3">
      <c r="A31" s="5" t="s">
        <v>208</v>
      </c>
      <c r="C31" s="5"/>
      <c r="D31" s="25" t="str">
        <f ca="1">IF(ABS(SUM(D288,L288))&gt;0.01,"ERROR","OK")</f>
        <v>OK</v>
      </c>
      <c r="F31" s="5" t="s">
        <v>106</v>
      </c>
      <c r="H31" s="31">
        <v>0.16</v>
      </c>
      <c r="I31" s="31">
        <v>0.16</v>
      </c>
      <c r="J31" s="31">
        <v>0.16</v>
      </c>
      <c r="K31" s="31">
        <v>0.16</v>
      </c>
      <c r="L31" s="31">
        <v>0.16</v>
      </c>
      <c r="M31" s="31">
        <v>0.16</v>
      </c>
      <c r="N31" s="31">
        <v>0.16</v>
      </c>
    </row>
    <row r="32" spans="1:14" hidden="1" outlineLevel="1" x14ac:dyDescent="0.3">
      <c r="A32" s="5" t="s">
        <v>220</v>
      </c>
      <c r="D32" s="25" t="str">
        <f>IF(G58&gt;1,"ERROR","OK")</f>
        <v>OK</v>
      </c>
      <c r="F32" s="33" t="s">
        <v>107</v>
      </c>
      <c r="H32" s="34">
        <v>7000</v>
      </c>
      <c r="I32" s="34">
        <v>7000</v>
      </c>
      <c r="J32" s="34">
        <v>7000</v>
      </c>
      <c r="K32" s="34">
        <v>7000</v>
      </c>
      <c r="L32" s="34">
        <v>7000</v>
      </c>
      <c r="M32" s="34">
        <v>7000</v>
      </c>
      <c r="N32" s="34">
        <v>7000</v>
      </c>
    </row>
    <row r="33" spans="1:14" hidden="1" outlineLevel="1" x14ac:dyDescent="0.3">
      <c r="A33" s="5" t="s">
        <v>209</v>
      </c>
      <c r="D33" s="25" t="str">
        <f ca="1">IF(C69=H69,"OK","ERROR")</f>
        <v>OK</v>
      </c>
      <c r="F33" s="5" t="s">
        <v>110</v>
      </c>
      <c r="H33" s="35">
        <v>10</v>
      </c>
      <c r="I33" s="35">
        <v>10</v>
      </c>
      <c r="J33" s="35">
        <v>10</v>
      </c>
      <c r="K33" s="35">
        <v>10</v>
      </c>
      <c r="L33" s="35">
        <v>10</v>
      </c>
      <c r="M33" s="35">
        <v>10</v>
      </c>
      <c r="N33" s="35">
        <v>10</v>
      </c>
    </row>
    <row r="34" spans="1:14" hidden="1" outlineLevel="1" x14ac:dyDescent="0.3">
      <c r="A34" s="5" t="s">
        <v>228</v>
      </c>
      <c r="D34" s="25" t="str">
        <f ca="1">C252</f>
        <v>OK</v>
      </c>
      <c r="F34" s="5" t="s">
        <v>109</v>
      </c>
      <c r="H34" s="35">
        <v>30</v>
      </c>
      <c r="I34" s="35">
        <v>30</v>
      </c>
      <c r="J34" s="35">
        <v>30</v>
      </c>
      <c r="K34" s="35">
        <v>30</v>
      </c>
      <c r="L34" s="35">
        <v>30</v>
      </c>
      <c r="M34" s="35">
        <v>30</v>
      </c>
      <c r="N34" s="35">
        <v>30</v>
      </c>
    </row>
    <row r="35" spans="1:14" hidden="1" outlineLevel="1" x14ac:dyDescent="0.3">
      <c r="F35" s="36" t="s">
        <v>108</v>
      </c>
      <c r="H35" s="37">
        <v>80</v>
      </c>
      <c r="I35" s="37">
        <v>80</v>
      </c>
      <c r="J35" s="37">
        <v>80</v>
      </c>
      <c r="K35" s="37">
        <v>80</v>
      </c>
      <c r="L35" s="37">
        <v>80</v>
      </c>
      <c r="M35" s="37">
        <v>80</v>
      </c>
      <c r="N35" s="37">
        <v>80</v>
      </c>
    </row>
    <row r="36" spans="1:14" hidden="1" outlineLevel="1" x14ac:dyDescent="0.3">
      <c r="A36" s="17" t="s">
        <v>55</v>
      </c>
      <c r="B36" s="18"/>
      <c r="C36" s="19"/>
      <c r="D36" s="18"/>
      <c r="F36" s="36" t="s">
        <v>216</v>
      </c>
      <c r="H36" s="38">
        <v>0.09</v>
      </c>
      <c r="I36" s="38">
        <v>0.09</v>
      </c>
      <c r="J36" s="38">
        <v>0.09</v>
      </c>
      <c r="K36" s="38">
        <v>0.1</v>
      </c>
      <c r="L36" s="38">
        <v>0.1</v>
      </c>
      <c r="M36" s="38">
        <v>0.1</v>
      </c>
      <c r="N36" s="38">
        <v>0.1</v>
      </c>
    </row>
    <row r="37" spans="1:14" hidden="1" outlineLevel="1" x14ac:dyDescent="0.3">
      <c r="A37" s="5" t="s">
        <v>50</v>
      </c>
      <c r="D37" s="43">
        <f>IF(C47="OFF",D18*D44,D40+D20-D21)</f>
        <v>150000</v>
      </c>
      <c r="F37" s="5" t="s">
        <v>217</v>
      </c>
      <c r="H37" s="39">
        <v>0.2</v>
      </c>
      <c r="I37" s="39">
        <v>0.2</v>
      </c>
      <c r="J37" s="39">
        <v>0.2</v>
      </c>
      <c r="K37" s="39">
        <v>0.2</v>
      </c>
      <c r="L37" s="39">
        <v>0.2</v>
      </c>
      <c r="M37" s="39">
        <v>0.2</v>
      </c>
      <c r="N37" s="39">
        <v>0.2</v>
      </c>
    </row>
    <row r="38" spans="1:14" hidden="1" outlineLevel="1" x14ac:dyDescent="0.3">
      <c r="A38" s="5" t="s">
        <v>113</v>
      </c>
      <c r="D38" s="5">
        <f>-D20</f>
        <v>-16801.075268817203</v>
      </c>
      <c r="F38" s="44" t="s">
        <v>236</v>
      </c>
    </row>
    <row r="39" spans="1:14" hidden="1" outlineLevel="1" x14ac:dyDescent="0.3">
      <c r="A39" s="5" t="s">
        <v>114</v>
      </c>
      <c r="D39" s="5">
        <f>D21</f>
        <v>57269.263877213911</v>
      </c>
      <c r="F39" s="28" t="s">
        <v>105</v>
      </c>
      <c r="G39" s="29"/>
      <c r="H39" s="45">
        <f>CHOOSE($G$7,H9,H19,H29)</f>
        <v>0.03</v>
      </c>
      <c r="I39" s="45">
        <f t="shared" ref="H39:N47" si="1">CHOOSE($G$7,I9,I19,I29)</f>
        <v>0.03</v>
      </c>
      <c r="J39" s="45">
        <f t="shared" si="1"/>
        <v>0.03</v>
      </c>
      <c r="K39" s="45">
        <f t="shared" si="1"/>
        <v>0.03</v>
      </c>
      <c r="L39" s="45">
        <f t="shared" si="1"/>
        <v>0.03</v>
      </c>
      <c r="M39" s="45">
        <f t="shared" si="1"/>
        <v>0.03</v>
      </c>
      <c r="N39" s="45">
        <f t="shared" si="1"/>
        <v>0.03</v>
      </c>
    </row>
    <row r="40" spans="1:14" hidden="1" outlineLevel="1" x14ac:dyDescent="0.3">
      <c r="A40" s="46" t="s">
        <v>115</v>
      </c>
      <c r="B40" s="46"/>
      <c r="C40" s="47"/>
      <c r="D40" s="48">
        <f>IF(C47="OFF",SUM(D37:D39),D47*D27)</f>
        <v>190468.18860839671</v>
      </c>
      <c r="F40" s="5" t="s">
        <v>84</v>
      </c>
      <c r="H40" s="49">
        <f t="shared" si="1"/>
        <v>0.38</v>
      </c>
      <c r="I40" s="49">
        <f t="shared" si="1"/>
        <v>0.38</v>
      </c>
      <c r="J40" s="49">
        <f t="shared" si="1"/>
        <v>0.375</v>
      </c>
      <c r="K40" s="49">
        <f t="shared" si="1"/>
        <v>0.37</v>
      </c>
      <c r="L40" s="49">
        <f t="shared" si="1"/>
        <v>0.36499999999999999</v>
      </c>
      <c r="M40" s="49">
        <f t="shared" si="1"/>
        <v>0.36499999999999999</v>
      </c>
      <c r="N40" s="49">
        <f t="shared" si="1"/>
        <v>0.36499999999999999</v>
      </c>
    </row>
    <row r="41" spans="1:14" hidden="1" outlineLevel="1" x14ac:dyDescent="0.3">
      <c r="A41" s="50" t="s">
        <v>116</v>
      </c>
      <c r="B41" s="50"/>
      <c r="C41" s="51"/>
      <c r="D41" s="52">
        <f>D40/D27</f>
        <v>12.69787924055978</v>
      </c>
      <c r="F41" s="5" t="s">
        <v>106</v>
      </c>
      <c r="H41" s="49">
        <f t="shared" si="1"/>
        <v>0.16</v>
      </c>
      <c r="I41" s="49">
        <f t="shared" si="1"/>
        <v>0.16</v>
      </c>
      <c r="J41" s="49">
        <f t="shared" si="1"/>
        <v>0.16</v>
      </c>
      <c r="K41" s="49">
        <f t="shared" si="1"/>
        <v>0.16</v>
      </c>
      <c r="L41" s="49">
        <f t="shared" si="1"/>
        <v>0.16</v>
      </c>
      <c r="M41" s="49">
        <f t="shared" si="1"/>
        <v>0.16</v>
      </c>
      <c r="N41" s="49">
        <f t="shared" si="1"/>
        <v>0.16</v>
      </c>
    </row>
    <row r="42" spans="1:14" hidden="1" outlineLevel="1" x14ac:dyDescent="0.3">
      <c r="A42" s="50" t="s">
        <v>117</v>
      </c>
      <c r="B42" s="50"/>
      <c r="C42" s="51"/>
      <c r="D42" s="53">
        <f>D41/D8-1</f>
        <v>0.15435265823270727</v>
      </c>
      <c r="F42" s="33" t="s">
        <v>107</v>
      </c>
      <c r="H42" s="40">
        <f t="shared" si="1"/>
        <v>7000</v>
      </c>
      <c r="I42" s="40">
        <f t="shared" si="1"/>
        <v>7000</v>
      </c>
      <c r="J42" s="40">
        <f t="shared" si="1"/>
        <v>7500</v>
      </c>
      <c r="K42" s="40">
        <f t="shared" si="1"/>
        <v>8000</v>
      </c>
      <c r="L42" s="40">
        <f t="shared" si="1"/>
        <v>8000</v>
      </c>
      <c r="M42" s="40">
        <f t="shared" si="1"/>
        <v>8500</v>
      </c>
      <c r="N42" s="40">
        <f t="shared" si="1"/>
        <v>8500</v>
      </c>
    </row>
    <row r="43" spans="1:14" hidden="1" outlineLevel="1" x14ac:dyDescent="0.3">
      <c r="F43" s="5" t="s">
        <v>110</v>
      </c>
      <c r="H43" s="54">
        <f t="shared" si="1"/>
        <v>10</v>
      </c>
      <c r="I43" s="54">
        <f t="shared" si="1"/>
        <v>10</v>
      </c>
      <c r="J43" s="54">
        <f t="shared" si="1"/>
        <v>10</v>
      </c>
      <c r="K43" s="54">
        <f t="shared" si="1"/>
        <v>10</v>
      </c>
      <c r="L43" s="54">
        <f t="shared" si="1"/>
        <v>10</v>
      </c>
      <c r="M43" s="54">
        <f t="shared" si="1"/>
        <v>10</v>
      </c>
      <c r="N43" s="54">
        <f t="shared" si="1"/>
        <v>10</v>
      </c>
    </row>
    <row r="44" spans="1:14" hidden="1" outlineLevel="1" x14ac:dyDescent="0.3">
      <c r="A44" s="36" t="s">
        <v>224</v>
      </c>
      <c r="D44" s="174">
        <v>6</v>
      </c>
      <c r="F44" s="5" t="s">
        <v>109</v>
      </c>
      <c r="H44" s="54">
        <f t="shared" si="1"/>
        <v>30</v>
      </c>
      <c r="I44" s="54">
        <f t="shared" si="1"/>
        <v>30</v>
      </c>
      <c r="J44" s="54">
        <f t="shared" si="1"/>
        <v>30</v>
      </c>
      <c r="K44" s="54">
        <f t="shared" si="1"/>
        <v>30</v>
      </c>
      <c r="L44" s="54">
        <f t="shared" si="1"/>
        <v>30</v>
      </c>
      <c r="M44" s="54">
        <f t="shared" si="1"/>
        <v>30</v>
      </c>
      <c r="N44" s="54">
        <f t="shared" si="1"/>
        <v>30</v>
      </c>
    </row>
    <row r="45" spans="1:14" hidden="1" outlineLevel="1" x14ac:dyDescent="0.3">
      <c r="A45" s="36" t="s">
        <v>112</v>
      </c>
      <c r="D45" s="174">
        <v>6</v>
      </c>
      <c r="F45" s="36" t="s">
        <v>108</v>
      </c>
      <c r="H45" s="55">
        <f t="shared" si="1"/>
        <v>80</v>
      </c>
      <c r="I45" s="55">
        <f t="shared" si="1"/>
        <v>80</v>
      </c>
      <c r="J45" s="55">
        <f t="shared" si="1"/>
        <v>80</v>
      </c>
      <c r="K45" s="55">
        <f t="shared" si="1"/>
        <v>80</v>
      </c>
      <c r="L45" s="55">
        <f t="shared" si="1"/>
        <v>80</v>
      </c>
      <c r="M45" s="55">
        <f t="shared" si="1"/>
        <v>80</v>
      </c>
      <c r="N45" s="55">
        <f t="shared" si="1"/>
        <v>80</v>
      </c>
    </row>
    <row r="46" spans="1:14" hidden="1" outlineLevel="1" x14ac:dyDescent="0.3">
      <c r="F46" s="36" t="s">
        <v>216</v>
      </c>
      <c r="H46" s="56">
        <f t="shared" si="1"/>
        <v>8.5000000000000006E-2</v>
      </c>
      <c r="I46" s="56">
        <f t="shared" si="1"/>
        <v>8.5000000000000006E-2</v>
      </c>
      <c r="J46" s="56">
        <f t="shared" si="1"/>
        <v>0.08</v>
      </c>
      <c r="K46" s="56">
        <f t="shared" si="1"/>
        <v>0.08</v>
      </c>
      <c r="L46" s="56">
        <f t="shared" si="1"/>
        <v>0.08</v>
      </c>
      <c r="M46" s="56">
        <f t="shared" si="1"/>
        <v>7.4999999999999997E-2</v>
      </c>
      <c r="N46" s="56">
        <f t="shared" si="1"/>
        <v>7.4999999999999997E-2</v>
      </c>
    </row>
    <row r="47" spans="1:14" hidden="1" outlineLevel="1" x14ac:dyDescent="0.3">
      <c r="A47" s="36" t="s">
        <v>205</v>
      </c>
      <c r="C47" s="57" t="s">
        <v>244</v>
      </c>
      <c r="D47" s="175">
        <v>12.5</v>
      </c>
      <c r="F47" s="5" t="s">
        <v>217</v>
      </c>
      <c r="H47" s="58">
        <f t="shared" si="1"/>
        <v>0.2</v>
      </c>
      <c r="I47" s="58">
        <f t="shared" si="1"/>
        <v>0.2</v>
      </c>
      <c r="J47" s="58">
        <f t="shared" si="1"/>
        <v>0.2</v>
      </c>
      <c r="K47" s="58">
        <f t="shared" si="1"/>
        <v>0.2</v>
      </c>
      <c r="L47" s="58">
        <f t="shared" si="1"/>
        <v>0.2</v>
      </c>
      <c r="M47" s="58">
        <f t="shared" si="1"/>
        <v>0.2</v>
      </c>
      <c r="N47" s="58">
        <f t="shared" si="1"/>
        <v>0.2</v>
      </c>
    </row>
    <row r="48" spans="1:14" hidden="1" outlineLevel="1" x14ac:dyDescent="0.3"/>
    <row r="49" spans="1:14" hidden="1" outlineLevel="1" x14ac:dyDescent="0.3">
      <c r="A49" s="17" t="s">
        <v>51</v>
      </c>
      <c r="B49" s="18"/>
      <c r="C49" s="19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</row>
    <row r="50" spans="1:14" hidden="1" outlineLevel="1" x14ac:dyDescent="0.3">
      <c r="A50" s="44"/>
      <c r="B50" s="59"/>
      <c r="C50" s="60"/>
      <c r="D50" s="59"/>
      <c r="E50" s="59"/>
      <c r="F50" s="61"/>
      <c r="G50" s="61"/>
      <c r="H50" s="62" t="s">
        <v>226</v>
      </c>
      <c r="I50" s="62"/>
      <c r="J50" s="62"/>
      <c r="K50" s="62"/>
      <c r="L50" s="62"/>
      <c r="M50" s="62"/>
      <c r="N50" s="62"/>
    </row>
    <row r="51" spans="1:14" hidden="1" outlineLevel="1" x14ac:dyDescent="0.3">
      <c r="A51" s="44" t="s">
        <v>121</v>
      </c>
      <c r="B51" s="59" t="s">
        <v>124</v>
      </c>
      <c r="C51" s="60" t="s">
        <v>123</v>
      </c>
      <c r="D51" s="59" t="s">
        <v>122</v>
      </c>
      <c r="E51" s="63" t="s">
        <v>132</v>
      </c>
      <c r="F51" s="64" t="s">
        <v>131</v>
      </c>
      <c r="G51" s="64" t="s">
        <v>141</v>
      </c>
      <c r="H51" s="65" t="s">
        <v>125</v>
      </c>
      <c r="I51" s="66" t="s">
        <v>126</v>
      </c>
      <c r="J51" s="66" t="s">
        <v>127</v>
      </c>
      <c r="K51" s="66" t="s">
        <v>128</v>
      </c>
      <c r="L51" s="66" t="s">
        <v>129</v>
      </c>
      <c r="M51" s="66" t="s">
        <v>149</v>
      </c>
      <c r="N51" s="66">
        <v>7</v>
      </c>
    </row>
    <row r="52" spans="1:14" hidden="1" outlineLevel="1" x14ac:dyDescent="0.3">
      <c r="A52" s="67" t="s">
        <v>136</v>
      </c>
      <c r="B52" s="68"/>
      <c r="C52" s="69">
        <f>C63</f>
        <v>47269.263877213911</v>
      </c>
      <c r="D52" s="70">
        <f t="shared" ref="D52:D57" ca="1" si="2">C52/$C$58</f>
        <v>0.2216360166910884</v>
      </c>
      <c r="E52" s="29"/>
      <c r="F52" s="71"/>
      <c r="G52" s="72"/>
      <c r="H52" s="29"/>
      <c r="I52" s="29"/>
      <c r="J52" s="29"/>
      <c r="K52" s="29"/>
      <c r="L52" s="29"/>
      <c r="M52" s="29"/>
      <c r="N52" s="29"/>
    </row>
    <row r="53" spans="1:14" s="36" customFormat="1" hidden="1" outlineLevel="1" x14ac:dyDescent="0.3">
      <c r="A53" s="73" t="s">
        <v>120</v>
      </c>
      <c r="B53" s="74">
        <v>0.25</v>
      </c>
      <c r="C53" s="75">
        <f>B53*D18</f>
        <v>6250</v>
      </c>
      <c r="D53" s="76">
        <f t="shared" ca="1" si="2"/>
        <v>2.9304985749673343E-2</v>
      </c>
      <c r="E53" s="176">
        <v>1.4999999999999999E-2</v>
      </c>
      <c r="F53" s="176">
        <v>0.03</v>
      </c>
      <c r="G53" s="176" t="s">
        <v>245</v>
      </c>
      <c r="H53" s="77">
        <v>0</v>
      </c>
      <c r="I53" s="77">
        <v>0</v>
      </c>
      <c r="J53" s="77">
        <v>0</v>
      </c>
      <c r="K53" s="77">
        <v>0</v>
      </c>
      <c r="L53" s="77">
        <v>0</v>
      </c>
      <c r="M53" s="77">
        <v>0</v>
      </c>
      <c r="N53" s="77">
        <v>0</v>
      </c>
    </row>
    <row r="54" spans="1:14" hidden="1" outlineLevel="1" x14ac:dyDescent="0.3">
      <c r="A54" s="34" t="s">
        <v>118</v>
      </c>
      <c r="B54" s="74">
        <v>2</v>
      </c>
      <c r="C54" s="75">
        <f>B54*D18</f>
        <v>50000</v>
      </c>
      <c r="D54" s="78">
        <f t="shared" ca="1" si="2"/>
        <v>0.23443988599738674</v>
      </c>
      <c r="E54" s="176">
        <v>1.4999999999999999E-2</v>
      </c>
      <c r="F54" s="176">
        <v>0.05</v>
      </c>
      <c r="G54" s="176">
        <v>0.5</v>
      </c>
      <c r="H54" s="31">
        <v>0.1</v>
      </c>
      <c r="I54" s="31">
        <v>0.1</v>
      </c>
      <c r="J54" s="31">
        <v>0.1</v>
      </c>
      <c r="K54" s="31">
        <v>0.1</v>
      </c>
      <c r="L54" s="31">
        <v>0.6</v>
      </c>
      <c r="M54" s="31">
        <v>0</v>
      </c>
      <c r="N54" s="31">
        <v>0</v>
      </c>
    </row>
    <row r="55" spans="1:14" hidden="1" outlineLevel="1" x14ac:dyDescent="0.3">
      <c r="A55" s="34" t="s">
        <v>119</v>
      </c>
      <c r="B55" s="74">
        <v>2</v>
      </c>
      <c r="C55" s="75">
        <f>B55*D18</f>
        <v>50000</v>
      </c>
      <c r="D55" s="78">
        <f t="shared" ca="1" si="2"/>
        <v>0.23443988599738674</v>
      </c>
      <c r="E55" s="176">
        <v>1.4999999999999999E-2</v>
      </c>
      <c r="F55" s="176">
        <v>7.0000000000000007E-2</v>
      </c>
      <c r="G55" s="176">
        <v>0.5</v>
      </c>
      <c r="H55" s="31">
        <v>0.1</v>
      </c>
      <c r="I55" s="31">
        <v>0.1</v>
      </c>
      <c r="J55" s="31">
        <v>0.1</v>
      </c>
      <c r="K55" s="31">
        <v>0.1</v>
      </c>
      <c r="L55" s="31">
        <v>0.1</v>
      </c>
      <c r="M55" s="31">
        <v>0.5</v>
      </c>
      <c r="N55" s="31">
        <v>0</v>
      </c>
    </row>
    <row r="56" spans="1:14" hidden="1" outlineLevel="1" x14ac:dyDescent="0.3">
      <c r="A56" s="34" t="s">
        <v>197</v>
      </c>
      <c r="B56" s="74">
        <v>0.45</v>
      </c>
      <c r="C56" s="75">
        <f>B56*D18</f>
        <v>11250</v>
      </c>
      <c r="D56" s="78">
        <f t="shared" ca="1" si="2"/>
        <v>5.2748974349412017E-2</v>
      </c>
      <c r="E56" s="176">
        <v>1.4999999999999999E-2</v>
      </c>
      <c r="F56" s="176">
        <v>0.12</v>
      </c>
      <c r="G56" s="176">
        <v>0</v>
      </c>
      <c r="H56" s="31">
        <v>0</v>
      </c>
      <c r="I56" s="31">
        <v>0</v>
      </c>
      <c r="J56" s="31">
        <v>0</v>
      </c>
      <c r="K56" s="31">
        <v>0</v>
      </c>
      <c r="L56" s="31">
        <v>0</v>
      </c>
      <c r="M56" s="31">
        <v>0</v>
      </c>
      <c r="N56" s="31">
        <v>1</v>
      </c>
    </row>
    <row r="57" spans="1:14" hidden="1" outlineLevel="1" x14ac:dyDescent="0.3">
      <c r="A57" s="34" t="s">
        <v>133</v>
      </c>
      <c r="B57" s="23"/>
      <c r="C57" s="79">
        <f ca="1">H69-SUM(C52:C56)</f>
        <v>48505.025125628134</v>
      </c>
      <c r="D57" s="78">
        <f t="shared" ca="1" si="2"/>
        <v>0.22743025121505278</v>
      </c>
      <c r="E57" s="176">
        <v>5.0000000000000001E-3</v>
      </c>
      <c r="F57" s="176" t="s">
        <v>245</v>
      </c>
      <c r="G57" s="176" t="s">
        <v>245</v>
      </c>
      <c r="H57" s="77">
        <v>0</v>
      </c>
      <c r="I57" s="77">
        <v>0</v>
      </c>
      <c r="J57" s="77">
        <v>0</v>
      </c>
      <c r="K57" s="77">
        <v>0</v>
      </c>
      <c r="L57" s="77">
        <v>0</v>
      </c>
      <c r="M57" s="77">
        <v>0</v>
      </c>
      <c r="N57" s="77">
        <v>0</v>
      </c>
    </row>
    <row r="58" spans="1:14" hidden="1" outlineLevel="1" x14ac:dyDescent="0.3">
      <c r="A58" s="46" t="s">
        <v>92</v>
      </c>
      <c r="B58" s="80">
        <f>SUM(B52:B57)</f>
        <v>4.7</v>
      </c>
      <c r="C58" s="47">
        <f ca="1">SUM(C52:C57)</f>
        <v>213274.28900284204</v>
      </c>
      <c r="D58" s="81">
        <f ca="1">SUM(D52:D57)</f>
        <v>1</v>
      </c>
      <c r="E58" s="46"/>
      <c r="F58" s="46"/>
      <c r="G58" s="82"/>
      <c r="H58" s="46"/>
      <c r="I58" s="46"/>
      <c r="J58" s="46"/>
      <c r="K58" s="46"/>
      <c r="L58" s="46"/>
      <c r="M58" s="46"/>
      <c r="N58" s="46"/>
    </row>
    <row r="59" spans="1:14" hidden="1" outlineLevel="1" x14ac:dyDescent="0.3">
      <c r="B59" s="83"/>
      <c r="F59" s="84"/>
      <c r="G59" s="84"/>
      <c r="H59" s="84"/>
      <c r="J59" s="36"/>
      <c r="K59" s="84"/>
      <c r="L59" s="84"/>
      <c r="M59" s="85"/>
    </row>
    <row r="60" spans="1:14" hidden="1" outlineLevel="1" x14ac:dyDescent="0.3">
      <c r="F60" s="84"/>
      <c r="G60" s="84"/>
      <c r="H60" s="84"/>
      <c r="J60" s="36"/>
      <c r="K60" s="84"/>
      <c r="L60" s="84"/>
      <c r="M60" s="84"/>
    </row>
    <row r="61" spans="1:14" hidden="1" outlineLevel="1" x14ac:dyDescent="0.3">
      <c r="A61" s="17" t="s">
        <v>56</v>
      </c>
      <c r="B61" s="18"/>
      <c r="C61" s="19"/>
      <c r="D61" s="18"/>
      <c r="E61" s="17"/>
      <c r="F61" s="18"/>
      <c r="G61" s="19"/>
      <c r="H61" s="18"/>
    </row>
    <row r="62" spans="1:14" hidden="1" outlineLevel="1" x14ac:dyDescent="0.3">
      <c r="A62" s="44" t="s">
        <v>57</v>
      </c>
      <c r="C62" s="5"/>
      <c r="F62" s="44" t="s">
        <v>94</v>
      </c>
    </row>
    <row r="63" spans="1:14" hidden="1" outlineLevel="1" x14ac:dyDescent="0.3">
      <c r="A63" s="67" t="s">
        <v>136</v>
      </c>
      <c r="B63" s="28"/>
      <c r="C63" s="86">
        <f>D21-D23</f>
        <v>47269.263877213911</v>
      </c>
      <c r="D63" s="87"/>
      <c r="E63" s="87"/>
      <c r="F63" s="86" t="s">
        <v>52</v>
      </c>
      <c r="G63" s="86"/>
      <c r="H63" s="86">
        <f>D40</f>
        <v>190468.18860839671</v>
      </c>
    </row>
    <row r="64" spans="1:14" hidden="1" outlineLevel="1" x14ac:dyDescent="0.3">
      <c r="A64" s="73" t="s">
        <v>120</v>
      </c>
      <c r="C64" s="87">
        <f>C53</f>
        <v>6250</v>
      </c>
      <c r="D64" s="87"/>
      <c r="E64" s="87"/>
      <c r="F64" s="87" t="s">
        <v>95</v>
      </c>
      <c r="G64" s="87"/>
      <c r="H64" s="87">
        <v>0</v>
      </c>
    </row>
    <row r="65" spans="1:13" hidden="1" outlineLevel="1" x14ac:dyDescent="0.3">
      <c r="A65" s="34" t="s">
        <v>118</v>
      </c>
      <c r="C65" s="87">
        <f t="shared" ref="C65:C67" si="3">C54</f>
        <v>50000</v>
      </c>
      <c r="D65" s="87"/>
      <c r="E65" s="87"/>
      <c r="F65" s="87" t="s">
        <v>96</v>
      </c>
      <c r="G65" s="87"/>
      <c r="H65" s="87">
        <f>D20</f>
        <v>16801.075268817203</v>
      </c>
    </row>
    <row r="66" spans="1:13" hidden="1" outlineLevel="1" x14ac:dyDescent="0.3">
      <c r="A66" s="34" t="s">
        <v>119</v>
      </c>
      <c r="C66" s="87">
        <f t="shared" si="3"/>
        <v>50000</v>
      </c>
      <c r="D66" s="87"/>
      <c r="E66" s="87"/>
      <c r="F66" s="87" t="s">
        <v>97</v>
      </c>
      <c r="G66" s="87"/>
      <c r="H66" s="87">
        <f>SUMPRODUCT(C53:C56,E53:E56)</f>
        <v>1762.5</v>
      </c>
    </row>
    <row r="67" spans="1:13" hidden="1" outlineLevel="1" x14ac:dyDescent="0.3">
      <c r="A67" s="34" t="s">
        <v>197</v>
      </c>
      <c r="C67" s="87">
        <f t="shared" si="3"/>
        <v>11250</v>
      </c>
      <c r="D67" s="87"/>
      <c r="E67" s="87"/>
      <c r="F67" s="87" t="s">
        <v>98</v>
      </c>
      <c r="G67" s="87"/>
      <c r="H67" s="87">
        <f ca="1">C57*E57</f>
        <v>242.52512562814067</v>
      </c>
    </row>
    <row r="68" spans="1:13" hidden="1" outlineLevel="1" x14ac:dyDescent="0.3">
      <c r="A68" s="34" t="s">
        <v>133</v>
      </c>
      <c r="C68" s="87">
        <f ca="1">C57</f>
        <v>48505.025125628134</v>
      </c>
      <c r="D68" s="87"/>
      <c r="E68" s="87"/>
      <c r="F68" s="87" t="s">
        <v>58</v>
      </c>
      <c r="G68" s="87"/>
      <c r="H68" s="87">
        <f>D22+D24</f>
        <v>4000</v>
      </c>
    </row>
    <row r="69" spans="1:13" hidden="1" outlineLevel="1" x14ac:dyDescent="0.3">
      <c r="A69" s="46" t="s">
        <v>59</v>
      </c>
      <c r="B69" s="46"/>
      <c r="C69" s="46">
        <f ca="1">SUM(C63:C68)</f>
        <v>213274.28900284204</v>
      </c>
      <c r="E69" s="36"/>
      <c r="F69" s="46" t="s">
        <v>99</v>
      </c>
      <c r="G69" s="46"/>
      <c r="H69" s="46">
        <f ca="1">SUM(H63:H68)</f>
        <v>213274.28900284204</v>
      </c>
    </row>
    <row r="70" spans="1:13" hidden="1" outlineLevel="1" x14ac:dyDescent="0.3">
      <c r="F70" s="84"/>
      <c r="G70" s="84"/>
      <c r="H70" s="84"/>
      <c r="J70" s="36"/>
      <c r="K70" s="84"/>
      <c r="L70" s="84"/>
      <c r="M70" s="84"/>
    </row>
    <row r="71" spans="1:13" hidden="1" outlineLevel="1" x14ac:dyDescent="0.3"/>
    <row r="72" spans="1:13" hidden="1" outlineLevel="1" x14ac:dyDescent="0.3">
      <c r="A72" s="17" t="s">
        <v>60</v>
      </c>
      <c r="B72" s="17"/>
      <c r="C72" s="88"/>
      <c r="D72" s="17"/>
      <c r="E72" s="17"/>
      <c r="F72" s="17"/>
      <c r="G72" s="17"/>
      <c r="H72" s="17"/>
      <c r="I72" s="17"/>
      <c r="J72" s="17"/>
      <c r="K72" s="17"/>
      <c r="L72" s="17"/>
      <c r="M72" s="17"/>
    </row>
    <row r="73" spans="1:13" hidden="1" outlineLevel="1" x14ac:dyDescent="0.3">
      <c r="A73" s="44" t="s">
        <v>61</v>
      </c>
      <c r="D73" s="59" t="s">
        <v>63</v>
      </c>
      <c r="E73" s="59" t="s">
        <v>64</v>
      </c>
      <c r="F73" s="59" t="s">
        <v>69</v>
      </c>
      <c r="I73" s="44" t="s">
        <v>70</v>
      </c>
    </row>
    <row r="74" spans="1:13" hidden="1" outlineLevel="1" x14ac:dyDescent="0.3">
      <c r="A74" s="28" t="s">
        <v>14</v>
      </c>
      <c r="B74" s="28"/>
      <c r="C74" s="69"/>
      <c r="D74" s="28" cm="1">
        <f t="array" ref="D74:D76">G133:G135</f>
        <v>57269.263877213911</v>
      </c>
      <c r="E74" s="28">
        <f>D74</f>
        <v>57269.263877213911</v>
      </c>
      <c r="F74" s="28">
        <f>E74-D74</f>
        <v>0</v>
      </c>
      <c r="I74" s="28" t="s">
        <v>77</v>
      </c>
      <c r="J74" s="28"/>
      <c r="K74" s="28"/>
      <c r="L74" s="28"/>
      <c r="M74" s="28">
        <f>H63+H64</f>
        <v>190468.18860839671</v>
      </c>
    </row>
    <row r="75" spans="1:13" hidden="1" outlineLevel="1" x14ac:dyDescent="0.3">
      <c r="A75" s="36" t="s">
        <v>15</v>
      </c>
      <c r="B75" s="36"/>
      <c r="C75" s="75"/>
      <c r="D75" s="89">
        <v>3985.8030913978496</v>
      </c>
      <c r="E75" s="90">
        <v>3500</v>
      </c>
      <c r="F75" s="90">
        <f>E75-D75</f>
        <v>-485.80309139784958</v>
      </c>
      <c r="I75" s="5" t="s">
        <v>71</v>
      </c>
      <c r="M75" s="40">
        <f>G139-G146</f>
        <v>69021.027990117131</v>
      </c>
    </row>
    <row r="76" spans="1:13" hidden="1" outlineLevel="1" x14ac:dyDescent="0.3">
      <c r="A76" s="5" t="s">
        <v>16</v>
      </c>
      <c r="D76" s="5">
        <v>5897.6254480286743</v>
      </c>
      <c r="E76" s="34">
        <v>4800</v>
      </c>
      <c r="F76" s="34">
        <f>E76-D76</f>
        <v>-1097.6254480286743</v>
      </c>
      <c r="I76" s="28" t="s">
        <v>72</v>
      </c>
      <c r="J76" s="28"/>
      <c r="K76" s="28"/>
      <c r="L76" s="28"/>
      <c r="M76" s="28">
        <f>M74-M75</f>
        <v>121447.16061827958</v>
      </c>
    </row>
    <row r="77" spans="1:13" hidden="1" outlineLevel="1" x14ac:dyDescent="0.3">
      <c r="A77" s="5" t="s">
        <v>111</v>
      </c>
      <c r="D77" s="91">
        <f>G137</f>
        <v>21618.223566308243</v>
      </c>
      <c r="E77" s="34">
        <v>32000</v>
      </c>
      <c r="F77" s="34">
        <f>E77-D77</f>
        <v>10381.776433691757</v>
      </c>
      <c r="I77" s="5" t="s">
        <v>78</v>
      </c>
      <c r="M77" s="34">
        <v>0</v>
      </c>
    </row>
    <row r="78" spans="1:13" hidden="1" outlineLevel="1" x14ac:dyDescent="0.3">
      <c r="A78" s="5" t="s">
        <v>62</v>
      </c>
      <c r="D78" s="92">
        <v>0</v>
      </c>
      <c r="E78" s="5">
        <v>0</v>
      </c>
      <c r="F78" s="5">
        <v>0</v>
      </c>
      <c r="I78" s="5" t="s">
        <v>73</v>
      </c>
      <c r="M78" s="5">
        <f>F79</f>
        <v>8798.3478942652328</v>
      </c>
    </row>
    <row r="79" spans="1:13" hidden="1" outlineLevel="1" x14ac:dyDescent="0.3">
      <c r="A79" s="28" t="s">
        <v>147</v>
      </c>
      <c r="B79" s="28"/>
      <c r="C79" s="69"/>
      <c r="D79" s="28">
        <f>SUM(D74:D78)</f>
        <v>88770.915982948674</v>
      </c>
      <c r="E79" s="28">
        <f>SUM(E74:E78)</f>
        <v>97569.263877213903</v>
      </c>
      <c r="F79" s="28">
        <f>SUM(F74:F78)</f>
        <v>8798.3478942652328</v>
      </c>
      <c r="I79" s="28" t="s">
        <v>74</v>
      </c>
      <c r="J79" s="28"/>
      <c r="K79" s="28"/>
      <c r="L79" s="28"/>
      <c r="M79" s="28">
        <f>M76-M77-M78</f>
        <v>112648.81272401435</v>
      </c>
    </row>
    <row r="80" spans="1:13" hidden="1" outlineLevel="1" x14ac:dyDescent="0.3">
      <c r="I80" s="46" t="s">
        <v>75</v>
      </c>
      <c r="J80" s="46"/>
      <c r="K80" s="46"/>
      <c r="L80" s="46"/>
      <c r="M80" s="46">
        <f>M79</f>
        <v>112648.81272401435</v>
      </c>
    </row>
    <row r="81" spans="1:14" hidden="1" outlineLevel="1" x14ac:dyDescent="0.3">
      <c r="I81" s="84"/>
      <c r="J81" s="84"/>
      <c r="K81" s="84"/>
      <c r="L81" s="84"/>
      <c r="M81" s="84"/>
    </row>
    <row r="82" spans="1:14" collapsed="1" x14ac:dyDescent="0.3"/>
    <row r="83" spans="1:14" ht="21" x14ac:dyDescent="0.4">
      <c r="A83" s="14" t="s">
        <v>130</v>
      </c>
      <c r="B83" s="15"/>
      <c r="C83" s="16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</row>
    <row r="84" spans="1:14" ht="17.399999999999999" hidden="1" outlineLevel="1" x14ac:dyDescent="0.35">
      <c r="D84" s="93"/>
      <c r="E84" s="93"/>
      <c r="F84" s="93"/>
      <c r="G84" s="93" t="s">
        <v>155</v>
      </c>
      <c r="H84" s="94">
        <f>D11</f>
        <v>2025</v>
      </c>
      <c r="I84" s="94">
        <f>H84+1</f>
        <v>2026</v>
      </c>
      <c r="J84" s="94">
        <f t="shared" ref="J84:N84" si="4">I84+1</f>
        <v>2027</v>
      </c>
      <c r="K84" s="94">
        <f t="shared" si="4"/>
        <v>2028</v>
      </c>
      <c r="L84" s="94">
        <f t="shared" si="4"/>
        <v>2029</v>
      </c>
      <c r="M84" s="94">
        <f t="shared" si="4"/>
        <v>2030</v>
      </c>
      <c r="N84" s="94">
        <f t="shared" si="4"/>
        <v>2031</v>
      </c>
    </row>
    <row r="85" spans="1:14" hidden="1" outlineLevel="1" x14ac:dyDescent="0.3">
      <c r="A85" s="28"/>
      <c r="B85" s="28"/>
      <c r="C85" s="69"/>
      <c r="D85" s="95"/>
      <c r="E85" s="95"/>
      <c r="F85" s="95"/>
      <c r="G85" s="95"/>
      <c r="H85" s="95"/>
      <c r="I85" s="95"/>
      <c r="J85" s="95"/>
      <c r="K85" s="95"/>
      <c r="L85" s="95"/>
      <c r="M85" s="95"/>
      <c r="N85" s="95"/>
    </row>
    <row r="86" spans="1:14" hidden="1" outlineLevel="1" x14ac:dyDescent="0.3">
      <c r="A86" s="36" t="s">
        <v>66</v>
      </c>
      <c r="B86" s="36"/>
      <c r="C86" s="75"/>
      <c r="D86" s="96"/>
      <c r="E86" s="96"/>
      <c r="F86" s="96"/>
      <c r="G86" s="36">
        <f>G224</f>
        <v>6250</v>
      </c>
      <c r="H86" s="36">
        <f t="shared" ref="H86:N86" ca="1" si="5">H224</f>
        <v>7116.0480468428432</v>
      </c>
      <c r="I86" s="36">
        <f t="shared" ca="1" si="5"/>
        <v>6630.2631608071461</v>
      </c>
      <c r="J86" s="36">
        <f t="shared" ca="1" si="5"/>
        <v>5861.4302448835078</v>
      </c>
      <c r="K86" s="36">
        <f t="shared" ca="1" si="5"/>
        <v>5102.2747716042504</v>
      </c>
      <c r="L86" s="36">
        <f t="shared" ca="1" si="5"/>
        <v>29284.082605839358</v>
      </c>
      <c r="M86" s="36">
        <f t="shared" ca="1" si="5"/>
        <v>42397.581359764939</v>
      </c>
      <c r="N86" s="36">
        <f t="shared" ca="1" si="5"/>
        <v>40731.364483069476</v>
      </c>
    </row>
    <row r="87" spans="1:14" hidden="1" outlineLevel="1" x14ac:dyDescent="0.3">
      <c r="A87" s="36" t="s">
        <v>67</v>
      </c>
      <c r="B87" s="36"/>
      <c r="C87" s="75"/>
      <c r="D87" s="96"/>
      <c r="E87" s="96"/>
      <c r="F87" s="96"/>
      <c r="G87" s="36">
        <f>G256</f>
        <v>111250</v>
      </c>
      <c r="H87" s="36">
        <f t="shared" ref="H87:N87" ca="1" si="6">H256</f>
        <v>101250</v>
      </c>
      <c r="I87" s="36">
        <f t="shared" ca="1" si="6"/>
        <v>91250</v>
      </c>
      <c r="J87" s="36">
        <f t="shared" ca="1" si="6"/>
        <v>81250</v>
      </c>
      <c r="K87" s="36">
        <f t="shared" ca="1" si="6"/>
        <v>71249.999999999971</v>
      </c>
      <c r="L87" s="36">
        <f t="shared" ca="1" si="6"/>
        <v>36250</v>
      </c>
      <c r="M87" s="36">
        <f t="shared" ca="1" si="6"/>
        <v>11250</v>
      </c>
      <c r="N87" s="36">
        <f t="shared" ca="1" si="6"/>
        <v>-3.637978807091713E-12</v>
      </c>
    </row>
    <row r="88" spans="1:14" hidden="1" outlineLevel="1" x14ac:dyDescent="0.3">
      <c r="A88" s="28" t="s">
        <v>91</v>
      </c>
      <c r="B88" s="28"/>
      <c r="C88" s="69"/>
      <c r="D88" s="95"/>
      <c r="E88" s="95"/>
      <c r="F88" s="95"/>
      <c r="G88" s="28">
        <f>SUM(G86:G87)</f>
        <v>117500</v>
      </c>
      <c r="H88" s="28">
        <f t="shared" ref="H88:N88" ca="1" si="7">SUM(H86:H87)</f>
        <v>108366.04804684284</v>
      </c>
      <c r="I88" s="28">
        <f t="shared" ca="1" si="7"/>
        <v>97880.263160807139</v>
      </c>
      <c r="J88" s="28">
        <f t="shared" ca="1" si="7"/>
        <v>87111.430244883508</v>
      </c>
      <c r="K88" s="28">
        <f t="shared" ca="1" si="7"/>
        <v>76352.274771604221</v>
      </c>
      <c r="L88" s="28">
        <f t="shared" ca="1" si="7"/>
        <v>65534.082605839358</v>
      </c>
      <c r="M88" s="28">
        <f t="shared" ca="1" si="7"/>
        <v>53647.581359764939</v>
      </c>
      <c r="N88" s="28">
        <f t="shared" ca="1" si="7"/>
        <v>40731.364483069468</v>
      </c>
    </row>
    <row r="89" spans="1:14" hidden="1" outlineLevel="1" x14ac:dyDescent="0.3">
      <c r="A89" s="36"/>
      <c r="B89" s="36"/>
      <c r="C89" s="75"/>
      <c r="D89" s="96"/>
      <c r="E89" s="96"/>
      <c r="F89" s="96"/>
      <c r="G89" s="36"/>
      <c r="H89" s="36"/>
      <c r="I89" s="36"/>
      <c r="J89" s="36"/>
      <c r="K89" s="36"/>
      <c r="L89" s="36"/>
      <c r="M89" s="36"/>
      <c r="N89" s="36"/>
    </row>
    <row r="90" spans="1:14" hidden="1" outlineLevel="1" x14ac:dyDescent="0.3">
      <c r="A90" s="36" t="s">
        <v>14</v>
      </c>
      <c r="B90" s="36"/>
      <c r="C90" s="75"/>
      <c r="D90" s="96"/>
      <c r="E90" s="96"/>
      <c r="F90" s="96"/>
      <c r="G90" s="36">
        <f ca="1">L268</f>
        <v>9999.9999999999927</v>
      </c>
      <c r="H90" s="36">
        <f t="shared" ref="H90:N90" ca="1" si="8">H133</f>
        <v>9999.9999999999927</v>
      </c>
      <c r="I90" s="36">
        <f t="shared" ca="1" si="8"/>
        <v>9999.9999999999927</v>
      </c>
      <c r="J90" s="36">
        <f t="shared" ca="1" si="8"/>
        <v>10000.000000000007</v>
      </c>
      <c r="K90" s="36">
        <f t="shared" ca="1" si="8"/>
        <v>10000.000000000762</v>
      </c>
      <c r="L90" s="36">
        <f t="shared" ca="1" si="8"/>
        <v>10000.000000000968</v>
      </c>
      <c r="M90" s="36">
        <f t="shared" ca="1" si="8"/>
        <v>10000.000000196767</v>
      </c>
      <c r="N90" s="36">
        <f t="shared" ca="1" si="8"/>
        <v>10000.000013202556</v>
      </c>
    </row>
    <row r="91" spans="1:14" hidden="1" outlineLevel="1" x14ac:dyDescent="0.3">
      <c r="A91" s="28" t="s">
        <v>156</v>
      </c>
      <c r="B91" s="28"/>
      <c r="C91" s="69"/>
      <c r="D91" s="95"/>
      <c r="E91" s="95"/>
      <c r="F91" s="95"/>
      <c r="G91" s="28">
        <f ca="1">G88-G90</f>
        <v>107500</v>
      </c>
      <c r="H91" s="28">
        <f t="shared" ref="H91:N91" ca="1" si="9">H88-H90</f>
        <v>98366.048046842858</v>
      </c>
      <c r="I91" s="28">
        <f t="shared" ca="1" si="9"/>
        <v>87880.263160807139</v>
      </c>
      <c r="J91" s="28">
        <f t="shared" ca="1" si="9"/>
        <v>77111.430244883493</v>
      </c>
      <c r="K91" s="28">
        <f t="shared" ca="1" si="9"/>
        <v>66352.274771603465</v>
      </c>
      <c r="L91" s="28">
        <f t="shared" ca="1" si="9"/>
        <v>55534.08260583839</v>
      </c>
      <c r="M91" s="28">
        <f t="shared" ca="1" si="9"/>
        <v>43647.581359568168</v>
      </c>
      <c r="N91" s="28">
        <f t="shared" ca="1" si="9"/>
        <v>30731.364469866912</v>
      </c>
    </row>
    <row r="92" spans="1:14" hidden="1" outlineLevel="1" x14ac:dyDescent="0.3">
      <c r="A92" s="36"/>
      <c r="B92" s="36"/>
      <c r="C92" s="75"/>
      <c r="D92" s="96"/>
      <c r="E92" s="96"/>
      <c r="F92" s="96"/>
      <c r="G92" s="36"/>
      <c r="H92" s="36"/>
      <c r="I92" s="36"/>
      <c r="J92" s="36"/>
      <c r="K92" s="36"/>
      <c r="L92" s="36"/>
      <c r="M92" s="36"/>
      <c r="N92" s="36"/>
    </row>
    <row r="93" spans="1:14" hidden="1" outlineLevel="1" x14ac:dyDescent="0.3">
      <c r="A93" s="36" t="s">
        <v>48</v>
      </c>
      <c r="B93" s="36"/>
      <c r="C93" s="75"/>
      <c r="D93" s="96"/>
      <c r="E93" s="96"/>
      <c r="F93" s="96"/>
      <c r="G93" s="36"/>
      <c r="H93" s="36">
        <f ca="1">H258</f>
        <v>7250.4907207026426</v>
      </c>
      <c r="I93" s="36">
        <f t="shared" ref="I93:N93" ca="1" si="10">I258</f>
        <v>6656.1946681147501</v>
      </c>
      <c r="J93" s="36">
        <f t="shared" ca="1" si="10"/>
        <v>6037.37540108536</v>
      </c>
      <c r="K93" s="36">
        <f t="shared" ca="1" si="10"/>
        <v>5414.4555752473152</v>
      </c>
      <c r="L93" s="36">
        <f t="shared" ca="1" si="10"/>
        <v>4540.7953606616538</v>
      </c>
      <c r="M93" s="36">
        <f t="shared" ca="1" si="10"/>
        <v>3300.2249594840641</v>
      </c>
      <c r="N93" s="36">
        <f t="shared" ca="1" si="10"/>
        <v>1921.9341876425162</v>
      </c>
    </row>
    <row r="94" spans="1:14" hidden="1" outlineLevel="1" x14ac:dyDescent="0.3">
      <c r="A94" s="36" t="s">
        <v>229</v>
      </c>
      <c r="B94" s="36"/>
      <c r="C94" s="75"/>
      <c r="D94" s="96"/>
      <c r="E94" s="96"/>
      <c r="F94" s="96"/>
      <c r="G94" s="36"/>
      <c r="H94" s="36">
        <f ca="1">-H172</f>
        <v>10000</v>
      </c>
      <c r="I94" s="36">
        <f t="shared" ref="I94:N94" ca="1" si="11">-I172</f>
        <v>10485.784886035699</v>
      </c>
      <c r="J94" s="36">
        <f t="shared" ca="1" si="11"/>
        <v>10768.832915923638</v>
      </c>
      <c r="K94" s="36">
        <f t="shared" ca="1" si="11"/>
        <v>10759.155473279212</v>
      </c>
      <c r="L94" s="36">
        <f t="shared" ca="1" si="11"/>
        <v>35000</v>
      </c>
      <c r="M94" s="36">
        <f t="shared" ca="1" si="11"/>
        <v>24999.999999999669</v>
      </c>
      <c r="N94" s="36">
        <f t="shared" ca="1" si="11"/>
        <v>12916.216875814922</v>
      </c>
    </row>
    <row r="95" spans="1:14" hidden="1" outlineLevel="1" x14ac:dyDescent="0.3">
      <c r="A95" s="28" t="s">
        <v>202</v>
      </c>
      <c r="B95" s="28"/>
      <c r="C95" s="69"/>
      <c r="D95" s="95"/>
      <c r="E95" s="95"/>
      <c r="F95" s="95"/>
      <c r="G95" s="28"/>
      <c r="H95" s="28">
        <f ca="1">SUM(H93:H94)</f>
        <v>17250.490720702641</v>
      </c>
      <c r="I95" s="28">
        <f t="shared" ref="I95:N95" ca="1" si="12">SUM(I93:I94)</f>
        <v>17141.97955415045</v>
      </c>
      <c r="J95" s="28">
        <f t="shared" ca="1" si="12"/>
        <v>16806.208317008997</v>
      </c>
      <c r="K95" s="28">
        <f t="shared" ca="1" si="12"/>
        <v>16173.611048526527</v>
      </c>
      <c r="L95" s="28">
        <f t="shared" ca="1" si="12"/>
        <v>39540.79536066165</v>
      </c>
      <c r="M95" s="28">
        <f t="shared" ca="1" si="12"/>
        <v>28300.224959483734</v>
      </c>
      <c r="N95" s="28">
        <f t="shared" ca="1" si="12"/>
        <v>14838.151063457439</v>
      </c>
    </row>
    <row r="96" spans="1:14" hidden="1" outlineLevel="1" x14ac:dyDescent="0.3">
      <c r="A96" s="36"/>
      <c r="B96" s="36"/>
      <c r="C96" s="75"/>
      <c r="D96" s="96"/>
      <c r="E96" s="96"/>
      <c r="F96" s="96"/>
      <c r="G96" s="36"/>
      <c r="H96" s="36"/>
      <c r="I96" s="36"/>
      <c r="J96" s="36"/>
      <c r="K96" s="36"/>
      <c r="L96" s="36"/>
      <c r="M96" s="36"/>
      <c r="N96" s="36"/>
    </row>
    <row r="97" spans="1:14" hidden="1" outlineLevel="1" x14ac:dyDescent="0.3">
      <c r="A97" s="36" t="s">
        <v>2</v>
      </c>
      <c r="B97" s="36"/>
      <c r="C97" s="75"/>
      <c r="D97" s="96"/>
      <c r="E97" s="96"/>
      <c r="F97" s="96"/>
      <c r="G97" s="36"/>
      <c r="H97" s="36">
        <f t="shared" ref="H97:N97" si="13">H119-H121</f>
        <v>24369.47009408602</v>
      </c>
      <c r="I97" s="36">
        <f t="shared" si="13"/>
        <v>25386.725954301077</v>
      </c>
      <c r="J97" s="36">
        <f t="shared" si="13"/>
        <v>26354.804604309487</v>
      </c>
      <c r="K97" s="36">
        <f t="shared" si="13"/>
        <v>27454.912209692386</v>
      </c>
      <c r="L97" s="36">
        <f t="shared" si="13"/>
        <v>29089.309649154802</v>
      </c>
      <c r="M97" s="36">
        <f t="shared" si="13"/>
        <v>29788.937942036973</v>
      </c>
      <c r="N97" s="36">
        <f t="shared" si="13"/>
        <v>31102.35042972002</v>
      </c>
    </row>
    <row r="98" spans="1:14" hidden="1" outlineLevel="1" x14ac:dyDescent="0.3">
      <c r="A98" s="36" t="s">
        <v>1</v>
      </c>
      <c r="B98" s="36"/>
      <c r="C98" s="75"/>
      <c r="D98" s="96"/>
      <c r="E98" s="96"/>
      <c r="F98" s="96"/>
      <c r="G98" s="36"/>
      <c r="H98" s="36">
        <f>H119</f>
        <v>30769.47009408602</v>
      </c>
      <c r="I98" s="36">
        <f t="shared" ref="I98:N98" si="14">I119</f>
        <v>31902.554196908604</v>
      </c>
      <c r="J98" s="36">
        <f t="shared" si="14"/>
        <v>33005.170288281261</v>
      </c>
      <c r="K98" s="36">
        <f t="shared" si="14"/>
        <v>34168.931046359052</v>
      </c>
      <c r="L98" s="36">
        <f t="shared" si="14"/>
        <v>35896.06279666206</v>
      </c>
      <c r="M98" s="36">
        <f t="shared" si="14"/>
        <v>36712.944680561923</v>
      </c>
      <c r="N98" s="36">
        <f t="shared" si="14"/>
        <v>38069.333020978775</v>
      </c>
    </row>
    <row r="99" spans="1:14" hidden="1" outlineLevel="1" x14ac:dyDescent="0.3">
      <c r="A99" s="36" t="s">
        <v>203</v>
      </c>
      <c r="B99" s="36"/>
      <c r="C99" s="75"/>
      <c r="D99" s="96"/>
      <c r="E99" s="96"/>
      <c r="F99" s="96"/>
      <c r="G99" s="36"/>
      <c r="H99" s="36">
        <f>H98+H166</f>
        <v>23790.328881048386</v>
      </c>
      <c r="I99" s="36">
        <f t="shared" ref="I99:N99" si="15">I98+I166</f>
        <v>24714.038747479841</v>
      </c>
      <c r="J99" s="36">
        <f t="shared" si="15"/>
        <v>26036.538840835023</v>
      </c>
      <c r="K99" s="36">
        <f t="shared" si="15"/>
        <v>26991.240655489426</v>
      </c>
      <c r="L99" s="36">
        <f t="shared" si="15"/>
        <v>28503.041694066345</v>
      </c>
      <c r="M99" s="36">
        <f t="shared" si="15"/>
        <v>29574.058678367935</v>
      </c>
      <c r="N99" s="36">
        <f t="shared" si="15"/>
        <v>30716.280438718968</v>
      </c>
    </row>
    <row r="100" spans="1:14" hidden="1" outlineLevel="1" x14ac:dyDescent="0.3">
      <c r="A100" s="36" t="s">
        <v>222</v>
      </c>
      <c r="B100" s="36"/>
      <c r="C100" s="75"/>
      <c r="D100" s="96"/>
      <c r="E100" s="96"/>
      <c r="F100" s="96"/>
      <c r="G100" s="36"/>
      <c r="H100" s="36">
        <f ca="1">H99-H125</f>
        <v>17669.34454483982</v>
      </c>
      <c r="I100" s="36">
        <f t="shared" ref="I100:N100" ca="1" si="16">I99-I125</f>
        <v>17423.169772242218</v>
      </c>
      <c r="J100" s="36">
        <f t="shared" ca="1" si="16"/>
        <v>17062.147653516131</v>
      </c>
      <c r="K100" s="36">
        <f t="shared" ca="1" si="16"/>
        <v>16245.343235542186</v>
      </c>
      <c r="L100" s="36">
        <f t="shared" ca="1" si="16"/>
        <v>15477.757213123903</v>
      </c>
      <c r="M100" s="36">
        <f t="shared" ca="1" si="16"/>
        <v>15186.726205558327</v>
      </c>
      <c r="N100" s="36">
        <f t="shared" ca="1" si="16"/>
        <v>14838.15106425721</v>
      </c>
    </row>
    <row r="101" spans="1:14" hidden="1" outlineLevel="1" x14ac:dyDescent="0.3">
      <c r="A101" s="36"/>
      <c r="B101" s="36"/>
      <c r="C101" s="75"/>
      <c r="D101" s="96"/>
      <c r="E101" s="96"/>
      <c r="F101" s="96"/>
      <c r="G101" s="36"/>
      <c r="H101" s="36"/>
      <c r="I101" s="36"/>
      <c r="J101" s="36"/>
      <c r="K101" s="36"/>
      <c r="L101" s="36"/>
      <c r="M101" s="36"/>
      <c r="N101" s="36"/>
    </row>
    <row r="102" spans="1:14" hidden="1" outlineLevel="1" x14ac:dyDescent="0.3">
      <c r="A102" s="5" t="s">
        <v>153</v>
      </c>
      <c r="B102" s="44"/>
      <c r="C102" s="97"/>
      <c r="D102" s="27"/>
      <c r="E102" s="27"/>
      <c r="F102" s="27"/>
      <c r="G102" s="36"/>
      <c r="H102" s="98">
        <f t="shared" ref="H102:N102" ca="1" si="17">H88/H98</f>
        <v>3.6184259385863307</v>
      </c>
      <c r="I102" s="98">
        <f t="shared" ca="1" si="17"/>
        <v>3.2593615153642199</v>
      </c>
      <c r="J102" s="98">
        <f t="shared" ca="1" si="17"/>
        <v>2.9121909648713373</v>
      </c>
      <c r="K102" s="98">
        <f t="shared" ca="1" si="17"/>
        <v>2.5213911668313878</v>
      </c>
      <c r="L102" s="98">
        <f t="shared" ca="1" si="17"/>
        <v>2.2279299511446546</v>
      </c>
      <c r="M102" s="98">
        <f t="shared" ca="1" si="17"/>
        <v>1.8238304186963625</v>
      </c>
      <c r="N102" s="98">
        <f t="shared" ca="1" si="17"/>
        <v>1.3847241507693615</v>
      </c>
    </row>
    <row r="103" spans="1:14" hidden="1" outlineLevel="1" x14ac:dyDescent="0.3">
      <c r="A103" s="5" t="s">
        <v>154</v>
      </c>
      <c r="D103" s="13"/>
      <c r="E103" s="13"/>
      <c r="F103" s="13"/>
      <c r="G103" s="36"/>
      <c r="H103" s="98">
        <f t="shared" ref="H103:N103" ca="1" si="18">H91/H98</f>
        <v>3.2845182245187097</v>
      </c>
      <c r="I103" s="98">
        <f t="shared" ca="1" si="18"/>
        <v>2.9263667511379094</v>
      </c>
      <c r="J103" s="98">
        <f t="shared" ca="1" si="18"/>
        <v>2.577884553337888</v>
      </c>
      <c r="K103" s="98">
        <f t="shared" ca="1" si="18"/>
        <v>2.191159857499227</v>
      </c>
      <c r="L103" s="98">
        <f t="shared" ca="1" si="18"/>
        <v>1.8879648730424778</v>
      </c>
      <c r="M103" s="98">
        <f t="shared" ca="1" si="18"/>
        <v>1.4838653405875286</v>
      </c>
      <c r="N103" s="98">
        <f t="shared" ca="1" si="18"/>
        <v>1.0447590722183764</v>
      </c>
    </row>
    <row r="104" spans="1:14" hidden="1" outlineLevel="1" x14ac:dyDescent="0.3">
      <c r="A104" s="87" t="s">
        <v>157</v>
      </c>
      <c r="B104" s="99"/>
      <c r="C104" s="100"/>
      <c r="D104" s="99"/>
      <c r="E104" s="99"/>
      <c r="F104" s="99"/>
      <c r="G104" s="99"/>
      <c r="H104" s="98">
        <f t="shared" ref="H104:N104" ca="1" si="19">H97/H93</f>
        <v>3.2478346038040296</v>
      </c>
      <c r="I104" s="98">
        <f t="shared" ca="1" si="19"/>
        <v>3.5204148290463677</v>
      </c>
      <c r="J104" s="98">
        <f t="shared" ca="1" si="19"/>
        <v>3.8293867003234459</v>
      </c>
      <c r="K104" s="98">
        <f t="shared" ca="1" si="19"/>
        <v>4.3036712035260987</v>
      </c>
      <c r="L104" s="98">
        <f t="shared" ca="1" si="19"/>
        <v>4.8663135575804679</v>
      </c>
      <c r="M104" s="98">
        <f t="shared" ca="1" si="19"/>
        <v>6.6136300558654959</v>
      </c>
      <c r="N104" s="98">
        <f t="shared" ca="1" si="19"/>
        <v>11.243929936835494</v>
      </c>
    </row>
    <row r="105" spans="1:14" hidden="1" outlineLevel="1" x14ac:dyDescent="0.3">
      <c r="A105" s="87" t="s">
        <v>230</v>
      </c>
      <c r="B105" s="99"/>
      <c r="C105" s="100"/>
      <c r="D105" s="99"/>
      <c r="E105" s="99"/>
      <c r="F105" s="99"/>
      <c r="G105" s="99"/>
      <c r="H105" s="98">
        <f t="shared" ref="H105:N105" ca="1" si="20">H98/H95</f>
        <v>1.7360894331728445</v>
      </c>
      <c r="I105" s="98">
        <f t="shared" ca="1" si="20"/>
        <v>1.7518689779133363</v>
      </c>
      <c r="J105" s="98">
        <f t="shared" ca="1" si="20"/>
        <v>1.7798588064318133</v>
      </c>
      <c r="K105" s="98">
        <f t="shared" ca="1" si="20"/>
        <v>1.8722970747631766</v>
      </c>
      <c r="L105" s="98">
        <f t="shared" ca="1" si="20"/>
        <v>0.74390981955011792</v>
      </c>
      <c r="M105" s="98">
        <f t="shared" ca="1" si="20"/>
        <v>1.0393834672243731</v>
      </c>
      <c r="N105" s="98">
        <f t="shared" ca="1" si="20"/>
        <v>1.9823754196746941</v>
      </c>
    </row>
    <row r="106" spans="1:14" hidden="1" outlineLevel="1" x14ac:dyDescent="0.3">
      <c r="A106" s="87" t="s">
        <v>231</v>
      </c>
      <c r="B106" s="99"/>
      <c r="C106" s="100"/>
      <c r="D106" s="99"/>
      <c r="E106" s="99"/>
      <c r="F106" s="99"/>
      <c r="G106" s="99"/>
      <c r="H106" s="98">
        <f t="shared" ref="H106:N106" ca="1" si="21">H99/H95</f>
        <v>1.3077144349715979</v>
      </c>
      <c r="I106" s="98">
        <f t="shared" ca="1" si="21"/>
        <v>1.3100051382785509</v>
      </c>
      <c r="J106" s="98">
        <f t="shared" ca="1" si="21"/>
        <v>1.3201531323676921</v>
      </c>
      <c r="K106" s="98">
        <f t="shared" ca="1" si="21"/>
        <v>1.3362271085111725</v>
      </c>
      <c r="L106" s="98">
        <f t="shared" ca="1" si="21"/>
        <v>0.52463787395889572</v>
      </c>
      <c r="M106" s="98">
        <f t="shared" ca="1" si="21"/>
        <v>0.73301886618782996</v>
      </c>
      <c r="N106" s="98">
        <f t="shared" ca="1" si="21"/>
        <v>1.3980582030701871</v>
      </c>
    </row>
    <row r="107" spans="1:14" hidden="1" outlineLevel="1" x14ac:dyDescent="0.3">
      <c r="A107" s="87" t="s">
        <v>232</v>
      </c>
      <c r="B107" s="99"/>
      <c r="C107" s="100"/>
      <c r="D107" s="99"/>
      <c r="E107" s="99"/>
      <c r="F107" s="99"/>
      <c r="G107" s="99"/>
      <c r="H107" s="98">
        <f t="shared" ref="H107:N107" ca="1" si="22">H100/H95</f>
        <v>1.0242806903825932</v>
      </c>
      <c r="I107" s="98">
        <f t="shared" ca="1" si="22"/>
        <v>1.0164036024663023</v>
      </c>
      <c r="J107" s="98">
        <f t="shared" ca="1" si="22"/>
        <v>1.0152288566034318</v>
      </c>
      <c r="K107" s="98">
        <f t="shared" ca="1" si="22"/>
        <v>1.0044351373852405</v>
      </c>
      <c r="L107" s="98">
        <f t="shared" ca="1" si="22"/>
        <v>0.39143768029821713</v>
      </c>
      <c r="M107" s="98">
        <f t="shared" ca="1" si="22"/>
        <v>0.53662916910733172</v>
      </c>
      <c r="N107" s="98">
        <f t="shared" ca="1" si="22"/>
        <v>1.0000000000538998</v>
      </c>
    </row>
    <row r="108" spans="1:14" hidden="1" outlineLevel="1" x14ac:dyDescent="0.3">
      <c r="A108" s="87"/>
      <c r="B108" s="99"/>
      <c r="C108" s="100"/>
      <c r="D108" s="99"/>
      <c r="E108" s="99"/>
      <c r="F108" s="99"/>
      <c r="G108" s="99"/>
      <c r="H108" s="98"/>
      <c r="I108" s="98"/>
      <c r="J108" s="98"/>
      <c r="K108" s="98"/>
      <c r="L108" s="98"/>
      <c r="M108" s="98"/>
      <c r="N108" s="98"/>
    </row>
    <row r="109" spans="1:14" collapsed="1" x14ac:dyDescent="0.3">
      <c r="A109" s="87"/>
      <c r="B109" s="87"/>
      <c r="C109" s="79"/>
      <c r="D109" s="87"/>
      <c r="E109" s="87"/>
      <c r="F109" s="87"/>
      <c r="G109" s="87"/>
      <c r="H109" s="87"/>
      <c r="I109" s="87"/>
      <c r="J109" s="87"/>
      <c r="K109" s="87"/>
      <c r="L109" s="87"/>
      <c r="M109" s="87"/>
      <c r="N109" s="87"/>
    </row>
    <row r="110" spans="1:14" ht="21" x14ac:dyDescent="0.4">
      <c r="A110" s="14" t="s">
        <v>6</v>
      </c>
      <c r="B110" s="15"/>
      <c r="C110" s="16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</row>
    <row r="111" spans="1:14" ht="17.399999999999999" hidden="1" outlineLevel="1" x14ac:dyDescent="0.35">
      <c r="D111" s="93">
        <f t="shared" ref="D111:F111" si="23">E111-1</f>
        <v>2021</v>
      </c>
      <c r="E111" s="93">
        <f t="shared" si="23"/>
        <v>2022</v>
      </c>
      <c r="F111" s="93">
        <f t="shared" si="23"/>
        <v>2023</v>
      </c>
      <c r="G111" s="93">
        <f>H111-1</f>
        <v>2024</v>
      </c>
      <c r="H111" s="94">
        <f>D11</f>
        <v>2025</v>
      </c>
      <c r="I111" s="94">
        <f>H111+1</f>
        <v>2026</v>
      </c>
      <c r="J111" s="94">
        <f t="shared" ref="J111:N111" si="24">I111+1</f>
        <v>2027</v>
      </c>
      <c r="K111" s="94">
        <f t="shared" si="24"/>
        <v>2028</v>
      </c>
      <c r="L111" s="94">
        <f t="shared" si="24"/>
        <v>2029</v>
      </c>
      <c r="M111" s="94">
        <f t="shared" si="24"/>
        <v>2030</v>
      </c>
      <c r="N111" s="94">
        <f t="shared" si="24"/>
        <v>2031</v>
      </c>
    </row>
    <row r="112" spans="1:14" hidden="1" outlineLevel="1" x14ac:dyDescent="0.3">
      <c r="A112" s="28"/>
      <c r="B112" s="28"/>
      <c r="C112" s="69"/>
      <c r="D112" s="95"/>
      <c r="E112" s="95"/>
      <c r="F112" s="95"/>
      <c r="G112" s="95"/>
      <c r="H112" s="95"/>
      <c r="I112" s="95"/>
      <c r="J112" s="95"/>
      <c r="K112" s="95"/>
      <c r="L112" s="95"/>
      <c r="M112" s="95"/>
      <c r="N112" s="95"/>
    </row>
    <row r="113" spans="1:14" hidden="1" outlineLevel="1" x14ac:dyDescent="0.3">
      <c r="A113" s="44" t="s">
        <v>4</v>
      </c>
      <c r="B113" s="44"/>
      <c r="C113" s="97"/>
      <c r="D113" s="27">
        <v>57127.576164874547</v>
      </c>
      <c r="E113" s="27">
        <v>66132.392473118278</v>
      </c>
      <c r="F113" s="27">
        <v>73557.907706093189</v>
      </c>
      <c r="G113" s="27">
        <v>79716.06182795699</v>
      </c>
      <c r="H113" s="101">
        <f>G113*(1+H39)</f>
        <v>82107.543682795702</v>
      </c>
      <c r="I113" s="101">
        <f t="shared" ref="I113:N113" si="25">H113*(1+I39)</f>
        <v>84570.76999327958</v>
      </c>
      <c r="J113" s="101">
        <f t="shared" si="25"/>
        <v>87107.893093077975</v>
      </c>
      <c r="K113" s="101">
        <f t="shared" si="25"/>
        <v>89721.129885870323</v>
      </c>
      <c r="L113" s="101">
        <f t="shared" si="25"/>
        <v>92412.763782446433</v>
      </c>
      <c r="M113" s="101">
        <f t="shared" si="25"/>
        <v>95185.14669591983</v>
      </c>
      <c r="N113" s="101">
        <f t="shared" si="25"/>
        <v>98040.70109679742</v>
      </c>
    </row>
    <row r="114" spans="1:14" hidden="1" outlineLevel="1" x14ac:dyDescent="0.3">
      <c r="A114" s="36" t="s">
        <v>7</v>
      </c>
      <c r="B114" s="36"/>
      <c r="C114" s="75"/>
      <c r="D114" s="73">
        <v>21854.278673835124</v>
      </c>
      <c r="E114" s="73">
        <v>26883.960573476703</v>
      </c>
      <c r="F114" s="73">
        <v>27510.640681003584</v>
      </c>
      <c r="G114" s="73">
        <v>29488.127240143367</v>
      </c>
      <c r="H114" s="102">
        <f>H113*H40</f>
        <v>31200.866599462366</v>
      </c>
      <c r="I114" s="102">
        <f t="shared" ref="I114:N114" si="26">I113*I40</f>
        <v>32136.89259744624</v>
      </c>
      <c r="J114" s="102">
        <f t="shared" si="26"/>
        <v>32665.459909904239</v>
      </c>
      <c r="K114" s="102">
        <f t="shared" si="26"/>
        <v>33196.81805777202</v>
      </c>
      <c r="L114" s="102">
        <f t="shared" si="26"/>
        <v>33730.658780592945</v>
      </c>
      <c r="M114" s="102">
        <f t="shared" si="26"/>
        <v>34742.578544010736</v>
      </c>
      <c r="N114" s="102">
        <f t="shared" si="26"/>
        <v>35784.855900331058</v>
      </c>
    </row>
    <row r="115" spans="1:14" hidden="1" outlineLevel="1" x14ac:dyDescent="0.3">
      <c r="A115" s="46" t="s">
        <v>8</v>
      </c>
      <c r="B115" s="46"/>
      <c r="C115" s="47"/>
      <c r="D115" s="103">
        <v>35273.297491039426</v>
      </c>
      <c r="E115" s="103">
        <v>39248.431899641575</v>
      </c>
      <c r="F115" s="103">
        <v>46047.267025089604</v>
      </c>
      <c r="G115" s="103">
        <v>50227.934587813623</v>
      </c>
      <c r="H115" s="103">
        <f>H113-H114</f>
        <v>50906.677083333336</v>
      </c>
      <c r="I115" s="103">
        <f t="shared" ref="I115:N115" si="27">I113-I114</f>
        <v>52433.87739583334</v>
      </c>
      <c r="J115" s="103">
        <f t="shared" si="27"/>
        <v>54442.433183173736</v>
      </c>
      <c r="K115" s="103">
        <f t="shared" si="27"/>
        <v>56524.311828098304</v>
      </c>
      <c r="L115" s="103">
        <f t="shared" si="27"/>
        <v>58682.105001853488</v>
      </c>
      <c r="M115" s="103">
        <f t="shared" si="27"/>
        <v>60442.568151909094</v>
      </c>
      <c r="N115" s="103">
        <f t="shared" si="27"/>
        <v>62255.845196466362</v>
      </c>
    </row>
    <row r="116" spans="1:14" hidden="1" outlineLevel="1" x14ac:dyDescent="0.3">
      <c r="A116" s="84"/>
      <c r="B116" s="84"/>
      <c r="C116" s="104"/>
      <c r="D116" s="105"/>
      <c r="E116" s="105"/>
      <c r="F116" s="105"/>
      <c r="G116" s="105"/>
      <c r="H116" s="106"/>
      <c r="I116" s="106"/>
      <c r="J116" s="106"/>
      <c r="K116" s="106"/>
      <c r="L116" s="106"/>
      <c r="M116" s="106"/>
      <c r="N116" s="106"/>
    </row>
    <row r="117" spans="1:14" hidden="1" outlineLevel="1" x14ac:dyDescent="0.3">
      <c r="A117" s="36" t="s">
        <v>86</v>
      </c>
      <c r="D117" s="34">
        <v>14800.067204301075</v>
      </c>
      <c r="E117" s="34">
        <v>12689.292114695339</v>
      </c>
      <c r="F117" s="34">
        <v>13369.175627240144</v>
      </c>
      <c r="G117" s="34">
        <v>12881.944444444443</v>
      </c>
      <c r="H117" s="40">
        <f>H113*H41</f>
        <v>13137.206989247312</v>
      </c>
      <c r="I117" s="40">
        <f t="shared" ref="I117:N117" si="28">I113*I41</f>
        <v>13531.323198924732</v>
      </c>
      <c r="J117" s="40">
        <f t="shared" si="28"/>
        <v>13937.262894892476</v>
      </c>
      <c r="K117" s="40">
        <f t="shared" si="28"/>
        <v>14355.380781739252</v>
      </c>
      <c r="L117" s="40">
        <f t="shared" si="28"/>
        <v>14786.04220519143</v>
      </c>
      <c r="M117" s="40">
        <f t="shared" si="28"/>
        <v>15229.623471347173</v>
      </c>
      <c r="N117" s="40">
        <f t="shared" si="28"/>
        <v>15686.512175487587</v>
      </c>
    </row>
    <row r="118" spans="1:14" hidden="1" outlineLevel="1" x14ac:dyDescent="0.3">
      <c r="A118" s="5" t="s">
        <v>85</v>
      </c>
      <c r="D118" s="34">
        <v>6139.6729390681003</v>
      </c>
      <c r="E118" s="34">
        <v>5670.3629032258059</v>
      </c>
      <c r="F118" s="34">
        <v>5649.0815412186375</v>
      </c>
      <c r="G118" s="34">
        <v>6171.5949820788528</v>
      </c>
      <c r="H118" s="40">
        <f>H42</f>
        <v>7000</v>
      </c>
      <c r="I118" s="40">
        <f t="shared" ref="I118:N118" si="29">I42</f>
        <v>7000</v>
      </c>
      <c r="J118" s="40">
        <f t="shared" si="29"/>
        <v>7500</v>
      </c>
      <c r="K118" s="40">
        <f t="shared" si="29"/>
        <v>8000</v>
      </c>
      <c r="L118" s="40">
        <f t="shared" si="29"/>
        <v>8000</v>
      </c>
      <c r="M118" s="40">
        <f t="shared" si="29"/>
        <v>8500</v>
      </c>
      <c r="N118" s="40">
        <f t="shared" si="29"/>
        <v>8500</v>
      </c>
    </row>
    <row r="119" spans="1:14" hidden="1" outlineLevel="1" x14ac:dyDescent="0.3">
      <c r="A119" s="46" t="s">
        <v>1</v>
      </c>
      <c r="B119" s="28"/>
      <c r="C119" s="69"/>
      <c r="D119" s="103">
        <v>14333.557347670252</v>
      </c>
      <c r="E119" s="103">
        <v>20888.776881720431</v>
      </c>
      <c r="F119" s="103">
        <v>27029.009856630822</v>
      </c>
      <c r="G119" s="103">
        <v>31174.395161290326</v>
      </c>
      <c r="H119" s="103">
        <f t="shared" ref="H119:N119" si="30">H115-H117-H118</f>
        <v>30769.47009408602</v>
      </c>
      <c r="I119" s="103">
        <f t="shared" si="30"/>
        <v>31902.554196908604</v>
      </c>
      <c r="J119" s="103">
        <f t="shared" si="30"/>
        <v>33005.170288281261</v>
      </c>
      <c r="K119" s="103">
        <f t="shared" si="30"/>
        <v>34168.931046359052</v>
      </c>
      <c r="L119" s="103">
        <f t="shared" si="30"/>
        <v>35896.06279666206</v>
      </c>
      <c r="M119" s="103">
        <f t="shared" si="30"/>
        <v>36712.944680561923</v>
      </c>
      <c r="N119" s="103">
        <f t="shared" si="30"/>
        <v>38069.333020978775</v>
      </c>
    </row>
    <row r="120" spans="1:14" hidden="1" outlineLevel="1" x14ac:dyDescent="0.3">
      <c r="A120" s="84"/>
      <c r="B120" s="36"/>
      <c r="C120" s="75"/>
      <c r="D120" s="73"/>
      <c r="E120" s="73"/>
      <c r="F120" s="73"/>
      <c r="G120" s="73"/>
      <c r="H120" s="102"/>
      <c r="I120" s="102"/>
      <c r="J120" s="102"/>
      <c r="K120" s="102"/>
      <c r="L120" s="102"/>
      <c r="M120" s="102"/>
      <c r="N120" s="102"/>
    </row>
    <row r="121" spans="1:14" hidden="1" outlineLevel="1" x14ac:dyDescent="0.3">
      <c r="A121" s="5" t="s">
        <v>9</v>
      </c>
      <c r="D121" s="34">
        <v>10920.698924731183</v>
      </c>
      <c r="E121" s="34">
        <v>10164.650537634408</v>
      </c>
      <c r="F121" s="34">
        <v>9635.4166666666661</v>
      </c>
      <c r="G121" s="34">
        <v>9264.9529569892475</v>
      </c>
      <c r="H121" s="40">
        <f>H197</f>
        <v>6400</v>
      </c>
      <c r="I121" s="40">
        <f t="shared" ref="I121:N121" si="31">I197</f>
        <v>6515.8282426075275</v>
      </c>
      <c r="J121" s="40">
        <f t="shared" si="31"/>
        <v>6650.3656839717733</v>
      </c>
      <c r="K121" s="40">
        <f t="shared" si="31"/>
        <v>6714.0188366666671</v>
      </c>
      <c r="L121" s="40">
        <f t="shared" si="31"/>
        <v>6806.7531475072583</v>
      </c>
      <c r="M121" s="40">
        <f t="shared" si="31"/>
        <v>6924.0067385249495</v>
      </c>
      <c r="N121" s="40">
        <f t="shared" si="31"/>
        <v>6966.9825912587567</v>
      </c>
    </row>
    <row r="122" spans="1:14" hidden="1" outlineLevel="1" x14ac:dyDescent="0.3">
      <c r="A122" s="46" t="s">
        <v>2</v>
      </c>
      <c r="B122" s="28"/>
      <c r="C122" s="69"/>
      <c r="D122" s="103">
        <v>3412.858422939069</v>
      </c>
      <c r="E122" s="103">
        <v>10724.126344086022</v>
      </c>
      <c r="F122" s="103">
        <v>17393.593189964158</v>
      </c>
      <c r="G122" s="103">
        <v>21909.442204301078</v>
      </c>
      <c r="H122" s="103">
        <f t="shared" ref="H122:N122" si="32">H119-H121</f>
        <v>24369.47009408602</v>
      </c>
      <c r="I122" s="103">
        <f t="shared" si="32"/>
        <v>25386.725954301077</v>
      </c>
      <c r="J122" s="103">
        <f t="shared" si="32"/>
        <v>26354.804604309487</v>
      </c>
      <c r="K122" s="103">
        <f t="shared" si="32"/>
        <v>27454.912209692386</v>
      </c>
      <c r="L122" s="103">
        <f t="shared" si="32"/>
        <v>29089.309649154802</v>
      </c>
      <c r="M122" s="103">
        <f t="shared" si="32"/>
        <v>29788.937942036973</v>
      </c>
      <c r="N122" s="103">
        <f t="shared" si="32"/>
        <v>31102.35042972002</v>
      </c>
    </row>
    <row r="123" spans="1:14" hidden="1" outlineLevel="1" x14ac:dyDescent="0.3">
      <c r="A123" s="84"/>
      <c r="B123" s="36"/>
      <c r="C123" s="75"/>
      <c r="D123" s="107"/>
      <c r="E123" s="107"/>
      <c r="F123" s="107"/>
      <c r="G123" s="107"/>
      <c r="H123" s="107"/>
      <c r="I123" s="107"/>
      <c r="J123" s="107"/>
      <c r="K123" s="107"/>
      <c r="L123" s="107"/>
      <c r="M123" s="107"/>
      <c r="N123" s="107"/>
    </row>
    <row r="124" spans="1:14" hidden="1" outlineLevel="1" x14ac:dyDescent="0.3">
      <c r="A124" s="36" t="s">
        <v>10</v>
      </c>
      <c r="B124" s="36"/>
      <c r="C124" s="75"/>
      <c r="D124" s="73">
        <v>1400.089605734767</v>
      </c>
      <c r="E124" s="73">
        <v>1400.089605734767</v>
      </c>
      <c r="F124" s="73">
        <v>840.05376344086017</v>
      </c>
      <c r="G124" s="73">
        <v>840.05376344086017</v>
      </c>
      <c r="H124" s="102">
        <f t="shared" ref="H124:N124" ca="1" si="33">H258</f>
        <v>7250.4907207026426</v>
      </c>
      <c r="I124" s="102">
        <f t="shared" ca="1" si="33"/>
        <v>6656.1946681147501</v>
      </c>
      <c r="J124" s="102">
        <f t="shared" ca="1" si="33"/>
        <v>6037.37540108536</v>
      </c>
      <c r="K124" s="102">
        <f t="shared" ca="1" si="33"/>
        <v>5414.4555752473152</v>
      </c>
      <c r="L124" s="102">
        <f t="shared" ca="1" si="33"/>
        <v>4540.7953606616538</v>
      </c>
      <c r="M124" s="102">
        <f t="shared" ca="1" si="33"/>
        <v>3300.2249594840641</v>
      </c>
      <c r="N124" s="102">
        <f t="shared" ca="1" si="33"/>
        <v>1921.9341876425162</v>
      </c>
    </row>
    <row r="125" spans="1:14" hidden="1" outlineLevel="1" x14ac:dyDescent="0.3">
      <c r="A125" s="36" t="s">
        <v>223</v>
      </c>
      <c r="B125" s="36"/>
      <c r="C125" s="75"/>
      <c r="D125" s="34">
        <v>892.17079999999999</v>
      </c>
      <c r="E125" s="34">
        <v>3858.2165021220299</v>
      </c>
      <c r="F125" s="34">
        <v>6482.8061148686802</v>
      </c>
      <c r="G125" s="34">
        <v>7908.0209764047004</v>
      </c>
      <c r="H125" s="40">
        <f ca="1">(H122-H124)*$D$26</f>
        <v>4889.3711809666256</v>
      </c>
      <c r="I125" s="40">
        <f t="shared" ref="I125:N125" ca="1" si="34">(I122-I124)*$D$26</f>
        <v>5032.9115239607354</v>
      </c>
      <c r="J125" s="40">
        <f t="shared" ca="1" si="34"/>
        <v>5124.620899407254</v>
      </c>
      <c r="K125" s="40">
        <f t="shared" ca="1" si="34"/>
        <v>5366.2742900147668</v>
      </c>
      <c r="L125" s="40">
        <f t="shared" ca="1" si="34"/>
        <v>5266.8415995373925</v>
      </c>
      <c r="M125" s="40">
        <f t="shared" ca="1" si="34"/>
        <v>5557.8726071031688</v>
      </c>
      <c r="N125" s="40">
        <f t="shared" ca="1" si="34"/>
        <v>5906.4477484256331</v>
      </c>
    </row>
    <row r="126" spans="1:14" ht="16.2" hidden="1" outlineLevel="1" thickBot="1" x14ac:dyDescent="0.35">
      <c r="A126" s="108" t="s">
        <v>11</v>
      </c>
      <c r="B126" s="108"/>
      <c r="C126" s="109"/>
      <c r="D126" s="110">
        <v>1120.5980172043019</v>
      </c>
      <c r="E126" s="110">
        <v>5465.820236229225</v>
      </c>
      <c r="F126" s="110">
        <v>10070.733311654618</v>
      </c>
      <c r="G126" s="110">
        <v>13161.367464455518</v>
      </c>
      <c r="H126" s="110">
        <f t="shared" ref="H126:N126" ca="1" si="35">H122-H124-H125</f>
        <v>11408.532755588792</v>
      </c>
      <c r="I126" s="110">
        <f t="shared" ca="1" si="35"/>
        <v>11743.46022257505</v>
      </c>
      <c r="J126" s="110">
        <f t="shared" ca="1" si="35"/>
        <v>11957.448765283592</v>
      </c>
      <c r="K126" s="110">
        <f t="shared" ca="1" si="35"/>
        <v>12521.306676701122</v>
      </c>
      <c r="L126" s="110">
        <f t="shared" ca="1" si="35"/>
        <v>12289.29706558725</v>
      </c>
      <c r="M126" s="110">
        <f t="shared" ca="1" si="35"/>
        <v>12968.369416574062</v>
      </c>
      <c r="N126" s="110">
        <f t="shared" ca="1" si="35"/>
        <v>13781.711412993145</v>
      </c>
    </row>
    <row r="127" spans="1:14" ht="16.2" hidden="1" outlineLevel="1" collapsed="1" thickTop="1" x14ac:dyDescent="0.3">
      <c r="D127" s="34"/>
      <c r="E127" s="34"/>
      <c r="F127" s="34"/>
      <c r="G127" s="34"/>
      <c r="H127" s="40"/>
      <c r="I127" s="40"/>
      <c r="J127" s="40"/>
      <c r="K127" s="40"/>
      <c r="L127" s="40"/>
      <c r="M127" s="40"/>
    </row>
    <row r="128" spans="1:14" collapsed="1" x14ac:dyDescent="0.3"/>
    <row r="129" spans="1:14" ht="21" x14ac:dyDescent="0.4">
      <c r="A129" s="14" t="s">
        <v>12</v>
      </c>
      <c r="B129" s="15"/>
      <c r="C129" s="16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</row>
    <row r="130" spans="1:14" ht="17.399999999999999" hidden="1" outlineLevel="1" x14ac:dyDescent="0.35">
      <c r="D130" s="93">
        <f t="shared" ref="D130:N130" si="36">D111</f>
        <v>2021</v>
      </c>
      <c r="E130" s="93">
        <f t="shared" si="36"/>
        <v>2022</v>
      </c>
      <c r="F130" s="93">
        <f t="shared" si="36"/>
        <v>2023</v>
      </c>
      <c r="G130" s="93">
        <f t="shared" si="36"/>
        <v>2024</v>
      </c>
      <c r="H130" s="94">
        <f t="shared" si="36"/>
        <v>2025</v>
      </c>
      <c r="I130" s="94">
        <f t="shared" si="36"/>
        <v>2026</v>
      </c>
      <c r="J130" s="94">
        <f t="shared" si="36"/>
        <v>2027</v>
      </c>
      <c r="K130" s="94">
        <f t="shared" si="36"/>
        <v>2028</v>
      </c>
      <c r="L130" s="94">
        <f t="shared" si="36"/>
        <v>2029</v>
      </c>
      <c r="M130" s="94">
        <f t="shared" si="36"/>
        <v>2030</v>
      </c>
      <c r="N130" s="94">
        <f t="shared" si="36"/>
        <v>2031</v>
      </c>
    </row>
    <row r="131" spans="1:14" hidden="1" outlineLevel="1" x14ac:dyDescent="0.3">
      <c r="A131" s="28"/>
      <c r="B131" s="28"/>
      <c r="C131" s="69"/>
      <c r="D131" s="67"/>
      <c r="E131" s="67"/>
      <c r="F131" s="67"/>
      <c r="G131" s="67"/>
      <c r="H131" s="67"/>
      <c r="I131" s="28"/>
      <c r="J131" s="28"/>
      <c r="K131" s="28"/>
      <c r="L131" s="28"/>
      <c r="M131" s="28"/>
      <c r="N131" s="28"/>
    </row>
    <row r="132" spans="1:14" hidden="1" outlineLevel="1" x14ac:dyDescent="0.3">
      <c r="A132" s="44" t="s">
        <v>13</v>
      </c>
      <c r="D132" s="34"/>
      <c r="E132" s="34"/>
      <c r="F132" s="34"/>
      <c r="G132" s="34"/>
      <c r="H132" s="34"/>
    </row>
    <row r="133" spans="1:14" hidden="1" outlineLevel="1" x14ac:dyDescent="0.3">
      <c r="A133" s="5" t="s">
        <v>14</v>
      </c>
      <c r="C133" s="111"/>
      <c r="D133" s="40">
        <v>37801.461592473119</v>
      </c>
      <c r="E133" s="40">
        <v>44078.185726551805</v>
      </c>
      <c r="F133" s="40">
        <v>43749.137452184921</v>
      </c>
      <c r="G133" s="40">
        <v>57269.263877213911</v>
      </c>
      <c r="H133" s="40">
        <f ca="1">H180</f>
        <v>9999.9999999999927</v>
      </c>
      <c r="I133" s="40">
        <f t="shared" ref="I133:N133" ca="1" si="37">I180</f>
        <v>9999.9999999999927</v>
      </c>
      <c r="J133" s="40">
        <f t="shared" ca="1" si="37"/>
        <v>9999.9999999999927</v>
      </c>
      <c r="K133" s="40">
        <f t="shared" ca="1" si="37"/>
        <v>10000.000000000049</v>
      </c>
      <c r="L133" s="40">
        <f t="shared" ca="1" si="37"/>
        <v>9999.9999999997599</v>
      </c>
      <c r="M133" s="40">
        <f t="shared" ca="1" si="37"/>
        <v>10000.000000042617</v>
      </c>
      <c r="N133" s="40">
        <f t="shared" ca="1" si="37"/>
        <v>10000.000004589579</v>
      </c>
    </row>
    <row r="134" spans="1:14" hidden="1" outlineLevel="1" x14ac:dyDescent="0.3">
      <c r="A134" s="5" t="s">
        <v>15</v>
      </c>
      <c r="C134" s="111"/>
      <c r="D134" s="34">
        <v>2856.3788082437277</v>
      </c>
      <c r="E134" s="34">
        <v>3306.619623655914</v>
      </c>
      <c r="F134" s="34">
        <v>3677.8953853046592</v>
      </c>
      <c r="G134" s="34">
        <v>3985.8030913978496</v>
      </c>
      <c r="H134" s="112">
        <f>H113*H43/$D$16</f>
        <v>2249.5217447341288</v>
      </c>
      <c r="I134" s="112">
        <f t="shared" ref="I134:N134" si="38">I113*I43/$D$16</f>
        <v>2317.0073970761528</v>
      </c>
      <c r="J134" s="112">
        <f t="shared" si="38"/>
        <v>2386.5176189884378</v>
      </c>
      <c r="K134" s="112">
        <f t="shared" si="38"/>
        <v>2458.113147558091</v>
      </c>
      <c r="L134" s="112">
        <f t="shared" si="38"/>
        <v>2531.8565419848337</v>
      </c>
      <c r="M134" s="112">
        <f t="shared" si="38"/>
        <v>2607.8122382443789</v>
      </c>
      <c r="N134" s="112">
        <f t="shared" si="38"/>
        <v>2686.0466053917103</v>
      </c>
    </row>
    <row r="135" spans="1:14" hidden="1" outlineLevel="1" x14ac:dyDescent="0.3">
      <c r="A135" s="5" t="s">
        <v>16</v>
      </c>
      <c r="C135" s="111"/>
      <c r="D135" s="34">
        <v>4370.8557347670248</v>
      </c>
      <c r="E135" s="34">
        <v>5376.7921146953413</v>
      </c>
      <c r="F135" s="34">
        <v>5502.1281362007167</v>
      </c>
      <c r="G135" s="34">
        <v>5897.6254480286743</v>
      </c>
      <c r="H135" s="112">
        <f>H114*H45/$D$16</f>
        <v>6838.5461039917518</v>
      </c>
      <c r="I135" s="112">
        <f t="shared" ref="I135:N135" si="39">I114*I45/$D$16</f>
        <v>7043.7024871115045</v>
      </c>
      <c r="J135" s="112">
        <f t="shared" si="39"/>
        <v>7159.5528569653115</v>
      </c>
      <c r="K135" s="112">
        <f t="shared" si="39"/>
        <v>7276.0149167719492</v>
      </c>
      <c r="L135" s="112">
        <f t="shared" si="39"/>
        <v>7393.0211025957142</v>
      </c>
      <c r="M135" s="112">
        <f t="shared" si="39"/>
        <v>7614.8117356735856</v>
      </c>
      <c r="N135" s="112">
        <f t="shared" si="39"/>
        <v>7843.2560877437936</v>
      </c>
    </row>
    <row r="136" spans="1:14" hidden="1" outlineLevel="1" x14ac:dyDescent="0.3">
      <c r="A136" s="46" t="s">
        <v>65</v>
      </c>
      <c r="B136" s="28"/>
      <c r="C136" s="113"/>
      <c r="D136" s="103">
        <v>45028.696135483871</v>
      </c>
      <c r="E136" s="103">
        <v>52761.597464903054</v>
      </c>
      <c r="F136" s="103">
        <v>52929.160973690297</v>
      </c>
      <c r="G136" s="103">
        <v>67152.692416640435</v>
      </c>
      <c r="H136" s="103">
        <f t="shared" ref="H136" ca="1" si="40">SUM(H133:H135)</f>
        <v>19268.029588304606</v>
      </c>
      <c r="I136" s="103">
        <f t="shared" ref="I136:N136" ca="1" si="41">SUM(I133:I135)</f>
        <v>19684.191111080414</v>
      </c>
      <c r="J136" s="103">
        <f t="shared" ca="1" si="41"/>
        <v>20066.024932031589</v>
      </c>
      <c r="K136" s="103">
        <f t="shared" ca="1" si="41"/>
        <v>20166.685181351961</v>
      </c>
      <c r="L136" s="103">
        <f t="shared" ca="1" si="41"/>
        <v>20356.71668006853</v>
      </c>
      <c r="M136" s="103">
        <f t="shared" ca="1" si="41"/>
        <v>20356.716680111385</v>
      </c>
      <c r="N136" s="103">
        <f t="shared" ca="1" si="41"/>
        <v>20356.71668465835</v>
      </c>
    </row>
    <row r="137" spans="1:14" hidden="1" outlineLevel="1" x14ac:dyDescent="0.3">
      <c r="A137" s="5" t="s">
        <v>17</v>
      </c>
      <c r="D137" s="34">
        <v>25481.630824372758</v>
      </c>
      <c r="E137" s="34">
        <v>23717.517921146951</v>
      </c>
      <c r="F137" s="34">
        <v>22482.638888888887</v>
      </c>
      <c r="G137" s="34">
        <v>21618.223566308243</v>
      </c>
      <c r="H137" s="5">
        <f>H198</f>
        <v>32579.141213037634</v>
      </c>
      <c r="I137" s="5">
        <f t="shared" ref="I137:N137" si="42">I198</f>
        <v>33251.828419858866</v>
      </c>
      <c r="J137" s="5">
        <f t="shared" si="42"/>
        <v>33570.094183333335</v>
      </c>
      <c r="K137" s="5">
        <f t="shared" si="42"/>
        <v>34033.765737536291</v>
      </c>
      <c r="L137" s="5">
        <f t="shared" si="42"/>
        <v>34620.033692624747</v>
      </c>
      <c r="M137" s="5">
        <f t="shared" si="42"/>
        <v>34834.912956293781</v>
      </c>
      <c r="N137" s="5">
        <f t="shared" si="42"/>
        <v>35220.982947294833</v>
      </c>
    </row>
    <row r="138" spans="1:14" hidden="1" outlineLevel="1" x14ac:dyDescent="0.3">
      <c r="A138" s="5" t="s">
        <v>81</v>
      </c>
      <c r="D138" s="34">
        <v>0</v>
      </c>
      <c r="E138" s="34">
        <v>0</v>
      </c>
      <c r="F138" s="34">
        <v>0</v>
      </c>
      <c r="G138" s="34">
        <v>0</v>
      </c>
      <c r="H138" s="5">
        <f>L273</f>
        <v>112648.81272401435</v>
      </c>
      <c r="I138" s="5">
        <f>H138</f>
        <v>112648.81272401435</v>
      </c>
      <c r="J138" s="5">
        <f t="shared" ref="J138:N138" si="43">I138</f>
        <v>112648.81272401435</v>
      </c>
      <c r="K138" s="5">
        <f t="shared" si="43"/>
        <v>112648.81272401435</v>
      </c>
      <c r="L138" s="5">
        <f t="shared" si="43"/>
        <v>112648.81272401435</v>
      </c>
      <c r="M138" s="5">
        <f t="shared" si="43"/>
        <v>112648.81272401435</v>
      </c>
      <c r="N138" s="5">
        <f t="shared" si="43"/>
        <v>112648.81272401435</v>
      </c>
    </row>
    <row r="139" spans="1:14" ht="16.2" hidden="1" outlineLevel="1" thickBot="1" x14ac:dyDescent="0.35">
      <c r="A139" s="108" t="s">
        <v>18</v>
      </c>
      <c r="B139" s="108"/>
      <c r="C139" s="109"/>
      <c r="D139" s="110">
        <v>70510.326959856626</v>
      </c>
      <c r="E139" s="110">
        <v>76479.115386050005</v>
      </c>
      <c r="F139" s="110">
        <v>75411.799862579181</v>
      </c>
      <c r="G139" s="110">
        <v>88770.915982948674</v>
      </c>
      <c r="H139" s="110">
        <f t="shared" ref="H139:N139" ca="1" si="44">SUM(H136:H138)</f>
        <v>164906.52124377058</v>
      </c>
      <c r="I139" s="110">
        <f t="shared" ca="1" si="44"/>
        <v>166299.16788499395</v>
      </c>
      <c r="J139" s="110">
        <f t="shared" ca="1" si="44"/>
        <v>167613.67821879796</v>
      </c>
      <c r="K139" s="110">
        <f t="shared" ca="1" si="44"/>
        <v>169404.75748452457</v>
      </c>
      <c r="L139" s="110">
        <f t="shared" ca="1" si="44"/>
        <v>170947.12419636615</v>
      </c>
      <c r="M139" s="110">
        <f t="shared" ca="1" si="44"/>
        <v>172028.99236690899</v>
      </c>
      <c r="N139" s="110">
        <f t="shared" ca="1" si="44"/>
        <v>172894.48690785596</v>
      </c>
    </row>
    <row r="140" spans="1:14" ht="16.2" hidden="1" outlineLevel="1" thickTop="1" x14ac:dyDescent="0.3">
      <c r="A140" s="84"/>
      <c r="B140" s="84"/>
      <c r="C140" s="104"/>
      <c r="D140" s="114"/>
      <c r="E140" s="114"/>
      <c r="F140" s="114"/>
      <c r="G140" s="114"/>
      <c r="H140" s="34"/>
      <c r="I140" s="34"/>
      <c r="J140" s="34"/>
      <c r="K140" s="34"/>
      <c r="L140" s="34"/>
      <c r="M140" s="34"/>
      <c r="N140" s="34"/>
    </row>
    <row r="141" spans="1:14" hidden="1" outlineLevel="1" x14ac:dyDescent="0.3">
      <c r="A141" s="44" t="s">
        <v>19</v>
      </c>
      <c r="C141" s="111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</row>
    <row r="142" spans="1:14" hidden="1" outlineLevel="1" x14ac:dyDescent="0.3">
      <c r="A142" s="5" t="s">
        <v>66</v>
      </c>
      <c r="C142" s="111"/>
      <c r="D142" s="34">
        <v>0</v>
      </c>
      <c r="E142" s="34">
        <v>0</v>
      </c>
      <c r="F142" s="34">
        <v>0</v>
      </c>
      <c r="G142" s="34">
        <v>0</v>
      </c>
      <c r="H142" s="5">
        <f ca="1">H224</f>
        <v>7116.0480468428432</v>
      </c>
      <c r="I142" s="5">
        <f t="shared" ref="I142:N142" ca="1" si="45">I224</f>
        <v>6630.2631608071461</v>
      </c>
      <c r="J142" s="5">
        <f t="shared" ca="1" si="45"/>
        <v>5861.4302448835078</v>
      </c>
      <c r="K142" s="5">
        <f t="shared" ca="1" si="45"/>
        <v>5102.2747716042504</v>
      </c>
      <c r="L142" s="5">
        <f t="shared" ca="1" si="45"/>
        <v>29284.082605839358</v>
      </c>
      <c r="M142" s="5">
        <f t="shared" ca="1" si="45"/>
        <v>42397.581359764939</v>
      </c>
      <c r="N142" s="5">
        <f t="shared" ca="1" si="45"/>
        <v>40731.364483069476</v>
      </c>
    </row>
    <row r="143" spans="1:14" hidden="1" outlineLevel="1" x14ac:dyDescent="0.3">
      <c r="A143" s="5" t="s">
        <v>20</v>
      </c>
      <c r="C143" s="111"/>
      <c r="D143" s="34">
        <v>2185.4278673835124</v>
      </c>
      <c r="E143" s="34">
        <v>2688.3960573476706</v>
      </c>
      <c r="F143" s="34">
        <v>2751.0640681003583</v>
      </c>
      <c r="G143" s="34">
        <v>2948.8127240143372</v>
      </c>
      <c r="H143" s="112">
        <f>H114*H44/$D$16</f>
        <v>2564.4547889969067</v>
      </c>
      <c r="I143" s="112">
        <f t="shared" ref="I143:N143" si="46">I114*I44/$D$16</f>
        <v>2641.3884326668144</v>
      </c>
      <c r="J143" s="112">
        <f t="shared" si="46"/>
        <v>2684.8323213619924</v>
      </c>
      <c r="K143" s="112">
        <f t="shared" si="46"/>
        <v>2728.5055937894813</v>
      </c>
      <c r="L143" s="112">
        <f t="shared" si="46"/>
        <v>2772.3829134733928</v>
      </c>
      <c r="M143" s="112">
        <f t="shared" si="46"/>
        <v>2855.5544008775946</v>
      </c>
      <c r="N143" s="112">
        <f t="shared" si="46"/>
        <v>2941.2210329039226</v>
      </c>
    </row>
    <row r="144" spans="1:14" s="44" customFormat="1" hidden="1" outlineLevel="1" x14ac:dyDescent="0.3">
      <c r="A144" s="46" t="s">
        <v>68</v>
      </c>
      <c r="B144" s="46"/>
      <c r="C144" s="115"/>
      <c r="D144" s="103">
        <v>2185.4278673835124</v>
      </c>
      <c r="E144" s="103">
        <v>2688.3960573476706</v>
      </c>
      <c r="F144" s="103">
        <v>2751.0640681003583</v>
      </c>
      <c r="G144" s="103">
        <v>2948.8127240143372</v>
      </c>
      <c r="H144" s="103">
        <f t="shared" ref="H144:N144" ca="1" si="47">H142+H143</f>
        <v>9747.9884881817743</v>
      </c>
      <c r="I144" s="103">
        <f t="shared" ca="1" si="47"/>
        <v>9397.1749068301251</v>
      </c>
      <c r="J144" s="103">
        <f t="shared" ca="1" si="47"/>
        <v>8754.2364753505317</v>
      </c>
      <c r="K144" s="103">
        <f t="shared" ca="1" si="47"/>
        <v>8024.0090643759449</v>
      </c>
      <c r="L144" s="103">
        <f t="shared" ca="1" si="47"/>
        <v>32277.078710629874</v>
      </c>
      <c r="M144" s="103">
        <f t="shared" ca="1" si="47"/>
        <v>45390.577464555456</v>
      </c>
      <c r="N144" s="103">
        <f t="shared" ca="1" si="47"/>
        <v>43724.360587859992</v>
      </c>
    </row>
    <row r="145" spans="1:14" hidden="1" outlineLevel="1" x14ac:dyDescent="0.3">
      <c r="A145" s="5" t="s">
        <v>67</v>
      </c>
      <c r="D145" s="34">
        <v>28001.792114695338</v>
      </c>
      <c r="E145" s="34">
        <v>28001.792114695338</v>
      </c>
      <c r="F145" s="34">
        <v>16801.075268817203</v>
      </c>
      <c r="G145" s="34">
        <v>16801.075268817203</v>
      </c>
      <c r="H145" s="5">
        <f ca="1">H256</f>
        <v>101250</v>
      </c>
      <c r="I145" s="5">
        <f t="shared" ref="I145:N145" ca="1" si="48">I256</f>
        <v>91250</v>
      </c>
      <c r="J145" s="5">
        <f t="shared" ca="1" si="48"/>
        <v>81250</v>
      </c>
      <c r="K145" s="5">
        <f t="shared" ca="1" si="48"/>
        <v>71249.999999999971</v>
      </c>
      <c r="L145" s="5">
        <f t="shared" ca="1" si="48"/>
        <v>36250</v>
      </c>
      <c r="M145" s="5">
        <f t="shared" ca="1" si="48"/>
        <v>11250</v>
      </c>
      <c r="N145" s="5">
        <f t="shared" ca="1" si="48"/>
        <v>-3.637978807091713E-12</v>
      </c>
    </row>
    <row r="146" spans="1:14" hidden="1" outlineLevel="1" x14ac:dyDescent="0.3">
      <c r="A146" s="46" t="s">
        <v>21</v>
      </c>
      <c r="B146" s="46"/>
      <c r="C146" s="47"/>
      <c r="D146" s="103">
        <v>30187.219982078852</v>
      </c>
      <c r="E146" s="103">
        <v>30690.18817204301</v>
      </c>
      <c r="F146" s="103">
        <v>19552.13933691756</v>
      </c>
      <c r="G146" s="103">
        <v>19749.88799283154</v>
      </c>
      <c r="H146" s="103">
        <f t="shared" ref="H146:N146" ca="1" si="49">H144+H145</f>
        <v>110997.98848818177</v>
      </c>
      <c r="I146" s="103">
        <f t="shared" ca="1" si="49"/>
        <v>100647.17490683013</v>
      </c>
      <c r="J146" s="103">
        <f t="shared" ca="1" si="49"/>
        <v>90004.236475350539</v>
      </c>
      <c r="K146" s="103">
        <f t="shared" ca="1" si="49"/>
        <v>79274.009064375918</v>
      </c>
      <c r="L146" s="103">
        <f t="shared" ca="1" si="49"/>
        <v>68527.078710629867</v>
      </c>
      <c r="M146" s="103">
        <f t="shared" ca="1" si="49"/>
        <v>56640.577464555456</v>
      </c>
      <c r="N146" s="103">
        <f t="shared" ca="1" si="49"/>
        <v>43724.360587859992</v>
      </c>
    </row>
    <row r="147" spans="1:14" hidden="1" outlineLevel="1" x14ac:dyDescent="0.3">
      <c r="A147" s="44" t="s">
        <v>22</v>
      </c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</row>
    <row r="148" spans="1:14" hidden="1" outlineLevel="1" x14ac:dyDescent="0.3">
      <c r="A148" s="5" t="s">
        <v>23</v>
      </c>
      <c r="D148" s="34">
        <v>39202.508960573476</v>
      </c>
      <c r="E148" s="34">
        <v>39202.508960573476</v>
      </c>
      <c r="F148" s="34">
        <v>39202.508960573476</v>
      </c>
      <c r="G148" s="34">
        <v>39202.508960573476</v>
      </c>
      <c r="H148" s="5">
        <f ca="1">L283+H173+H174</f>
        <v>48505.025125628134</v>
      </c>
      <c r="I148" s="5">
        <f ca="1">H148+I173+I174</f>
        <v>48505.025125628134</v>
      </c>
      <c r="J148" s="5">
        <f t="shared" ref="J148:N148" ca="1" si="50">I148+J173+J174</f>
        <v>48505.025125628134</v>
      </c>
      <c r="K148" s="5">
        <f t="shared" ca="1" si="50"/>
        <v>48505.025125628134</v>
      </c>
      <c r="L148" s="5">
        <f t="shared" ca="1" si="50"/>
        <v>48505.025125628134</v>
      </c>
      <c r="M148" s="5">
        <f t="shared" ca="1" si="50"/>
        <v>48505.025125628134</v>
      </c>
      <c r="N148" s="5">
        <f t="shared" ca="1" si="50"/>
        <v>48505.025125628134</v>
      </c>
    </row>
    <row r="149" spans="1:14" hidden="1" outlineLevel="1" x14ac:dyDescent="0.3">
      <c r="A149" s="5" t="s">
        <v>24</v>
      </c>
      <c r="D149" s="34">
        <v>1120.5980172042969</v>
      </c>
      <c r="E149" s="40">
        <v>6586.4182534335214</v>
      </c>
      <c r="F149" s="40">
        <v>16657.151565088141</v>
      </c>
      <c r="G149" s="40">
        <v>29818.519029543659</v>
      </c>
      <c r="H149" s="5">
        <f ca="1">L284+H126+H175</f>
        <v>5403.5076299606553</v>
      </c>
      <c r="I149" s="5">
        <f ca="1">H149+I126+I175</f>
        <v>17146.967852535705</v>
      </c>
      <c r="J149" s="5">
        <f t="shared" ref="J149:N149" ca="1" si="51">I149+J126+J175</f>
        <v>29104.416617819297</v>
      </c>
      <c r="K149" s="5">
        <f t="shared" ca="1" si="51"/>
        <v>41625.723294520416</v>
      </c>
      <c r="L149" s="5">
        <f t="shared" ca="1" si="51"/>
        <v>53915.020360107665</v>
      </c>
      <c r="M149" s="5">
        <f t="shared" ca="1" si="51"/>
        <v>66883.389776681724</v>
      </c>
      <c r="N149" s="5">
        <f t="shared" ca="1" si="51"/>
        <v>80665.101189674868</v>
      </c>
    </row>
    <row r="150" spans="1:14" hidden="1" outlineLevel="1" x14ac:dyDescent="0.3">
      <c r="A150" s="116" t="s">
        <v>22</v>
      </c>
      <c r="B150" s="116"/>
      <c r="C150" s="117"/>
      <c r="D150" s="118">
        <v>40323.106977777774</v>
      </c>
      <c r="E150" s="118">
        <v>45788.927214006995</v>
      </c>
      <c r="F150" s="118">
        <v>55859.660525661617</v>
      </c>
      <c r="G150" s="118">
        <v>69021.027990117131</v>
      </c>
      <c r="H150" s="118">
        <f t="shared" ref="H150:N150" ca="1" si="52">H148+H149</f>
        <v>53908.532755588792</v>
      </c>
      <c r="I150" s="118">
        <f t="shared" ca="1" si="52"/>
        <v>65651.992978163835</v>
      </c>
      <c r="J150" s="118">
        <f t="shared" ca="1" si="52"/>
        <v>77609.441743447431</v>
      </c>
      <c r="K150" s="118">
        <f t="shared" ca="1" si="52"/>
        <v>90130.748420148549</v>
      </c>
      <c r="L150" s="118">
        <f t="shared" ca="1" si="52"/>
        <v>102420.0454857358</v>
      </c>
      <c r="M150" s="118">
        <f t="shared" ca="1" si="52"/>
        <v>115388.41490230986</v>
      </c>
      <c r="N150" s="118">
        <f t="shared" ca="1" si="52"/>
        <v>129170.126315303</v>
      </c>
    </row>
    <row r="151" spans="1:14" ht="16.2" hidden="1" outlineLevel="1" thickBot="1" x14ac:dyDescent="0.35">
      <c r="A151" s="108" t="s">
        <v>25</v>
      </c>
      <c r="B151" s="108"/>
      <c r="C151" s="109"/>
      <c r="D151" s="110">
        <v>70510.326959856626</v>
      </c>
      <c r="E151" s="110">
        <v>76479.115386050005</v>
      </c>
      <c r="F151" s="110">
        <v>75411.799862579181</v>
      </c>
      <c r="G151" s="110">
        <v>88770.915982948674</v>
      </c>
      <c r="H151" s="110">
        <f t="shared" ref="H151:N151" ca="1" si="53">H146+H150</f>
        <v>164906.52124377055</v>
      </c>
      <c r="I151" s="110">
        <f t="shared" ca="1" si="53"/>
        <v>166299.16788499395</v>
      </c>
      <c r="J151" s="110">
        <f t="shared" ca="1" si="53"/>
        <v>167613.67821879796</v>
      </c>
      <c r="K151" s="110">
        <f t="shared" ca="1" si="53"/>
        <v>169404.75748452445</v>
      </c>
      <c r="L151" s="110">
        <f t="shared" ca="1" si="53"/>
        <v>170947.12419636565</v>
      </c>
      <c r="M151" s="110">
        <f t="shared" ca="1" si="53"/>
        <v>172028.99236686531</v>
      </c>
      <c r="N151" s="110">
        <f t="shared" ca="1" si="53"/>
        <v>172894.48690316299</v>
      </c>
    </row>
    <row r="152" spans="1:14" ht="16.2" hidden="1" outlineLevel="1" thickTop="1" x14ac:dyDescent="0.3"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</row>
    <row r="153" spans="1:14" hidden="1" outlineLevel="1" x14ac:dyDescent="0.3">
      <c r="A153" s="50" t="s">
        <v>26</v>
      </c>
      <c r="B153" s="119"/>
      <c r="C153" s="120"/>
      <c r="D153" s="121">
        <f t="shared" ref="D153:N153" si="54">D151-D139</f>
        <v>0</v>
      </c>
      <c r="E153" s="121">
        <f t="shared" si="54"/>
        <v>0</v>
      </c>
      <c r="F153" s="121">
        <f t="shared" si="54"/>
        <v>0</v>
      </c>
      <c r="G153" s="121">
        <f t="shared" si="54"/>
        <v>0</v>
      </c>
      <c r="H153" s="121">
        <f t="shared" ca="1" si="54"/>
        <v>0</v>
      </c>
      <c r="I153" s="121">
        <f t="shared" ca="1" si="54"/>
        <v>0</v>
      </c>
      <c r="J153" s="121">
        <f t="shared" ca="1" si="54"/>
        <v>0</v>
      </c>
      <c r="K153" s="121">
        <f t="shared" ca="1" si="54"/>
        <v>0</v>
      </c>
      <c r="L153" s="121">
        <f t="shared" ca="1" si="54"/>
        <v>-4.9476511776447296E-10</v>
      </c>
      <c r="M153" s="121">
        <f t="shared" ca="1" si="54"/>
        <v>-4.3684849515557289E-8</v>
      </c>
      <c r="N153" s="121">
        <f t="shared" ca="1" si="54"/>
        <v>-4.692963557317853E-6</v>
      </c>
    </row>
    <row r="154" spans="1:14" hidden="1" outlineLevel="1" x14ac:dyDescent="0.3">
      <c r="A154" s="50"/>
      <c r="B154" s="119"/>
      <c r="C154" s="120"/>
      <c r="D154" s="119"/>
      <c r="E154" s="119"/>
      <c r="F154" s="119"/>
      <c r="G154" s="119"/>
      <c r="H154" s="34"/>
    </row>
    <row r="155" spans="1:14" collapsed="1" x14ac:dyDescent="0.3">
      <c r="D155" s="34"/>
      <c r="E155" s="34"/>
      <c r="F155" s="34"/>
      <c r="G155" s="34"/>
      <c r="H155" s="34"/>
    </row>
    <row r="156" spans="1:14" ht="21" x14ac:dyDescent="0.4">
      <c r="A156" s="14" t="s">
        <v>27</v>
      </c>
      <c r="B156" s="15"/>
      <c r="C156" s="16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</row>
    <row r="157" spans="1:14" ht="17.399999999999999" hidden="1" outlineLevel="1" x14ac:dyDescent="0.35">
      <c r="D157" s="93">
        <f t="shared" ref="D157:N157" si="55">D130</f>
        <v>2021</v>
      </c>
      <c r="E157" s="93">
        <f t="shared" si="55"/>
        <v>2022</v>
      </c>
      <c r="F157" s="93">
        <f t="shared" si="55"/>
        <v>2023</v>
      </c>
      <c r="G157" s="93">
        <f t="shared" si="55"/>
        <v>2024</v>
      </c>
      <c r="H157" s="94">
        <f t="shared" si="55"/>
        <v>2025</v>
      </c>
      <c r="I157" s="94">
        <f t="shared" si="55"/>
        <v>2026</v>
      </c>
      <c r="J157" s="94">
        <f t="shared" si="55"/>
        <v>2027</v>
      </c>
      <c r="K157" s="94">
        <f t="shared" si="55"/>
        <v>2028</v>
      </c>
      <c r="L157" s="94">
        <f t="shared" si="55"/>
        <v>2029</v>
      </c>
      <c r="M157" s="94">
        <f t="shared" si="55"/>
        <v>2030</v>
      </c>
      <c r="N157" s="94">
        <f t="shared" si="55"/>
        <v>2031</v>
      </c>
    </row>
    <row r="158" spans="1:14" hidden="1" outlineLevel="1" x14ac:dyDescent="0.3">
      <c r="A158" s="28"/>
      <c r="B158" s="28"/>
      <c r="C158" s="69"/>
      <c r="D158" s="67"/>
      <c r="E158" s="67"/>
      <c r="F158" s="67"/>
      <c r="G158" s="67"/>
      <c r="H158" s="67"/>
      <c r="I158" s="28"/>
      <c r="J158" s="28"/>
      <c r="K158" s="28"/>
      <c r="L158" s="28"/>
      <c r="M158" s="28"/>
      <c r="N158" s="28"/>
    </row>
    <row r="159" spans="1:14" hidden="1" outlineLevel="1" x14ac:dyDescent="0.3">
      <c r="A159" s="44" t="s">
        <v>28</v>
      </c>
      <c r="D159" s="34"/>
      <c r="E159" s="34"/>
      <c r="F159" s="34"/>
      <c r="G159" s="34"/>
      <c r="H159" s="34"/>
    </row>
    <row r="160" spans="1:14" hidden="1" outlineLevel="1" x14ac:dyDescent="0.3">
      <c r="A160" s="5" t="s">
        <v>11</v>
      </c>
      <c r="D160" s="5">
        <v>1120.5980172043019</v>
      </c>
      <c r="E160" s="5">
        <v>5465.820236229225</v>
      </c>
      <c r="F160" s="5">
        <v>10070.733311654618</v>
      </c>
      <c r="G160" s="5">
        <v>13161.367464455518</v>
      </c>
      <c r="H160" s="5">
        <f ca="1">H126</f>
        <v>11408.532755588792</v>
      </c>
      <c r="I160" s="5">
        <f t="shared" ref="I160:N160" ca="1" si="56">I126</f>
        <v>11743.46022257505</v>
      </c>
      <c r="J160" s="5">
        <f t="shared" ca="1" si="56"/>
        <v>11957.448765283592</v>
      </c>
      <c r="K160" s="5">
        <f t="shared" ca="1" si="56"/>
        <v>12521.306676701122</v>
      </c>
      <c r="L160" s="5">
        <f t="shared" ca="1" si="56"/>
        <v>12289.29706558725</v>
      </c>
      <c r="M160" s="5">
        <f t="shared" ca="1" si="56"/>
        <v>12968.369416574062</v>
      </c>
      <c r="N160" s="5">
        <f t="shared" ca="1" si="56"/>
        <v>13781.711412993145</v>
      </c>
    </row>
    <row r="161" spans="1:14" hidden="1" outlineLevel="1" x14ac:dyDescent="0.3">
      <c r="A161" s="5" t="s">
        <v>29</v>
      </c>
      <c r="D161" s="5">
        <v>10920.698924731183</v>
      </c>
      <c r="E161" s="5">
        <v>10164.650537634408</v>
      </c>
      <c r="F161" s="5">
        <v>9635.4166666666661</v>
      </c>
      <c r="G161" s="5">
        <v>9264.9529569892475</v>
      </c>
      <c r="H161" s="5">
        <f>H121</f>
        <v>6400</v>
      </c>
      <c r="I161" s="5">
        <f t="shared" ref="I161:N161" si="57">I121</f>
        <v>6515.8282426075275</v>
      </c>
      <c r="J161" s="5">
        <f t="shared" si="57"/>
        <v>6650.3656839717733</v>
      </c>
      <c r="K161" s="5">
        <f t="shared" si="57"/>
        <v>6714.0188366666671</v>
      </c>
      <c r="L161" s="5">
        <f t="shared" si="57"/>
        <v>6806.7531475072583</v>
      </c>
      <c r="M161" s="5">
        <f t="shared" si="57"/>
        <v>6924.0067385249495</v>
      </c>
      <c r="N161" s="5">
        <f t="shared" si="57"/>
        <v>6966.9825912587567</v>
      </c>
    </row>
    <row r="162" spans="1:14" hidden="1" outlineLevel="1" x14ac:dyDescent="0.3">
      <c r="A162" s="5" t="s">
        <v>30</v>
      </c>
      <c r="D162" s="34">
        <v>5041.806675627241</v>
      </c>
      <c r="E162" s="5">
        <v>953.20900537634407</v>
      </c>
      <c r="F162" s="5">
        <v>433.94377240143331</v>
      </c>
      <c r="G162" s="5">
        <v>505.65636200717017</v>
      </c>
      <c r="H162" s="5">
        <f>H192</f>
        <v>1172.4257837433101</v>
      </c>
      <c r="I162" s="5">
        <f t="shared" ref="I162:N162" si="58">I192</f>
        <v>195.70839179186987</v>
      </c>
      <c r="J162" s="5">
        <f t="shared" si="58"/>
        <v>141.91670307091317</v>
      </c>
      <c r="K162" s="5">
        <f t="shared" si="58"/>
        <v>144.38431594880149</v>
      </c>
      <c r="L162" s="5">
        <f t="shared" si="58"/>
        <v>146.87226056659711</v>
      </c>
      <c r="M162" s="5">
        <f t="shared" si="58"/>
        <v>214.57484193321579</v>
      </c>
      <c r="N162" s="5">
        <f t="shared" si="58"/>
        <v>221.0120871912095</v>
      </c>
    </row>
    <row r="163" spans="1:14" hidden="1" outlineLevel="1" x14ac:dyDescent="0.3">
      <c r="A163" s="46" t="s">
        <v>31</v>
      </c>
      <c r="B163" s="28"/>
      <c r="C163" s="69"/>
      <c r="D163" s="103">
        <v>6999.4902663082439</v>
      </c>
      <c r="E163" s="103">
        <v>14677.261768487289</v>
      </c>
      <c r="F163" s="103">
        <v>19272.206205919851</v>
      </c>
      <c r="G163" s="103">
        <v>21920.664059437593</v>
      </c>
      <c r="H163" s="103">
        <f t="shared" ref="H163:N163" ca="1" si="59">H160+H161-H162</f>
        <v>16523.630884608778</v>
      </c>
      <c r="I163" s="103">
        <f t="shared" ca="1" si="59"/>
        <v>18060.205790773609</v>
      </c>
      <c r="J163" s="103">
        <f t="shared" ca="1" si="59"/>
        <v>18494.742238756306</v>
      </c>
      <c r="K163" s="103">
        <f t="shared" ca="1" si="59"/>
        <v>19429.34260223588</v>
      </c>
      <c r="L163" s="103">
        <f t="shared" ca="1" si="59"/>
        <v>19488.379294720871</v>
      </c>
      <c r="M163" s="103">
        <f t="shared" ca="1" si="59"/>
        <v>20556.688375030717</v>
      </c>
      <c r="N163" s="103">
        <f t="shared" ca="1" si="59"/>
        <v>21586.404005549797</v>
      </c>
    </row>
    <row r="164" spans="1:14" hidden="1" outlineLevel="1" x14ac:dyDescent="0.3">
      <c r="A164" s="84"/>
      <c r="B164" s="36"/>
      <c r="C164" s="75"/>
      <c r="D164" s="114"/>
      <c r="E164" s="114"/>
      <c r="F164" s="114"/>
      <c r="G164" s="114"/>
      <c r="H164" s="34"/>
      <c r="I164" s="34"/>
      <c r="J164" s="34"/>
      <c r="K164" s="34"/>
      <c r="L164" s="34"/>
      <c r="M164" s="34"/>
      <c r="N164" s="34"/>
    </row>
    <row r="165" spans="1:14" hidden="1" outlineLevel="1" x14ac:dyDescent="0.3">
      <c r="A165" s="44" t="s">
        <v>32</v>
      </c>
      <c r="D165" s="73"/>
      <c r="E165" s="73"/>
      <c r="F165" s="73"/>
      <c r="G165" s="73"/>
      <c r="H165" s="34"/>
      <c r="I165" s="34"/>
      <c r="J165" s="34"/>
      <c r="K165" s="34"/>
      <c r="L165" s="34"/>
      <c r="M165" s="34"/>
      <c r="N165" s="34"/>
    </row>
    <row r="166" spans="1:14" hidden="1" outlineLevel="1" x14ac:dyDescent="0.3">
      <c r="A166" s="5" t="s">
        <v>33</v>
      </c>
      <c r="D166" s="40">
        <v>-8400.5376344086017</v>
      </c>
      <c r="E166" s="40">
        <v>-8400.5376344086017</v>
      </c>
      <c r="F166" s="40">
        <v>-8400.5376344086017</v>
      </c>
      <c r="G166" s="40">
        <v>-8400.5376344086017</v>
      </c>
      <c r="H166" s="40">
        <f>-H196</f>
        <v>-6979.1412130376348</v>
      </c>
      <c r="I166" s="40">
        <f t="shared" ref="I166:N166" si="60">-I196</f>
        <v>-7188.5154494287644</v>
      </c>
      <c r="J166" s="40">
        <f t="shared" si="60"/>
        <v>-6968.6314474462379</v>
      </c>
      <c r="K166" s="40">
        <f t="shared" si="60"/>
        <v>-7177.6903908696258</v>
      </c>
      <c r="L166" s="40">
        <f t="shared" si="60"/>
        <v>-7393.0211025957151</v>
      </c>
      <c r="M166" s="40">
        <f t="shared" si="60"/>
        <v>-7138.8860021939872</v>
      </c>
      <c r="N166" s="40">
        <f t="shared" si="60"/>
        <v>-7353.0525822598065</v>
      </c>
    </row>
    <row r="167" spans="1:14" hidden="1" outlineLevel="1" x14ac:dyDescent="0.3">
      <c r="A167" s="5" t="s">
        <v>87</v>
      </c>
      <c r="D167" s="36"/>
      <c r="E167" s="36"/>
      <c r="F167" s="36"/>
      <c r="G167" s="36"/>
      <c r="H167" s="41"/>
      <c r="I167" s="41"/>
      <c r="J167" s="41"/>
      <c r="K167" s="41"/>
      <c r="L167" s="41"/>
      <c r="M167" s="41"/>
      <c r="N167" s="41"/>
    </row>
    <row r="168" spans="1:14" hidden="1" outlineLevel="1" x14ac:dyDescent="0.3">
      <c r="A168" s="46" t="s">
        <v>34</v>
      </c>
      <c r="B168" s="28"/>
      <c r="C168" s="69"/>
      <c r="D168" s="103">
        <v>-8400.5376344086017</v>
      </c>
      <c r="E168" s="103">
        <v>-8400.5376344086017</v>
      </c>
      <c r="F168" s="103">
        <v>-8400.5376344086017</v>
      </c>
      <c r="G168" s="103">
        <v>-8400.5376344086017</v>
      </c>
      <c r="H168" s="103">
        <f t="shared" ref="H168:N168" si="61">H166+H167</f>
        <v>-6979.1412130376348</v>
      </c>
      <c r="I168" s="103">
        <f t="shared" si="61"/>
        <v>-7188.5154494287644</v>
      </c>
      <c r="J168" s="103">
        <f t="shared" si="61"/>
        <v>-6968.6314474462379</v>
      </c>
      <c r="K168" s="103">
        <f t="shared" si="61"/>
        <v>-7177.6903908696258</v>
      </c>
      <c r="L168" s="103">
        <f t="shared" si="61"/>
        <v>-7393.0211025957151</v>
      </c>
      <c r="M168" s="103">
        <f t="shared" si="61"/>
        <v>-7138.8860021939872</v>
      </c>
      <c r="N168" s="103">
        <f t="shared" si="61"/>
        <v>-7353.0525822598065</v>
      </c>
    </row>
    <row r="169" spans="1:14" hidden="1" outlineLevel="1" x14ac:dyDescent="0.3">
      <c r="A169" s="84"/>
      <c r="B169" s="36"/>
      <c r="C169" s="75"/>
      <c r="D169" s="114"/>
      <c r="E169" s="114"/>
      <c r="F169" s="114"/>
      <c r="G169" s="114"/>
      <c r="H169" s="34"/>
      <c r="I169" s="34"/>
      <c r="J169" s="34"/>
      <c r="K169" s="34"/>
      <c r="L169" s="34"/>
      <c r="M169" s="34"/>
      <c r="N169" s="34"/>
    </row>
    <row r="170" spans="1:14" hidden="1" outlineLevel="1" x14ac:dyDescent="0.3">
      <c r="A170" s="44" t="s">
        <v>35</v>
      </c>
      <c r="D170" s="73"/>
      <c r="E170" s="73"/>
      <c r="F170" s="73"/>
      <c r="G170" s="73"/>
      <c r="H170" s="34"/>
      <c r="I170" s="34"/>
      <c r="J170" s="34"/>
      <c r="K170" s="34"/>
      <c r="L170" s="34"/>
      <c r="M170" s="34"/>
      <c r="N170" s="34"/>
    </row>
    <row r="171" spans="1:14" hidden="1" outlineLevel="1" x14ac:dyDescent="0.3">
      <c r="A171" s="5" t="s">
        <v>159</v>
      </c>
      <c r="D171" s="73">
        <v>0</v>
      </c>
      <c r="E171" s="73">
        <v>0</v>
      </c>
      <c r="F171" s="73">
        <v>0</v>
      </c>
      <c r="G171" s="73">
        <v>0</v>
      </c>
      <c r="H171" s="91">
        <f t="shared" ref="H171:N171" ca="1" si="62">H222</f>
        <v>866.04804684284318</v>
      </c>
      <c r="I171" s="91">
        <f t="shared" ca="1" si="62"/>
        <v>1.8189894035458565E-12</v>
      </c>
      <c r="J171" s="91">
        <f t="shared" ca="1" si="62"/>
        <v>0</v>
      </c>
      <c r="K171" s="91">
        <f t="shared" ca="1" si="62"/>
        <v>-2.3646862246096134E-11</v>
      </c>
      <c r="L171" s="91">
        <f t="shared" ca="1" si="62"/>
        <v>24181.807834235027</v>
      </c>
      <c r="M171" s="91">
        <f t="shared" ca="1" si="62"/>
        <v>13113.498753925105</v>
      </c>
      <c r="N171" s="91">
        <f t="shared" ca="1" si="62"/>
        <v>0</v>
      </c>
    </row>
    <row r="172" spans="1:14" hidden="1" outlineLevel="1" x14ac:dyDescent="0.3">
      <c r="A172" s="5" t="s">
        <v>150</v>
      </c>
      <c r="D172" s="73">
        <v>0</v>
      </c>
      <c r="E172" s="73">
        <v>0</v>
      </c>
      <c r="F172" s="73">
        <v>-11200.716845878136</v>
      </c>
      <c r="G172" s="73">
        <v>0</v>
      </c>
      <c r="H172" s="91">
        <f t="shared" ref="H172:N172" ca="1" si="63">-H223-H254-H255</f>
        <v>-10000</v>
      </c>
      <c r="I172" s="91">
        <f t="shared" ca="1" si="63"/>
        <v>-10485.784886035699</v>
      </c>
      <c r="J172" s="91">
        <f t="shared" ca="1" si="63"/>
        <v>-10768.832915923638</v>
      </c>
      <c r="K172" s="91">
        <f t="shared" ca="1" si="63"/>
        <v>-10759.155473279256</v>
      </c>
      <c r="L172" s="91">
        <f t="shared" ca="1" si="63"/>
        <v>-35000</v>
      </c>
      <c r="M172" s="91">
        <f t="shared" ca="1" si="63"/>
        <v>-25000</v>
      </c>
      <c r="N172" s="91">
        <f t="shared" ca="1" si="63"/>
        <v>-12916.216876739627</v>
      </c>
    </row>
    <row r="173" spans="1:14" hidden="1" outlineLevel="1" x14ac:dyDescent="0.3">
      <c r="A173" s="5" t="s">
        <v>151</v>
      </c>
      <c r="D173" s="73">
        <v>39202.508960573476</v>
      </c>
      <c r="E173" s="73">
        <v>0</v>
      </c>
      <c r="F173" s="73">
        <v>0</v>
      </c>
      <c r="G173" s="73">
        <v>0</v>
      </c>
      <c r="H173" s="122"/>
      <c r="I173" s="122"/>
      <c r="J173" s="122"/>
      <c r="K173" s="122"/>
      <c r="L173" s="122"/>
      <c r="M173" s="122"/>
      <c r="N173" s="122"/>
    </row>
    <row r="174" spans="1:14" hidden="1" outlineLevel="1" x14ac:dyDescent="0.3">
      <c r="A174" s="5" t="s">
        <v>152</v>
      </c>
      <c r="D174" s="73"/>
      <c r="E174" s="73"/>
      <c r="F174" s="73"/>
      <c r="G174" s="73"/>
      <c r="H174" s="122"/>
      <c r="I174" s="122"/>
      <c r="J174" s="122"/>
      <c r="K174" s="122"/>
      <c r="L174" s="122"/>
      <c r="M174" s="122"/>
      <c r="N174" s="122"/>
    </row>
    <row r="175" spans="1:14" hidden="1" outlineLevel="1" x14ac:dyDescent="0.3">
      <c r="A175" s="5" t="s">
        <v>93</v>
      </c>
      <c r="D175" s="73">
        <v>0</v>
      </c>
      <c r="E175" s="73">
        <v>0</v>
      </c>
      <c r="F175" s="73">
        <v>0</v>
      </c>
      <c r="G175" s="73">
        <v>0</v>
      </c>
      <c r="H175" s="122"/>
      <c r="I175" s="122"/>
      <c r="J175" s="122"/>
      <c r="K175" s="122"/>
      <c r="L175" s="122"/>
      <c r="M175" s="122"/>
      <c r="N175" s="122"/>
    </row>
    <row r="176" spans="1:14" hidden="1" outlineLevel="1" x14ac:dyDescent="0.3">
      <c r="A176" s="46" t="s">
        <v>36</v>
      </c>
      <c r="B176" s="28"/>
      <c r="C176" s="69"/>
      <c r="D176" s="103">
        <v>39202.508960573476</v>
      </c>
      <c r="E176" s="103">
        <v>0</v>
      </c>
      <c r="F176" s="103">
        <v>-11200.716845878136</v>
      </c>
      <c r="G176" s="103">
        <v>0</v>
      </c>
      <c r="H176" s="103">
        <f t="shared" ref="H176" ca="1" si="64">SUM(H171:H175)</f>
        <v>-9133.9519531571568</v>
      </c>
      <c r="I176" s="103">
        <f t="shared" ref="I176:N176" ca="1" si="65">SUM(I171:I175)</f>
        <v>-10485.784886035697</v>
      </c>
      <c r="J176" s="103">
        <f t="shared" ca="1" si="65"/>
        <v>-10768.832915923638</v>
      </c>
      <c r="K176" s="103">
        <f t="shared" ca="1" si="65"/>
        <v>-10759.155473279279</v>
      </c>
      <c r="L176" s="103">
        <f t="shared" ca="1" si="65"/>
        <v>-10818.192165764973</v>
      </c>
      <c r="M176" s="103">
        <f t="shared" ca="1" si="65"/>
        <v>-11886.501246074895</v>
      </c>
      <c r="N176" s="103">
        <f t="shared" ca="1" si="65"/>
        <v>-12916.216876739627</v>
      </c>
    </row>
    <row r="177" spans="1:14" hidden="1" outlineLevel="1" x14ac:dyDescent="0.3">
      <c r="A177" s="84"/>
      <c r="B177" s="36"/>
      <c r="C177" s="75"/>
      <c r="D177" s="114"/>
      <c r="E177" s="114"/>
      <c r="F177" s="114"/>
      <c r="G177" s="114"/>
      <c r="H177" s="34"/>
      <c r="I177" s="34"/>
      <c r="J177" s="34"/>
      <c r="K177" s="34"/>
      <c r="L177" s="34"/>
      <c r="M177" s="34"/>
      <c r="N177" s="34"/>
    </row>
    <row r="178" spans="1:14" hidden="1" outlineLevel="1" x14ac:dyDescent="0.3">
      <c r="A178" s="5" t="s">
        <v>37</v>
      </c>
      <c r="D178" s="102">
        <v>37801.461592473119</v>
      </c>
      <c r="E178" s="102">
        <v>6276.7241340786877</v>
      </c>
      <c r="F178" s="102">
        <v>-329.0482743668872</v>
      </c>
      <c r="G178" s="102">
        <v>13520.126425028991</v>
      </c>
      <c r="H178" s="102">
        <f t="shared" ref="H178:N178" ca="1" si="66">H163+H168+H176</f>
        <v>0</v>
      </c>
      <c r="I178" s="102">
        <f t="shared" ca="1" si="66"/>
        <v>0</v>
      </c>
      <c r="J178" s="102">
        <f t="shared" ca="1" si="66"/>
        <v>0</v>
      </c>
      <c r="K178" s="102">
        <f t="shared" ca="1" si="66"/>
        <v>-5.2750692702829838E-11</v>
      </c>
      <c r="L178" s="102">
        <f t="shared" ca="1" si="66"/>
        <v>-7.5488060247153044E-10</v>
      </c>
      <c r="M178" s="102">
        <f t="shared" ca="1" si="66"/>
        <v>-8.3127815742045641E-10</v>
      </c>
      <c r="N178" s="102">
        <f t="shared" ca="1" si="66"/>
        <v>-1.4648321666754782E-7</v>
      </c>
    </row>
    <row r="179" spans="1:14" hidden="1" outlineLevel="1" x14ac:dyDescent="0.3">
      <c r="A179" s="5" t="s">
        <v>38</v>
      </c>
      <c r="D179" s="73">
        <v>0</v>
      </c>
      <c r="E179" s="36">
        <v>37801.461592473119</v>
      </c>
      <c r="F179" s="36">
        <v>44078.185726551805</v>
      </c>
      <c r="G179" s="36">
        <v>43749.137452184921</v>
      </c>
      <c r="H179" s="123">
        <f ca="1">L268</f>
        <v>9999.9999999999927</v>
      </c>
      <c r="I179" s="123">
        <f t="shared" ref="I179:N179" ca="1" si="67">H180</f>
        <v>9999.9999999999927</v>
      </c>
      <c r="J179" s="123">
        <f t="shared" ca="1" si="67"/>
        <v>9999.9999999999927</v>
      </c>
      <c r="K179" s="123">
        <f t="shared" ca="1" si="67"/>
        <v>9999.9999999999927</v>
      </c>
      <c r="L179" s="123">
        <f t="shared" ca="1" si="67"/>
        <v>10000.000000000049</v>
      </c>
      <c r="M179" s="123">
        <f t="shared" ca="1" si="67"/>
        <v>9999.9999999997599</v>
      </c>
      <c r="N179" s="123">
        <f t="shared" ca="1" si="67"/>
        <v>10000.000000042617</v>
      </c>
    </row>
    <row r="180" spans="1:14" hidden="1" outlineLevel="1" x14ac:dyDescent="0.3">
      <c r="A180" s="46" t="s">
        <v>39</v>
      </c>
      <c r="B180" s="28"/>
      <c r="C180" s="69"/>
      <c r="D180" s="103">
        <v>37801.461592473119</v>
      </c>
      <c r="E180" s="103">
        <v>44078.185726551805</v>
      </c>
      <c r="F180" s="103">
        <v>43749.137452184921</v>
      </c>
      <c r="G180" s="103">
        <v>57269.263877213911</v>
      </c>
      <c r="H180" s="103">
        <f t="shared" ref="H180:N180" ca="1" si="68">H178+H179</f>
        <v>9999.9999999999927</v>
      </c>
      <c r="I180" s="103">
        <f t="shared" ca="1" si="68"/>
        <v>9999.9999999999927</v>
      </c>
      <c r="J180" s="103">
        <f t="shared" ca="1" si="68"/>
        <v>9999.9999999999927</v>
      </c>
      <c r="K180" s="103">
        <f t="shared" ca="1" si="68"/>
        <v>9999.99999999994</v>
      </c>
      <c r="L180" s="103">
        <f t="shared" ca="1" si="68"/>
        <v>9999.9999999992942</v>
      </c>
      <c r="M180" s="103">
        <f t="shared" ca="1" si="68"/>
        <v>9999.9999999989286</v>
      </c>
      <c r="N180" s="103">
        <f t="shared" ca="1" si="68"/>
        <v>9999.9999998961339</v>
      </c>
    </row>
    <row r="181" spans="1:14" hidden="1" outlineLevel="1" x14ac:dyDescent="0.3">
      <c r="A181" s="44"/>
      <c r="D181" s="114"/>
      <c r="E181" s="34"/>
      <c r="F181" s="34"/>
      <c r="G181" s="34"/>
      <c r="H181" s="34"/>
    </row>
    <row r="182" spans="1:14" collapsed="1" x14ac:dyDescent="0.3">
      <c r="D182" s="34"/>
      <c r="E182" s="34"/>
      <c r="F182" s="34"/>
      <c r="G182" s="34"/>
      <c r="H182" s="34"/>
    </row>
    <row r="183" spans="1:14" ht="21" x14ac:dyDescent="0.4">
      <c r="A183" s="14" t="s">
        <v>204</v>
      </c>
      <c r="B183" s="15"/>
      <c r="C183" s="16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</row>
    <row r="184" spans="1:14" ht="17.399999999999999" hidden="1" outlineLevel="1" x14ac:dyDescent="0.35">
      <c r="D184" s="93">
        <f t="shared" ref="D184:N184" si="69">D157</f>
        <v>2021</v>
      </c>
      <c r="E184" s="93">
        <f t="shared" si="69"/>
        <v>2022</v>
      </c>
      <c r="F184" s="93">
        <f t="shared" si="69"/>
        <v>2023</v>
      </c>
      <c r="G184" s="93">
        <f t="shared" si="69"/>
        <v>2024</v>
      </c>
      <c r="H184" s="94">
        <f t="shared" si="69"/>
        <v>2025</v>
      </c>
      <c r="I184" s="94">
        <f t="shared" si="69"/>
        <v>2026</v>
      </c>
      <c r="J184" s="94">
        <f t="shared" si="69"/>
        <v>2027</v>
      </c>
      <c r="K184" s="94">
        <f t="shared" si="69"/>
        <v>2028</v>
      </c>
      <c r="L184" s="94">
        <f t="shared" si="69"/>
        <v>2029</v>
      </c>
      <c r="M184" s="94">
        <f t="shared" si="69"/>
        <v>2030</v>
      </c>
      <c r="N184" s="94">
        <f t="shared" si="69"/>
        <v>2031</v>
      </c>
    </row>
    <row r="185" spans="1:14" hidden="1" outlineLevel="1" x14ac:dyDescent="0.3">
      <c r="A185" s="28"/>
      <c r="B185" s="28"/>
      <c r="C185" s="69"/>
      <c r="D185" s="67"/>
      <c r="E185" s="67"/>
      <c r="F185" s="67"/>
      <c r="G185" s="67"/>
      <c r="H185" s="67"/>
      <c r="I185" s="28"/>
      <c r="J185" s="28"/>
      <c r="K185" s="28"/>
      <c r="L185" s="28"/>
      <c r="M185" s="28"/>
      <c r="N185" s="28"/>
    </row>
    <row r="186" spans="1:14" hidden="1" outlineLevel="1" x14ac:dyDescent="0.3">
      <c r="A186" s="44" t="s">
        <v>40</v>
      </c>
      <c r="D186" s="34"/>
      <c r="E186" s="34"/>
      <c r="F186" s="34"/>
      <c r="G186" s="34"/>
      <c r="H186" s="34"/>
    </row>
    <row r="187" spans="1:14" hidden="1" outlineLevel="1" x14ac:dyDescent="0.3">
      <c r="A187" s="5" t="s">
        <v>15</v>
      </c>
      <c r="D187" s="40">
        <f>D134</f>
        <v>2856.3788082437277</v>
      </c>
      <c r="E187" s="40">
        <f t="shared" ref="E187:N188" si="70">E134</f>
        <v>3306.619623655914</v>
      </c>
      <c r="F187" s="40">
        <f t="shared" si="70"/>
        <v>3677.8953853046592</v>
      </c>
      <c r="G187" s="40">
        <f t="shared" si="70"/>
        <v>3985.8030913978496</v>
      </c>
      <c r="H187" s="40">
        <f t="shared" si="70"/>
        <v>2249.5217447341288</v>
      </c>
      <c r="I187" s="40">
        <f t="shared" si="70"/>
        <v>2317.0073970761528</v>
      </c>
      <c r="J187" s="40">
        <f t="shared" si="70"/>
        <v>2386.5176189884378</v>
      </c>
      <c r="K187" s="40">
        <f t="shared" si="70"/>
        <v>2458.113147558091</v>
      </c>
      <c r="L187" s="40">
        <f t="shared" si="70"/>
        <v>2531.8565419848337</v>
      </c>
      <c r="M187" s="40">
        <f t="shared" si="70"/>
        <v>2607.8122382443789</v>
      </c>
      <c r="N187" s="40">
        <f t="shared" si="70"/>
        <v>2686.0466053917103</v>
      </c>
    </row>
    <row r="188" spans="1:14" hidden="1" outlineLevel="1" x14ac:dyDescent="0.3">
      <c r="A188" s="5" t="s">
        <v>16</v>
      </c>
      <c r="D188" s="40">
        <f>D135</f>
        <v>4370.8557347670248</v>
      </c>
      <c r="E188" s="40">
        <f t="shared" ref="E188:G188" si="71">E135</f>
        <v>5376.7921146953413</v>
      </c>
      <c r="F188" s="40">
        <f t="shared" si="71"/>
        <v>5502.1281362007167</v>
      </c>
      <c r="G188" s="40">
        <f t="shared" si="71"/>
        <v>5897.6254480286743</v>
      </c>
      <c r="H188" s="40">
        <f t="shared" si="70"/>
        <v>6838.5461039917518</v>
      </c>
      <c r="I188" s="40">
        <f t="shared" si="70"/>
        <v>7043.7024871115045</v>
      </c>
      <c r="J188" s="40">
        <f t="shared" si="70"/>
        <v>7159.5528569653115</v>
      </c>
      <c r="K188" s="40">
        <f t="shared" si="70"/>
        <v>7276.0149167719492</v>
      </c>
      <c r="L188" s="40">
        <f t="shared" si="70"/>
        <v>7393.0211025957142</v>
      </c>
      <c r="M188" s="40">
        <f t="shared" si="70"/>
        <v>7614.8117356735856</v>
      </c>
      <c r="N188" s="40">
        <f t="shared" si="70"/>
        <v>7843.2560877437936</v>
      </c>
    </row>
    <row r="189" spans="1:14" hidden="1" outlineLevel="1" x14ac:dyDescent="0.3">
      <c r="A189" s="5" t="s">
        <v>20</v>
      </c>
      <c r="D189" s="40">
        <f>D143</f>
        <v>2185.4278673835124</v>
      </c>
      <c r="E189" s="40">
        <f t="shared" ref="E189:N189" si="72">E143</f>
        <v>2688.3960573476706</v>
      </c>
      <c r="F189" s="40">
        <f t="shared" si="72"/>
        <v>2751.0640681003583</v>
      </c>
      <c r="G189" s="40">
        <f t="shared" si="72"/>
        <v>2948.8127240143372</v>
      </c>
      <c r="H189" s="40">
        <f t="shared" si="72"/>
        <v>2564.4547889969067</v>
      </c>
      <c r="I189" s="40">
        <f t="shared" si="72"/>
        <v>2641.3884326668144</v>
      </c>
      <c r="J189" s="40">
        <f t="shared" si="72"/>
        <v>2684.8323213619924</v>
      </c>
      <c r="K189" s="40">
        <f t="shared" si="72"/>
        <v>2728.5055937894813</v>
      </c>
      <c r="L189" s="40">
        <f t="shared" si="72"/>
        <v>2772.3829134733928</v>
      </c>
      <c r="M189" s="40">
        <f t="shared" si="72"/>
        <v>2855.5544008775946</v>
      </c>
      <c r="N189" s="40">
        <f t="shared" si="72"/>
        <v>2941.2210329039226</v>
      </c>
    </row>
    <row r="190" spans="1:14" hidden="1" outlineLevel="1" x14ac:dyDescent="0.3">
      <c r="A190" s="28" t="s">
        <v>41</v>
      </c>
      <c r="B190" s="28"/>
      <c r="C190" s="69"/>
      <c r="D190" s="124">
        <f>SUM(D187+D188-D189)</f>
        <v>5041.8066756272401</v>
      </c>
      <c r="E190" s="124">
        <f t="shared" ref="E190:G190" si="73">SUM(E187+E188-E189)</f>
        <v>5995.0156810035842</v>
      </c>
      <c r="F190" s="124">
        <f t="shared" si="73"/>
        <v>6428.9594534050175</v>
      </c>
      <c r="G190" s="124">
        <f t="shared" si="73"/>
        <v>6934.6158154121877</v>
      </c>
      <c r="H190" s="124">
        <f t="shared" ref="H190:N190" si="74">H187+H188-H189</f>
        <v>6523.6130597289739</v>
      </c>
      <c r="I190" s="124">
        <f t="shared" si="74"/>
        <v>6719.3214515208438</v>
      </c>
      <c r="J190" s="124">
        <f t="shared" si="74"/>
        <v>6861.2381545917569</v>
      </c>
      <c r="K190" s="124">
        <f t="shared" si="74"/>
        <v>7005.6224705405584</v>
      </c>
      <c r="L190" s="124">
        <f t="shared" si="74"/>
        <v>7152.4947311071555</v>
      </c>
      <c r="M190" s="124">
        <f t="shared" si="74"/>
        <v>7367.0695730403713</v>
      </c>
      <c r="N190" s="124">
        <f t="shared" si="74"/>
        <v>7588.0816602315808</v>
      </c>
    </row>
    <row r="191" spans="1:14" hidden="1" outlineLevel="1" x14ac:dyDescent="0.3">
      <c r="A191" s="36" t="s">
        <v>211</v>
      </c>
      <c r="B191" s="36"/>
      <c r="C191" s="75"/>
      <c r="D191" s="102"/>
      <c r="E191" s="102"/>
      <c r="F191" s="102"/>
      <c r="G191" s="102"/>
      <c r="H191" s="91">
        <f>-(F75+F76)</f>
        <v>1583.4285394265239</v>
      </c>
    </row>
    <row r="192" spans="1:14" hidden="1" outlineLevel="1" x14ac:dyDescent="0.3">
      <c r="A192" s="28" t="s">
        <v>42</v>
      </c>
      <c r="B192" s="28"/>
      <c r="C192" s="69"/>
      <c r="D192" s="124">
        <f>D190-C190+D191</f>
        <v>5041.8066756272401</v>
      </c>
      <c r="E192" s="124">
        <f t="shared" ref="E192:N192" si="75">E190-D190+E191</f>
        <v>953.20900537634407</v>
      </c>
      <c r="F192" s="124">
        <f t="shared" si="75"/>
        <v>433.94377240143331</v>
      </c>
      <c r="G192" s="124">
        <f t="shared" si="75"/>
        <v>505.65636200717017</v>
      </c>
      <c r="H192" s="124">
        <f t="shared" si="75"/>
        <v>1172.4257837433101</v>
      </c>
      <c r="I192" s="124">
        <f t="shared" si="75"/>
        <v>195.70839179186987</v>
      </c>
      <c r="J192" s="124">
        <f t="shared" si="75"/>
        <v>141.91670307091317</v>
      </c>
      <c r="K192" s="124">
        <f t="shared" si="75"/>
        <v>144.38431594880149</v>
      </c>
      <c r="L192" s="124">
        <f t="shared" si="75"/>
        <v>146.87226056659711</v>
      </c>
      <c r="M192" s="124">
        <f t="shared" si="75"/>
        <v>214.57484193321579</v>
      </c>
      <c r="N192" s="124">
        <f t="shared" si="75"/>
        <v>221.0120871912095</v>
      </c>
    </row>
    <row r="193" spans="1:14" hidden="1" outlineLevel="1" x14ac:dyDescent="0.3">
      <c r="D193" s="40"/>
      <c r="E193" s="40"/>
      <c r="F193" s="40"/>
      <c r="G193" s="40"/>
      <c r="H193" s="91"/>
      <c r="I193" s="40"/>
      <c r="J193" s="40"/>
      <c r="K193" s="40"/>
      <c r="L193" s="40"/>
      <c r="M193" s="40"/>
      <c r="N193" s="40"/>
    </row>
    <row r="194" spans="1:14" hidden="1" outlineLevel="1" x14ac:dyDescent="0.3">
      <c r="A194" s="44" t="s">
        <v>43</v>
      </c>
      <c r="D194" s="40"/>
      <c r="E194" s="40"/>
      <c r="F194" s="40"/>
      <c r="G194" s="40"/>
      <c r="H194" s="91"/>
      <c r="I194" s="40"/>
      <c r="J194" s="40"/>
      <c r="K194" s="40"/>
      <c r="L194" s="40"/>
      <c r="M194" s="40"/>
      <c r="N194" s="40"/>
    </row>
    <row r="195" spans="1:14" hidden="1" outlineLevel="1" x14ac:dyDescent="0.3">
      <c r="A195" s="5" t="s">
        <v>44</v>
      </c>
      <c r="D195" s="40">
        <f>D198+D197-D196</f>
        <v>28001.792114695338</v>
      </c>
      <c r="E195" s="40">
        <f>D198</f>
        <v>25481.630824372758</v>
      </c>
      <c r="F195" s="40">
        <f t="shared" ref="F195:G195" si="76">E198</f>
        <v>23717.517921146951</v>
      </c>
      <c r="G195" s="40">
        <f t="shared" si="76"/>
        <v>22482.638888888891</v>
      </c>
      <c r="H195" s="123">
        <f>L272</f>
        <v>32000</v>
      </c>
      <c r="I195" s="5">
        <f>H198</f>
        <v>32579.141213037634</v>
      </c>
      <c r="J195" s="5">
        <f t="shared" ref="J195:N195" si="77">I198</f>
        <v>33251.828419858866</v>
      </c>
      <c r="K195" s="5">
        <f t="shared" si="77"/>
        <v>33570.094183333335</v>
      </c>
      <c r="L195" s="5">
        <f t="shared" si="77"/>
        <v>34033.765737536291</v>
      </c>
      <c r="M195" s="5">
        <f t="shared" si="77"/>
        <v>34620.033692624747</v>
      </c>
      <c r="N195" s="5">
        <f t="shared" si="77"/>
        <v>34834.912956293781</v>
      </c>
    </row>
    <row r="196" spans="1:14" hidden="1" outlineLevel="1" x14ac:dyDescent="0.3">
      <c r="A196" s="5" t="s">
        <v>45</v>
      </c>
      <c r="D196" s="40">
        <f>-D166</f>
        <v>8400.5376344086017</v>
      </c>
      <c r="E196" s="40">
        <f>-E166</f>
        <v>8400.5376344086017</v>
      </c>
      <c r="F196" s="40">
        <f t="shared" ref="F196:G196" si="78">-F166</f>
        <v>8400.5376344086017</v>
      </c>
      <c r="G196" s="40">
        <f t="shared" si="78"/>
        <v>8400.5376344086017</v>
      </c>
      <c r="H196" s="91">
        <f>H46*H113</f>
        <v>6979.1412130376348</v>
      </c>
      <c r="I196" s="91">
        <f>I46*I113</f>
        <v>7188.5154494287644</v>
      </c>
      <c r="J196" s="91">
        <f t="shared" ref="J196:N196" si="79">J46*J113</f>
        <v>6968.6314474462379</v>
      </c>
      <c r="K196" s="91">
        <f t="shared" si="79"/>
        <v>7177.6903908696258</v>
      </c>
      <c r="L196" s="91">
        <f t="shared" si="79"/>
        <v>7393.0211025957151</v>
      </c>
      <c r="M196" s="91">
        <f t="shared" si="79"/>
        <v>7138.8860021939872</v>
      </c>
      <c r="N196" s="91">
        <f t="shared" si="79"/>
        <v>7353.0525822598065</v>
      </c>
    </row>
    <row r="197" spans="1:14" hidden="1" outlineLevel="1" x14ac:dyDescent="0.3">
      <c r="A197" s="5" t="s">
        <v>46</v>
      </c>
      <c r="C197" s="111"/>
      <c r="D197" s="40">
        <f>D121</f>
        <v>10920.698924731183</v>
      </c>
      <c r="E197" s="40">
        <f>E121</f>
        <v>10164.650537634408</v>
      </c>
      <c r="F197" s="40">
        <f t="shared" ref="F197:G197" si="80">F121</f>
        <v>9635.4166666666661</v>
      </c>
      <c r="G197" s="40">
        <f t="shared" si="80"/>
        <v>9264.9529569892475</v>
      </c>
      <c r="H197" s="91">
        <f>H195*H47</f>
        <v>6400</v>
      </c>
      <c r="I197" s="91">
        <f>I195*I47</f>
        <v>6515.8282426075275</v>
      </c>
      <c r="J197" s="91">
        <f t="shared" ref="J197:N197" si="81">J195*J47</f>
        <v>6650.3656839717733</v>
      </c>
      <c r="K197" s="91">
        <f t="shared" si="81"/>
        <v>6714.0188366666671</v>
      </c>
      <c r="L197" s="91">
        <f t="shared" si="81"/>
        <v>6806.7531475072583</v>
      </c>
      <c r="M197" s="91">
        <f t="shared" si="81"/>
        <v>6924.0067385249495</v>
      </c>
      <c r="N197" s="91">
        <f t="shared" si="81"/>
        <v>6966.9825912587567</v>
      </c>
    </row>
    <row r="198" spans="1:14" hidden="1" outlineLevel="1" x14ac:dyDescent="0.3">
      <c r="A198" s="28" t="s">
        <v>47</v>
      </c>
      <c r="B198" s="28"/>
      <c r="C198" s="69"/>
      <c r="D198" s="124">
        <f>D137</f>
        <v>25481.630824372758</v>
      </c>
      <c r="E198" s="124">
        <f>E195+E196-E197</f>
        <v>23717.517921146951</v>
      </c>
      <c r="F198" s="124">
        <f t="shared" ref="F198:N198" si="82">F195+F196-F197</f>
        <v>22482.638888888891</v>
      </c>
      <c r="G198" s="124">
        <f t="shared" si="82"/>
        <v>21618.223566308247</v>
      </c>
      <c r="H198" s="124">
        <f t="shared" si="82"/>
        <v>32579.141213037634</v>
      </c>
      <c r="I198" s="124">
        <f t="shared" si="82"/>
        <v>33251.828419858866</v>
      </c>
      <c r="J198" s="124">
        <f t="shared" si="82"/>
        <v>33570.094183333335</v>
      </c>
      <c r="K198" s="124">
        <f t="shared" si="82"/>
        <v>34033.765737536291</v>
      </c>
      <c r="L198" s="124">
        <f t="shared" si="82"/>
        <v>34620.033692624747</v>
      </c>
      <c r="M198" s="124">
        <f t="shared" si="82"/>
        <v>34834.912956293781</v>
      </c>
      <c r="N198" s="124">
        <f t="shared" si="82"/>
        <v>35220.982947294833</v>
      </c>
    </row>
    <row r="199" spans="1:14" hidden="1" outlineLevel="1" x14ac:dyDescent="0.3">
      <c r="A199" s="36"/>
      <c r="B199" s="36"/>
      <c r="C199" s="75"/>
      <c r="D199" s="102"/>
      <c r="E199" s="102"/>
      <c r="F199" s="102"/>
      <c r="G199" s="102"/>
      <c r="H199" s="102"/>
      <c r="I199" s="102"/>
      <c r="J199" s="102"/>
      <c r="K199" s="102"/>
      <c r="L199" s="102"/>
      <c r="M199" s="102"/>
      <c r="N199" s="102"/>
    </row>
    <row r="200" spans="1:14" collapsed="1" x14ac:dyDescent="0.3">
      <c r="A200" s="119"/>
      <c r="B200" s="119"/>
      <c r="C200" s="120"/>
      <c r="D200" s="119"/>
      <c r="E200" s="119"/>
      <c r="F200" s="119"/>
      <c r="G200" s="119"/>
      <c r="H200" s="34"/>
    </row>
    <row r="201" spans="1:14" ht="21" x14ac:dyDescent="0.4">
      <c r="A201" s="14" t="s">
        <v>137</v>
      </c>
      <c r="B201" s="15"/>
      <c r="C201" s="16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</row>
    <row r="202" spans="1:14" ht="17.399999999999999" hidden="1" outlineLevel="1" x14ac:dyDescent="0.35">
      <c r="D202" s="93">
        <f t="shared" ref="D202:N202" si="83">D157</f>
        <v>2021</v>
      </c>
      <c r="E202" s="93">
        <f t="shared" si="83"/>
        <v>2022</v>
      </c>
      <c r="F202" s="93">
        <f t="shared" si="83"/>
        <v>2023</v>
      </c>
      <c r="G202" s="93">
        <f t="shared" si="83"/>
        <v>2024</v>
      </c>
      <c r="H202" s="94">
        <f t="shared" si="83"/>
        <v>2025</v>
      </c>
      <c r="I202" s="94">
        <f t="shared" si="83"/>
        <v>2026</v>
      </c>
      <c r="J202" s="94">
        <f t="shared" si="83"/>
        <v>2027</v>
      </c>
      <c r="K202" s="94">
        <f t="shared" si="83"/>
        <v>2028</v>
      </c>
      <c r="L202" s="94">
        <f t="shared" si="83"/>
        <v>2029</v>
      </c>
      <c r="M202" s="94">
        <f t="shared" si="83"/>
        <v>2030</v>
      </c>
      <c r="N202" s="94">
        <f t="shared" si="83"/>
        <v>2031</v>
      </c>
    </row>
    <row r="203" spans="1:14" hidden="1" outlineLevel="1" x14ac:dyDescent="0.3">
      <c r="A203" s="28"/>
      <c r="B203" s="28"/>
      <c r="C203" s="69"/>
      <c r="D203" s="67"/>
      <c r="E203" s="67"/>
      <c r="F203" s="67"/>
      <c r="G203" s="67"/>
      <c r="H203" s="67"/>
      <c r="I203" s="28"/>
      <c r="J203" s="28"/>
      <c r="K203" s="28"/>
      <c r="L203" s="28"/>
      <c r="M203" s="28"/>
      <c r="N203" s="28"/>
    </row>
    <row r="204" spans="1:14" hidden="1" outlineLevel="1" x14ac:dyDescent="0.3">
      <c r="A204" s="125" t="s">
        <v>161</v>
      </c>
      <c r="B204" s="126"/>
      <c r="C204" s="127"/>
      <c r="D204" s="126"/>
      <c r="E204" s="126"/>
      <c r="F204" s="126"/>
      <c r="G204" s="126"/>
      <c r="H204" s="126"/>
      <c r="I204" s="126"/>
      <c r="J204" s="126"/>
      <c r="K204" s="126"/>
      <c r="L204" s="126"/>
      <c r="M204" s="126"/>
      <c r="N204" s="126"/>
    </row>
    <row r="205" spans="1:14" hidden="1" outlineLevel="1" x14ac:dyDescent="0.3">
      <c r="A205" s="36" t="s">
        <v>31</v>
      </c>
      <c r="B205" s="102"/>
      <c r="C205" s="128"/>
      <c r="D205" s="102"/>
      <c r="E205" s="102"/>
      <c r="F205" s="102"/>
      <c r="G205" s="102"/>
      <c r="H205" s="102">
        <f ca="1">H163</f>
        <v>16523.630884608778</v>
      </c>
      <c r="I205" s="102">
        <f t="shared" ref="I205:N205" ca="1" si="84">I163</f>
        <v>18060.205790773609</v>
      </c>
      <c r="J205" s="102">
        <f t="shared" ca="1" si="84"/>
        <v>18494.742238756306</v>
      </c>
      <c r="K205" s="102">
        <f t="shared" ca="1" si="84"/>
        <v>19429.34260223588</v>
      </c>
      <c r="L205" s="102">
        <f t="shared" ca="1" si="84"/>
        <v>19488.379294720871</v>
      </c>
      <c r="M205" s="102">
        <f t="shared" ca="1" si="84"/>
        <v>20556.688375030717</v>
      </c>
      <c r="N205" s="102">
        <f t="shared" ca="1" si="84"/>
        <v>21586.404005549797</v>
      </c>
    </row>
    <row r="206" spans="1:14" hidden="1" outlineLevel="1" x14ac:dyDescent="0.3">
      <c r="A206" s="36" t="s">
        <v>158</v>
      </c>
      <c r="B206" s="102"/>
      <c r="C206" s="128"/>
      <c r="D206" s="102"/>
      <c r="E206" s="102"/>
      <c r="F206" s="102"/>
      <c r="G206" s="102"/>
      <c r="H206" s="102">
        <f>H168</f>
        <v>-6979.1412130376348</v>
      </c>
      <c r="I206" s="102">
        <f t="shared" ref="I206:N206" si="85">I168</f>
        <v>-7188.5154494287644</v>
      </c>
      <c r="J206" s="102">
        <f t="shared" si="85"/>
        <v>-6968.6314474462379</v>
      </c>
      <c r="K206" s="102">
        <f t="shared" si="85"/>
        <v>-7177.6903908696258</v>
      </c>
      <c r="L206" s="102">
        <f t="shared" si="85"/>
        <v>-7393.0211025957151</v>
      </c>
      <c r="M206" s="102">
        <f t="shared" si="85"/>
        <v>-7138.8860021939872</v>
      </c>
      <c r="N206" s="102">
        <f t="shared" si="85"/>
        <v>-7353.0525822598065</v>
      </c>
    </row>
    <row r="207" spans="1:14" hidden="1" outlineLevel="1" x14ac:dyDescent="0.3">
      <c r="A207" s="36" t="s">
        <v>212</v>
      </c>
      <c r="B207" s="102"/>
      <c r="C207" s="128"/>
      <c r="D207" s="102"/>
      <c r="E207" s="102"/>
      <c r="F207" s="102"/>
      <c r="G207" s="102"/>
      <c r="H207" s="102">
        <f>-H254</f>
        <v>-10000</v>
      </c>
      <c r="I207" s="102">
        <f t="shared" ref="I207:N207" ca="1" si="86">-I254</f>
        <v>-10000</v>
      </c>
      <c r="J207" s="102">
        <f t="shared" ca="1" si="86"/>
        <v>-10000</v>
      </c>
      <c r="K207" s="102">
        <f t="shared" ca="1" si="86"/>
        <v>-10000</v>
      </c>
      <c r="L207" s="102">
        <f t="shared" ca="1" si="86"/>
        <v>-35000</v>
      </c>
      <c r="M207" s="102">
        <f t="shared" ca="1" si="86"/>
        <v>-25000</v>
      </c>
      <c r="N207" s="102">
        <f t="shared" ca="1" si="86"/>
        <v>-11250</v>
      </c>
    </row>
    <row r="208" spans="1:14" hidden="1" outlineLevel="1" x14ac:dyDescent="0.3">
      <c r="A208" s="36" t="s">
        <v>160</v>
      </c>
      <c r="B208" s="102"/>
      <c r="C208" s="128"/>
      <c r="D208" s="102"/>
      <c r="E208" s="102"/>
      <c r="F208" s="102"/>
      <c r="G208" s="102"/>
      <c r="H208" s="129"/>
      <c r="I208" s="129"/>
      <c r="J208" s="129"/>
      <c r="K208" s="129"/>
      <c r="L208" s="129"/>
      <c r="M208" s="129"/>
      <c r="N208" s="129"/>
    </row>
    <row r="209" spans="1:14" hidden="1" outlineLevel="1" x14ac:dyDescent="0.3">
      <c r="A209" s="46" t="s">
        <v>162</v>
      </c>
      <c r="B209" s="103"/>
      <c r="C209" s="130"/>
      <c r="D209" s="103"/>
      <c r="E209" s="103"/>
      <c r="F209" s="103"/>
      <c r="G209" s="103"/>
      <c r="H209" s="103">
        <f ca="1">SUM(H205:H208)</f>
        <v>-866.0480468428359</v>
      </c>
      <c r="I209" s="103">
        <f t="shared" ref="I209:N209" ca="1" si="87">SUM(I205:I208)</f>
        <v>485.78488603570622</v>
      </c>
      <c r="J209" s="103">
        <f t="shared" ca="1" si="87"/>
        <v>768.83291592364549</v>
      </c>
      <c r="K209" s="103">
        <f t="shared" ca="1" si="87"/>
        <v>759.1554732792265</v>
      </c>
      <c r="L209" s="103">
        <f t="shared" ca="1" si="87"/>
        <v>-24181.807834235784</v>
      </c>
      <c r="M209" s="103">
        <f t="shared" ca="1" si="87"/>
        <v>-13113.498753925936</v>
      </c>
      <c r="N209" s="103">
        <f t="shared" ca="1" si="87"/>
        <v>1666.2168765931438</v>
      </c>
    </row>
    <row r="210" spans="1:14" hidden="1" outlineLevel="1" x14ac:dyDescent="0.3">
      <c r="A210" s="84"/>
      <c r="B210" s="107"/>
      <c r="C210" s="131"/>
      <c r="D210" s="107"/>
      <c r="E210" s="107"/>
      <c r="F210" s="107"/>
      <c r="G210" s="107"/>
      <c r="H210" s="107"/>
      <c r="I210" s="107"/>
      <c r="J210" s="107"/>
      <c r="K210" s="107"/>
      <c r="L210" s="107"/>
      <c r="M210" s="107"/>
      <c r="N210" s="107"/>
    </row>
    <row r="211" spans="1:14" hidden="1" outlineLevel="1" x14ac:dyDescent="0.3">
      <c r="A211" s="36" t="s">
        <v>38</v>
      </c>
      <c r="B211" s="102"/>
      <c r="C211" s="128"/>
      <c r="D211" s="102"/>
      <c r="E211" s="102"/>
      <c r="F211" s="102"/>
      <c r="G211" s="102"/>
      <c r="H211" s="102">
        <f ca="1">H179</f>
        <v>9999.9999999999927</v>
      </c>
      <c r="I211" s="102">
        <f t="shared" ref="I211:N211" ca="1" si="88">I179</f>
        <v>9999.9999999999927</v>
      </c>
      <c r="J211" s="102">
        <f t="shared" ca="1" si="88"/>
        <v>9999.9999999999927</v>
      </c>
      <c r="K211" s="102">
        <f t="shared" ca="1" si="88"/>
        <v>9999.9999999999927</v>
      </c>
      <c r="L211" s="102">
        <f t="shared" ca="1" si="88"/>
        <v>10000.000000000049</v>
      </c>
      <c r="M211" s="102">
        <f t="shared" ca="1" si="88"/>
        <v>9999.9999999997599</v>
      </c>
      <c r="N211" s="102">
        <f t="shared" ca="1" si="88"/>
        <v>10000.000000042617</v>
      </c>
    </row>
    <row r="212" spans="1:14" hidden="1" outlineLevel="1" x14ac:dyDescent="0.3">
      <c r="A212" s="36" t="s">
        <v>163</v>
      </c>
      <c r="B212" s="102"/>
      <c r="C212" s="128"/>
      <c r="D212" s="102"/>
      <c r="E212" s="102"/>
      <c r="F212" s="102"/>
      <c r="G212" s="102"/>
      <c r="H212" s="102">
        <f ca="1">H209</f>
        <v>-866.0480468428359</v>
      </c>
      <c r="I212" s="102">
        <f t="shared" ref="I212:N212" ca="1" si="89">I209</f>
        <v>485.78488603570622</v>
      </c>
      <c r="J212" s="102">
        <f t="shared" ca="1" si="89"/>
        <v>768.83291592364549</v>
      </c>
      <c r="K212" s="102">
        <f t="shared" ca="1" si="89"/>
        <v>759.1554732792265</v>
      </c>
      <c r="L212" s="102">
        <f t="shared" ca="1" si="89"/>
        <v>-24181.807834235784</v>
      </c>
      <c r="M212" s="102">
        <f t="shared" ca="1" si="89"/>
        <v>-13113.498753925936</v>
      </c>
      <c r="N212" s="102">
        <f t="shared" ca="1" si="89"/>
        <v>1666.2168765931438</v>
      </c>
    </row>
    <row r="213" spans="1:14" hidden="1" outlineLevel="1" x14ac:dyDescent="0.3">
      <c r="A213" s="36" t="s">
        <v>164</v>
      </c>
      <c r="B213" s="102"/>
      <c r="C213" s="128"/>
      <c r="D213" s="102"/>
      <c r="E213" s="102"/>
      <c r="F213" s="102"/>
      <c r="G213" s="102"/>
      <c r="H213" s="102">
        <f>-$D$23</f>
        <v>-10000</v>
      </c>
      <c r="I213" s="102">
        <f t="shared" ref="I213:N213" si="90">-$D$23</f>
        <v>-10000</v>
      </c>
      <c r="J213" s="102">
        <f t="shared" si="90"/>
        <v>-10000</v>
      </c>
      <c r="K213" s="102">
        <f t="shared" si="90"/>
        <v>-10000</v>
      </c>
      <c r="L213" s="102">
        <f t="shared" si="90"/>
        <v>-10000</v>
      </c>
      <c r="M213" s="102">
        <f t="shared" si="90"/>
        <v>-10000</v>
      </c>
      <c r="N213" s="102">
        <f t="shared" si="90"/>
        <v>-10000</v>
      </c>
    </row>
    <row r="214" spans="1:14" hidden="1" outlineLevel="1" x14ac:dyDescent="0.3">
      <c r="A214" s="46" t="s">
        <v>165</v>
      </c>
      <c r="B214" s="103"/>
      <c r="C214" s="130"/>
      <c r="D214" s="103"/>
      <c r="E214" s="103"/>
      <c r="F214" s="103"/>
      <c r="G214" s="103"/>
      <c r="H214" s="103">
        <f ca="1">SUM(H211:H213)</f>
        <v>-866.04804684284318</v>
      </c>
      <c r="I214" s="103">
        <f t="shared" ref="I214:N214" ca="1" si="91">SUM(I211:I213)</f>
        <v>485.78488603569895</v>
      </c>
      <c r="J214" s="103">
        <f t="shared" ca="1" si="91"/>
        <v>768.83291592363821</v>
      </c>
      <c r="K214" s="103">
        <f t="shared" ca="1" si="91"/>
        <v>759.15547327921922</v>
      </c>
      <c r="L214" s="103">
        <f t="shared" ca="1" si="91"/>
        <v>-24181.807834235733</v>
      </c>
      <c r="M214" s="103">
        <f t="shared" ca="1" si="91"/>
        <v>-13113.498753926177</v>
      </c>
      <c r="N214" s="103">
        <f t="shared" ca="1" si="91"/>
        <v>1666.2168766357609</v>
      </c>
    </row>
    <row r="215" spans="1:14" hidden="1" outlineLevel="1" x14ac:dyDescent="0.3">
      <c r="A215" s="36" t="s">
        <v>166</v>
      </c>
      <c r="B215" s="102"/>
      <c r="C215" s="128"/>
      <c r="D215" s="102"/>
      <c r="E215" s="102"/>
      <c r="F215" s="102"/>
      <c r="G215" s="102"/>
      <c r="H215" s="102">
        <f ca="1">-H223</f>
        <v>0</v>
      </c>
      <c r="I215" s="102">
        <f t="shared" ref="I215:N215" ca="1" si="92">-I223</f>
        <v>-485.78488603569895</v>
      </c>
      <c r="J215" s="102">
        <f t="shared" ca="1" si="92"/>
        <v>-768.83291592363821</v>
      </c>
      <c r="K215" s="102">
        <f t="shared" ca="1" si="92"/>
        <v>-759.15547327923377</v>
      </c>
      <c r="L215" s="102">
        <f t="shared" ca="1" si="92"/>
        <v>0</v>
      </c>
      <c r="M215" s="102">
        <f t="shared" ca="1" si="92"/>
        <v>0</v>
      </c>
      <c r="N215" s="102">
        <f t="shared" ca="1" si="92"/>
        <v>-1666.216876739627</v>
      </c>
    </row>
    <row r="216" spans="1:14" hidden="1" outlineLevel="1" x14ac:dyDescent="0.3">
      <c r="A216" s="46" t="s">
        <v>167</v>
      </c>
      <c r="B216" s="103"/>
      <c r="C216" s="130"/>
      <c r="D216" s="103"/>
      <c r="E216" s="103"/>
      <c r="F216" s="103"/>
      <c r="G216" s="103"/>
      <c r="H216" s="103">
        <f ca="1">SUM(H214:H215)</f>
        <v>-866.04804684284318</v>
      </c>
      <c r="I216" s="103">
        <f t="shared" ref="I216:N216" ca="1" si="93">SUM(I214:I215)</f>
        <v>0</v>
      </c>
      <c r="J216" s="103">
        <f t="shared" ca="1" si="93"/>
        <v>0</v>
      </c>
      <c r="K216" s="103">
        <f t="shared" ca="1" si="93"/>
        <v>-1.4551915228366852E-11</v>
      </c>
      <c r="L216" s="103">
        <f t="shared" ca="1" si="93"/>
        <v>-24181.807834235733</v>
      </c>
      <c r="M216" s="103">
        <f t="shared" ca="1" si="93"/>
        <v>-13113.498753926177</v>
      </c>
      <c r="N216" s="103">
        <f t="shared" ca="1" si="93"/>
        <v>-1.0386611393187195E-7</v>
      </c>
    </row>
    <row r="217" spans="1:14" hidden="1" outlineLevel="1" x14ac:dyDescent="0.3">
      <c r="A217" s="84"/>
      <c r="B217" s="107"/>
      <c r="C217" s="131"/>
      <c r="D217" s="107"/>
      <c r="E217" s="107"/>
      <c r="F217" s="107"/>
      <c r="G217" s="107"/>
      <c r="H217" s="107"/>
      <c r="I217" s="107"/>
      <c r="J217" s="107"/>
      <c r="K217" s="107"/>
      <c r="L217" s="107"/>
      <c r="M217" s="107"/>
      <c r="N217" s="107"/>
    </row>
    <row r="218" spans="1:14" hidden="1" outlineLevel="1" x14ac:dyDescent="0.3">
      <c r="A218" s="36" t="s">
        <v>178</v>
      </c>
      <c r="B218" s="107"/>
      <c r="C218" s="131"/>
      <c r="D218" s="107"/>
      <c r="E218" s="107"/>
      <c r="F218" s="107"/>
      <c r="G218" s="107"/>
      <c r="H218" s="102">
        <f ca="1">H255</f>
        <v>0</v>
      </c>
      <c r="I218" s="102">
        <f t="shared" ref="I218:N218" ca="1" si="94">I255</f>
        <v>0</v>
      </c>
      <c r="J218" s="102">
        <f t="shared" ca="1" si="94"/>
        <v>0</v>
      </c>
      <c r="K218" s="102">
        <f t="shared" ca="1" si="94"/>
        <v>2.1827872842550278E-11</v>
      </c>
      <c r="L218" s="102">
        <f t="shared" ca="1" si="94"/>
        <v>0</v>
      </c>
      <c r="M218" s="102">
        <f t="shared" ca="1" si="94"/>
        <v>0</v>
      </c>
      <c r="N218" s="102">
        <f t="shared" ca="1" si="94"/>
        <v>0</v>
      </c>
    </row>
    <row r="219" spans="1:14" hidden="1" outlineLevel="1" x14ac:dyDescent="0.3">
      <c r="A219" s="36"/>
      <c r="B219" s="102"/>
      <c r="C219" s="128"/>
      <c r="D219" s="102"/>
      <c r="E219" s="102"/>
      <c r="F219" s="102"/>
      <c r="G219" s="102"/>
      <c r="H219" s="102"/>
      <c r="I219" s="102"/>
      <c r="J219" s="102"/>
      <c r="K219" s="102"/>
      <c r="L219" s="102"/>
      <c r="M219" s="102"/>
      <c r="N219" s="102"/>
    </row>
    <row r="220" spans="1:14" s="87" customFormat="1" hidden="1" outlineLevel="1" x14ac:dyDescent="0.3">
      <c r="A220" s="125" t="str">
        <f>'[1]LBO Model'!$A$220</f>
        <v>Line of Credit</v>
      </c>
      <c r="B220" s="126"/>
      <c r="C220" s="127"/>
      <c r="D220" s="126"/>
      <c r="E220" s="126"/>
      <c r="F220" s="126"/>
      <c r="G220" s="126"/>
      <c r="H220" s="126"/>
      <c r="I220" s="126"/>
      <c r="J220" s="126"/>
      <c r="K220" s="126"/>
      <c r="L220" s="126"/>
      <c r="M220" s="126"/>
      <c r="N220" s="126"/>
    </row>
    <row r="221" spans="1:14" s="87" customFormat="1" hidden="1" outlineLevel="1" x14ac:dyDescent="0.3">
      <c r="A221" s="91" t="s">
        <v>88</v>
      </c>
      <c r="B221" s="91"/>
      <c r="C221" s="132"/>
      <c r="D221" s="91"/>
      <c r="E221" s="91"/>
      <c r="F221" s="91"/>
      <c r="G221" s="91"/>
      <c r="H221" s="91">
        <f>G224</f>
        <v>6250</v>
      </c>
      <c r="I221" s="91">
        <f t="shared" ref="I221:N221" ca="1" si="95">H224</f>
        <v>7116.0480468428432</v>
      </c>
      <c r="J221" s="91">
        <f t="shared" ca="1" si="95"/>
        <v>6630.2631608071461</v>
      </c>
      <c r="K221" s="91">
        <f t="shared" ca="1" si="95"/>
        <v>5861.4302448835078</v>
      </c>
      <c r="L221" s="91">
        <f t="shared" ca="1" si="95"/>
        <v>5102.2747716042504</v>
      </c>
      <c r="M221" s="91">
        <f t="shared" ca="1" si="95"/>
        <v>29284.082605839358</v>
      </c>
      <c r="N221" s="91">
        <f t="shared" ca="1" si="95"/>
        <v>42397.581359764939</v>
      </c>
    </row>
    <row r="222" spans="1:14" s="87" customFormat="1" hidden="1" outlineLevel="1" x14ac:dyDescent="0.3">
      <c r="A222" s="91" t="s">
        <v>138</v>
      </c>
      <c r="B222" s="91"/>
      <c r="C222" s="132"/>
      <c r="D222" s="91"/>
      <c r="E222" s="91"/>
      <c r="F222" s="91"/>
      <c r="G222" s="91"/>
      <c r="H222" s="91">
        <f ca="1">IF((H179+H163+H168+H172+H173+H174+H175)&lt;=$D$23,-(H179+H163+H168+H172+H173+H174+H175)+$D$23,0)</f>
        <v>866.04804684284318</v>
      </c>
      <c r="I222" s="91">
        <f t="shared" ref="I222:N222" ca="1" si="96">IF((I179+I163+I168+I172+I173+I174+I175)&lt;=$D$23,-(I179+I163+I168+I172+I173+I174+I175)+$D$23,0)</f>
        <v>1.8189894035458565E-12</v>
      </c>
      <c r="J222" s="91">
        <f t="shared" ca="1" si="96"/>
        <v>0</v>
      </c>
      <c r="K222" s="91">
        <f t="shared" ca="1" si="96"/>
        <v>3.4560798667371273E-11</v>
      </c>
      <c r="L222" s="91">
        <f t="shared" ca="1" si="96"/>
        <v>24181.807834235733</v>
      </c>
      <c r="M222" s="91">
        <f t="shared" ca="1" si="96"/>
        <v>13113.498753926178</v>
      </c>
      <c r="N222" s="91">
        <f t="shared" ca="1" si="96"/>
        <v>1.0386975191067904E-7</v>
      </c>
    </row>
    <row r="223" spans="1:14" s="87" customFormat="1" hidden="1" outlineLevel="1" x14ac:dyDescent="0.3">
      <c r="A223" s="91" t="s">
        <v>139</v>
      </c>
      <c r="B223" s="91"/>
      <c r="C223" s="132"/>
      <c r="D223" s="91"/>
      <c r="E223" s="91"/>
      <c r="F223" s="91"/>
      <c r="G223" s="91"/>
      <c r="H223" s="91">
        <f ca="1">IF(H214&gt;0,IF(H221&gt;0,MIN(H221,H214),0),0)</f>
        <v>0</v>
      </c>
      <c r="I223" s="91">
        <f t="shared" ref="I223:N223" ca="1" si="97">IF(I214&gt;0,IF(I221&gt;0,MIN(I221,I214),0),0)</f>
        <v>485.78488603569895</v>
      </c>
      <c r="J223" s="91">
        <f t="shared" ca="1" si="97"/>
        <v>768.83291592363821</v>
      </c>
      <c r="K223" s="91">
        <f t="shared" ca="1" si="97"/>
        <v>759.15547327921922</v>
      </c>
      <c r="L223" s="91">
        <f t="shared" ca="1" si="97"/>
        <v>0</v>
      </c>
      <c r="M223" s="91">
        <f t="shared" ca="1" si="97"/>
        <v>0</v>
      </c>
      <c r="N223" s="91">
        <f t="shared" ca="1" si="97"/>
        <v>1666.2168766357609</v>
      </c>
    </row>
    <row r="224" spans="1:14" s="87" customFormat="1" hidden="1" outlineLevel="1" x14ac:dyDescent="0.3">
      <c r="A224" s="133" t="s">
        <v>89</v>
      </c>
      <c r="B224" s="133"/>
      <c r="C224" s="134"/>
      <c r="D224" s="133"/>
      <c r="E224" s="133"/>
      <c r="F224" s="133"/>
      <c r="G224" s="133">
        <f>C53</f>
        <v>6250</v>
      </c>
      <c r="H224" s="133">
        <f ca="1">H221+H222-H223</f>
        <v>7116.0480468428432</v>
      </c>
      <c r="I224" s="133">
        <f t="shared" ref="I224:N224" ca="1" si="98">I221+I222-I223</f>
        <v>6630.2631608071461</v>
      </c>
      <c r="J224" s="133">
        <f t="shared" ca="1" si="98"/>
        <v>5861.4302448835078</v>
      </c>
      <c r="K224" s="133">
        <f t="shared" ca="1" si="98"/>
        <v>5102.2747716043232</v>
      </c>
      <c r="L224" s="133">
        <f t="shared" ca="1" si="98"/>
        <v>29284.082605839983</v>
      </c>
      <c r="M224" s="133">
        <f t="shared" ca="1" si="98"/>
        <v>42397.581359765536</v>
      </c>
      <c r="N224" s="133">
        <f t="shared" ca="1" si="98"/>
        <v>40731.364483233046</v>
      </c>
    </row>
    <row r="225" spans="1:14" s="87" customFormat="1" hidden="1" outlineLevel="1" x14ac:dyDescent="0.3">
      <c r="A225" s="91"/>
      <c r="B225" s="91"/>
      <c r="C225" s="132"/>
      <c r="D225" s="91"/>
      <c r="E225" s="91"/>
      <c r="F225" s="91"/>
      <c r="G225" s="91"/>
      <c r="H225" s="91"/>
      <c r="I225" s="91"/>
      <c r="J225" s="91"/>
      <c r="K225" s="91"/>
      <c r="L225" s="91"/>
      <c r="M225" s="91"/>
      <c r="N225" s="91"/>
    </row>
    <row r="226" spans="1:14" s="87" customFormat="1" hidden="1" outlineLevel="1" x14ac:dyDescent="0.3">
      <c r="A226" s="133" t="s">
        <v>140</v>
      </c>
      <c r="B226" s="133"/>
      <c r="C226" s="134"/>
      <c r="D226" s="133"/>
      <c r="E226" s="133"/>
      <c r="F226" s="133"/>
      <c r="G226" s="133"/>
      <c r="H226" s="133">
        <f ca="1">AVERAGE(G224:H224)*$F$53</f>
        <v>200.49072070264265</v>
      </c>
      <c r="I226" s="133">
        <f t="shared" ref="I226:N226" ca="1" si="99">AVERAGE(H224:I224)*$F$53</f>
        <v>206.19466811474982</v>
      </c>
      <c r="J226" s="133">
        <f t="shared" ca="1" si="99"/>
        <v>187.37540108535981</v>
      </c>
      <c r="K226" s="133">
        <f t="shared" ca="1" si="99"/>
        <v>164.45557524731746</v>
      </c>
      <c r="L226" s="133">
        <f t="shared" ca="1" si="99"/>
        <v>515.79536066166463</v>
      </c>
      <c r="M226" s="133">
        <f t="shared" ca="1" si="99"/>
        <v>1075.2249594840828</v>
      </c>
      <c r="N226" s="133">
        <f t="shared" ca="1" si="99"/>
        <v>1246.9341876449787</v>
      </c>
    </row>
    <row r="227" spans="1:14" s="87" customFormat="1" hidden="1" outlineLevel="1" x14ac:dyDescent="0.3">
      <c r="A227" s="99"/>
      <c r="C227" s="79"/>
      <c r="D227" s="41"/>
      <c r="E227" s="41"/>
      <c r="F227" s="41"/>
      <c r="G227" s="41"/>
      <c r="H227" s="41"/>
    </row>
    <row r="228" spans="1:14" s="87" customFormat="1" hidden="1" outlineLevel="1" x14ac:dyDescent="0.3">
      <c r="A228" s="125" t="str">
        <f>'[1]LBO Model'!$A$228</f>
        <v>Term Loan 1</v>
      </c>
      <c r="B228" s="126"/>
      <c r="C228" s="127" t="str">
        <f ca="1">IF(ABS(SUM(H230:N231)-G232)&gt;0.01,"ERROR","OK")</f>
        <v>OK</v>
      </c>
      <c r="D228" s="126"/>
      <c r="E228" s="126"/>
      <c r="F228" s="126"/>
      <c r="G228" s="126"/>
      <c r="H228" s="126"/>
      <c r="I228" s="126"/>
      <c r="J228" s="126"/>
      <c r="K228" s="126"/>
      <c r="L228" s="126"/>
      <c r="M228" s="126"/>
      <c r="N228" s="126"/>
    </row>
    <row r="229" spans="1:14" s="87" customFormat="1" hidden="1" outlineLevel="1" x14ac:dyDescent="0.3">
      <c r="A229" s="91" t="s">
        <v>88</v>
      </c>
      <c r="B229" s="91"/>
      <c r="C229" s="132"/>
      <c r="D229" s="91"/>
      <c r="E229" s="91"/>
      <c r="F229" s="91"/>
      <c r="G229" s="91"/>
      <c r="H229" s="91">
        <f>G232</f>
        <v>50000</v>
      </c>
      <c r="I229" s="91">
        <f t="shared" ref="I229:N229" ca="1" si="100">H232</f>
        <v>45000</v>
      </c>
      <c r="J229" s="91">
        <f t="shared" ca="1" si="100"/>
        <v>40000</v>
      </c>
      <c r="K229" s="91">
        <f t="shared" ca="1" si="100"/>
        <v>35000</v>
      </c>
      <c r="L229" s="91">
        <f t="shared" ca="1" si="100"/>
        <v>29999.999999999989</v>
      </c>
      <c r="M229" s="91">
        <f t="shared" ca="1" si="100"/>
        <v>0</v>
      </c>
      <c r="N229" s="91">
        <f t="shared" ca="1" si="100"/>
        <v>0</v>
      </c>
    </row>
    <row r="230" spans="1:14" s="87" customFormat="1" hidden="1" outlineLevel="1" x14ac:dyDescent="0.3">
      <c r="A230" s="91" t="s">
        <v>142</v>
      </c>
      <c r="B230" s="91"/>
      <c r="C230" s="132"/>
      <c r="D230" s="91"/>
      <c r="E230" s="91"/>
      <c r="F230" s="91"/>
      <c r="G230" s="91"/>
      <c r="H230" s="91">
        <f>MIN($G$232*H54,H229)</f>
        <v>5000</v>
      </c>
      <c r="I230" s="91">
        <f t="shared" ref="I230:N230" ca="1" si="101">MIN($G$232*I54,I229)</f>
        <v>5000</v>
      </c>
      <c r="J230" s="91">
        <f t="shared" ca="1" si="101"/>
        <v>5000</v>
      </c>
      <c r="K230" s="91">
        <f t="shared" ca="1" si="101"/>
        <v>5000</v>
      </c>
      <c r="L230" s="91">
        <f t="shared" ca="1" si="101"/>
        <v>29999.999999999989</v>
      </c>
      <c r="M230" s="91">
        <f t="shared" ca="1" si="101"/>
        <v>0</v>
      </c>
      <c r="N230" s="91">
        <f t="shared" ca="1" si="101"/>
        <v>0</v>
      </c>
    </row>
    <row r="231" spans="1:14" s="87" customFormat="1" hidden="1" outlineLevel="1" x14ac:dyDescent="0.3">
      <c r="A231" s="91" t="s">
        <v>143</v>
      </c>
      <c r="B231" s="91"/>
      <c r="C231" s="135">
        <f>$G$54</f>
        <v>0.5</v>
      </c>
      <c r="D231" s="91"/>
      <c r="E231" s="91"/>
      <c r="F231" s="91"/>
      <c r="G231" s="91"/>
      <c r="H231" s="91">
        <f ca="1">IF(H$216&gt;0,IF(H229-H230&gt;0,MIN(H$216*$C$231,H229-H230),0),0)</f>
        <v>0</v>
      </c>
      <c r="I231" s="91">
        <f t="shared" ref="I231:N231" ca="1" si="102">IF(I$216&gt;0,IF(I229-I230&gt;0,MIN(I$216*$C$231,I229-I230),0),0)</f>
        <v>0</v>
      </c>
      <c r="J231" s="91">
        <f t="shared" ca="1" si="102"/>
        <v>0</v>
      </c>
      <c r="K231" s="91">
        <f t="shared" ca="1" si="102"/>
        <v>0</v>
      </c>
      <c r="L231" s="91">
        <f t="shared" ca="1" si="102"/>
        <v>0</v>
      </c>
      <c r="M231" s="91">
        <f t="shared" ca="1" si="102"/>
        <v>0</v>
      </c>
      <c r="N231" s="91">
        <f t="shared" ca="1" si="102"/>
        <v>0</v>
      </c>
    </row>
    <row r="232" spans="1:14" s="87" customFormat="1" hidden="1" outlineLevel="1" x14ac:dyDescent="0.3">
      <c r="A232" s="133" t="s">
        <v>89</v>
      </c>
      <c r="B232" s="133"/>
      <c r="C232" s="134"/>
      <c r="D232" s="133"/>
      <c r="E232" s="133"/>
      <c r="F232" s="133"/>
      <c r="G232" s="133">
        <f>C54</f>
        <v>50000</v>
      </c>
      <c r="H232" s="133">
        <f ca="1">H229-H230-H231</f>
        <v>45000</v>
      </c>
      <c r="I232" s="133">
        <f t="shared" ref="I232:N232" ca="1" si="103">I229-I230-I231</f>
        <v>40000</v>
      </c>
      <c r="J232" s="133">
        <f t="shared" ca="1" si="103"/>
        <v>35000</v>
      </c>
      <c r="K232" s="133">
        <f t="shared" ca="1" si="103"/>
        <v>30000</v>
      </c>
      <c r="L232" s="133">
        <f t="shared" ca="1" si="103"/>
        <v>0</v>
      </c>
      <c r="M232" s="133">
        <f t="shared" ca="1" si="103"/>
        <v>0</v>
      </c>
      <c r="N232" s="133">
        <f t="shared" ca="1" si="103"/>
        <v>0</v>
      </c>
    </row>
    <row r="233" spans="1:14" s="87" customFormat="1" hidden="1" outlineLevel="1" x14ac:dyDescent="0.3">
      <c r="A233" s="91"/>
      <c r="B233" s="91"/>
      <c r="C233" s="132"/>
      <c r="D233" s="91"/>
      <c r="E233" s="91"/>
      <c r="F233" s="91"/>
      <c r="G233" s="91"/>
      <c r="H233" s="91"/>
      <c r="I233" s="91"/>
      <c r="J233" s="91"/>
      <c r="K233" s="91"/>
      <c r="L233" s="91"/>
      <c r="M233" s="91"/>
      <c r="N233" s="91"/>
    </row>
    <row r="234" spans="1:14" s="87" customFormat="1" hidden="1" outlineLevel="1" x14ac:dyDescent="0.3">
      <c r="A234" s="91" t="s">
        <v>144</v>
      </c>
      <c r="B234" s="91"/>
      <c r="C234" s="132"/>
      <c r="D234" s="91"/>
      <c r="E234" s="91"/>
      <c r="F234" s="91"/>
      <c r="G234" s="91"/>
      <c r="H234" s="91">
        <f ca="1">AVERAGE(G232:H232)*$F$54</f>
        <v>2375</v>
      </c>
      <c r="I234" s="91">
        <f t="shared" ref="I234:N234" ca="1" si="104">AVERAGE(H232:I232)*$F$54</f>
        <v>2125</v>
      </c>
      <c r="J234" s="91">
        <f t="shared" ca="1" si="104"/>
        <v>1875</v>
      </c>
      <c r="K234" s="91">
        <f t="shared" ca="1" si="104"/>
        <v>1625</v>
      </c>
      <c r="L234" s="91">
        <f t="shared" ca="1" si="104"/>
        <v>750</v>
      </c>
      <c r="M234" s="91">
        <f t="shared" ca="1" si="104"/>
        <v>0</v>
      </c>
      <c r="N234" s="91">
        <f t="shared" ca="1" si="104"/>
        <v>0</v>
      </c>
    </row>
    <row r="235" spans="1:14" s="87" customFormat="1" hidden="1" outlineLevel="1" x14ac:dyDescent="0.3">
      <c r="A235" s="99"/>
      <c r="C235" s="79"/>
      <c r="D235" s="41"/>
      <c r="E235" s="41"/>
      <c r="F235" s="41"/>
      <c r="G235" s="41"/>
      <c r="H235" s="41"/>
    </row>
    <row r="236" spans="1:14" s="87" customFormat="1" hidden="1" outlineLevel="1" x14ac:dyDescent="0.3">
      <c r="A236" s="125" t="str">
        <f>'[1]LBO Model'!$A$236</f>
        <v>Term Loan 2</v>
      </c>
      <c r="B236" s="126"/>
      <c r="C236" s="127" t="str">
        <f ca="1">IF(ABS(SUM(H238:N239)-G240)&gt;0.01,"ERROR","OK")</f>
        <v>OK</v>
      </c>
      <c r="D236" s="126"/>
      <c r="E236" s="126"/>
      <c r="F236" s="126"/>
      <c r="G236" s="126"/>
      <c r="H236" s="126"/>
      <c r="I236" s="126"/>
      <c r="J236" s="126"/>
      <c r="K236" s="126"/>
      <c r="L236" s="126"/>
      <c r="M236" s="126"/>
      <c r="N236" s="126"/>
    </row>
    <row r="237" spans="1:14" s="87" customFormat="1" hidden="1" outlineLevel="1" x14ac:dyDescent="0.3">
      <c r="A237" s="91" t="s">
        <v>88</v>
      </c>
      <c r="B237" s="91"/>
      <c r="C237" s="132"/>
      <c r="D237" s="91"/>
      <c r="E237" s="91"/>
      <c r="F237" s="91"/>
      <c r="G237" s="91"/>
      <c r="H237" s="91">
        <f>G240</f>
        <v>50000</v>
      </c>
      <c r="I237" s="91">
        <f t="shared" ref="I237:N237" ca="1" si="105">H240</f>
        <v>45000</v>
      </c>
      <c r="J237" s="91">
        <f t="shared" ca="1" si="105"/>
        <v>40000</v>
      </c>
      <c r="K237" s="91">
        <f t="shared" ca="1" si="105"/>
        <v>35000</v>
      </c>
      <c r="L237" s="91">
        <f t="shared" ca="1" si="105"/>
        <v>29999.999999999989</v>
      </c>
      <c r="M237" s="91">
        <f t="shared" ca="1" si="105"/>
        <v>25000</v>
      </c>
      <c r="N237" s="91">
        <f t="shared" ca="1" si="105"/>
        <v>0</v>
      </c>
    </row>
    <row r="238" spans="1:14" s="87" customFormat="1" hidden="1" outlineLevel="1" x14ac:dyDescent="0.3">
      <c r="A238" s="91" t="s">
        <v>142</v>
      </c>
      <c r="B238" s="91"/>
      <c r="C238" s="132"/>
      <c r="D238" s="91"/>
      <c r="E238" s="91"/>
      <c r="F238" s="91"/>
      <c r="G238" s="91"/>
      <c r="H238" s="91">
        <f>MIN($G$240*H55,H237)</f>
        <v>5000</v>
      </c>
      <c r="I238" s="91">
        <f t="shared" ref="I238:N238" ca="1" si="106">MIN($G$240*I55,I237)</f>
        <v>5000</v>
      </c>
      <c r="J238" s="91">
        <f t="shared" ca="1" si="106"/>
        <v>5000</v>
      </c>
      <c r="K238" s="91">
        <f t="shared" ca="1" si="106"/>
        <v>5000</v>
      </c>
      <c r="L238" s="91">
        <f t="shared" ca="1" si="106"/>
        <v>5000</v>
      </c>
      <c r="M238" s="91">
        <f t="shared" ca="1" si="106"/>
        <v>25000</v>
      </c>
      <c r="N238" s="91">
        <f t="shared" ca="1" si="106"/>
        <v>0</v>
      </c>
    </row>
    <row r="239" spans="1:14" s="87" customFormat="1" hidden="1" outlineLevel="1" x14ac:dyDescent="0.3">
      <c r="A239" s="91" t="s">
        <v>143</v>
      </c>
      <c r="B239" s="91"/>
      <c r="C239" s="135">
        <f>$G$55</f>
        <v>0.5</v>
      </c>
      <c r="D239" s="91"/>
      <c r="E239" s="91"/>
      <c r="F239" s="91"/>
      <c r="G239" s="91"/>
      <c r="H239" s="91">
        <f ca="1">IF(H$216&gt;0,IF(H237-H238&gt;0,MIN(H$216*$C$239,H237-H238),0),0)</f>
        <v>0</v>
      </c>
      <c r="I239" s="91">
        <f t="shared" ref="I239:N239" ca="1" si="107">IF(I$216&gt;0,IF(I237-I238&gt;0,MIN(I$216*$C$239,I237-I238),0),0)</f>
        <v>0</v>
      </c>
      <c r="J239" s="91">
        <f t="shared" ca="1" si="107"/>
        <v>0</v>
      </c>
      <c r="K239" s="91">
        <f t="shared" ca="1" si="107"/>
        <v>0</v>
      </c>
      <c r="L239" s="91">
        <f t="shared" ca="1" si="107"/>
        <v>0</v>
      </c>
      <c r="M239" s="91">
        <f t="shared" ca="1" si="107"/>
        <v>0</v>
      </c>
      <c r="N239" s="91">
        <f t="shared" ca="1" si="107"/>
        <v>0</v>
      </c>
    </row>
    <row r="240" spans="1:14" s="87" customFormat="1" hidden="1" outlineLevel="1" x14ac:dyDescent="0.3">
      <c r="A240" s="133" t="s">
        <v>89</v>
      </c>
      <c r="B240" s="133"/>
      <c r="C240" s="134"/>
      <c r="D240" s="133"/>
      <c r="E240" s="133"/>
      <c r="F240" s="133"/>
      <c r="G240" s="133">
        <f>C55</f>
        <v>50000</v>
      </c>
      <c r="H240" s="133">
        <f ca="1">H237-H238-H239</f>
        <v>45000</v>
      </c>
      <c r="I240" s="133">
        <f t="shared" ref="I240:N240" ca="1" si="108">I237-I238-I239</f>
        <v>40000</v>
      </c>
      <c r="J240" s="133">
        <f t="shared" ca="1" si="108"/>
        <v>35000</v>
      </c>
      <c r="K240" s="133">
        <f t="shared" ca="1" si="108"/>
        <v>30000</v>
      </c>
      <c r="L240" s="133">
        <f t="shared" ca="1" si="108"/>
        <v>24999.999999999989</v>
      </c>
      <c r="M240" s="133">
        <f t="shared" ca="1" si="108"/>
        <v>0</v>
      </c>
      <c r="N240" s="133">
        <f t="shared" ca="1" si="108"/>
        <v>0</v>
      </c>
    </row>
    <row r="241" spans="1:14" s="87" customFormat="1" hidden="1" outlineLevel="1" x14ac:dyDescent="0.3">
      <c r="A241" s="91"/>
      <c r="B241" s="91"/>
      <c r="C241" s="132"/>
      <c r="D241" s="91"/>
      <c r="E241" s="91"/>
      <c r="F241" s="91"/>
      <c r="G241" s="91"/>
      <c r="H241" s="91"/>
      <c r="I241" s="91"/>
      <c r="J241" s="91"/>
      <c r="K241" s="91"/>
      <c r="L241" s="91"/>
      <c r="M241" s="91"/>
      <c r="N241" s="91"/>
    </row>
    <row r="242" spans="1:14" s="87" customFormat="1" hidden="1" outlineLevel="1" x14ac:dyDescent="0.3">
      <c r="A242" s="91" t="s">
        <v>144</v>
      </c>
      <c r="B242" s="91"/>
      <c r="C242" s="132"/>
      <c r="D242" s="91"/>
      <c r="E242" s="91"/>
      <c r="F242" s="91"/>
      <c r="G242" s="91"/>
      <c r="H242" s="91">
        <f ca="1">AVERAGE(G240:H240)*$F$55</f>
        <v>3325.0000000000005</v>
      </c>
      <c r="I242" s="91">
        <f t="shared" ref="I242:N242" ca="1" si="109">AVERAGE(H240:I240)*$F$55</f>
        <v>2975.0000000000005</v>
      </c>
      <c r="J242" s="91">
        <f t="shared" ca="1" si="109"/>
        <v>2625.0000000000005</v>
      </c>
      <c r="K242" s="91">
        <f t="shared" ca="1" si="109"/>
        <v>2275</v>
      </c>
      <c r="L242" s="91">
        <f t="shared" ca="1" si="109"/>
        <v>1924.9999999999998</v>
      </c>
      <c r="M242" s="91">
        <f t="shared" ca="1" si="109"/>
        <v>874.99999999999966</v>
      </c>
      <c r="N242" s="91">
        <f t="shared" ca="1" si="109"/>
        <v>0</v>
      </c>
    </row>
    <row r="243" spans="1:14" s="87" customFormat="1" hidden="1" outlineLevel="1" x14ac:dyDescent="0.3">
      <c r="A243" s="99"/>
      <c r="C243" s="79"/>
      <c r="D243" s="41"/>
      <c r="E243" s="41"/>
      <c r="F243" s="41"/>
      <c r="G243" s="41"/>
      <c r="H243" s="41"/>
    </row>
    <row r="244" spans="1:14" s="87" customFormat="1" hidden="1" outlineLevel="1" x14ac:dyDescent="0.3">
      <c r="A244" s="125" t="str">
        <f>'[1]LBO Model'!$A$244</f>
        <v>Sub Debt 1</v>
      </c>
      <c r="B244" s="126"/>
      <c r="C244" s="127" t="str">
        <f ca="1">IF(ABS(SUM(H246:N247)-G248)&gt;0.01,"ERROR","OK")</f>
        <v>OK</v>
      </c>
      <c r="D244" s="126"/>
      <c r="E244" s="126"/>
      <c r="F244" s="126"/>
      <c r="G244" s="126"/>
      <c r="H244" s="126"/>
      <c r="I244" s="126"/>
      <c r="J244" s="126"/>
      <c r="K244" s="126"/>
      <c r="L244" s="126"/>
      <c r="M244" s="126"/>
      <c r="N244" s="126"/>
    </row>
    <row r="245" spans="1:14" s="87" customFormat="1" hidden="1" outlineLevel="1" x14ac:dyDescent="0.3">
      <c r="A245" s="91" t="s">
        <v>88</v>
      </c>
      <c r="B245" s="91"/>
      <c r="C245" s="132"/>
      <c r="D245" s="91"/>
      <c r="E245" s="91"/>
      <c r="F245" s="91"/>
      <c r="G245" s="91"/>
      <c r="H245" s="91">
        <f>G248</f>
        <v>11250</v>
      </c>
      <c r="I245" s="91">
        <f t="shared" ref="I245:N245" ca="1" si="110">H248</f>
        <v>11250</v>
      </c>
      <c r="J245" s="91">
        <f t="shared" ca="1" si="110"/>
        <v>11250</v>
      </c>
      <c r="K245" s="91">
        <f t="shared" ca="1" si="110"/>
        <v>11250</v>
      </c>
      <c r="L245" s="91">
        <f t="shared" ca="1" si="110"/>
        <v>11250</v>
      </c>
      <c r="M245" s="91">
        <f t="shared" ca="1" si="110"/>
        <v>11250</v>
      </c>
      <c r="N245" s="91">
        <f t="shared" ca="1" si="110"/>
        <v>11250</v>
      </c>
    </row>
    <row r="246" spans="1:14" s="87" customFormat="1" hidden="1" outlineLevel="1" x14ac:dyDescent="0.3">
      <c r="A246" s="91" t="s">
        <v>142</v>
      </c>
      <c r="B246" s="91"/>
      <c r="C246" s="132"/>
      <c r="D246" s="91"/>
      <c r="E246" s="91"/>
      <c r="F246" s="91"/>
      <c r="G246" s="91"/>
      <c r="H246" s="91">
        <f>MIN($G$248*H56,H245)</f>
        <v>0</v>
      </c>
      <c r="I246" s="91">
        <f t="shared" ref="I246:N246" ca="1" si="111">MIN($G$248*I56,I245)</f>
        <v>0</v>
      </c>
      <c r="J246" s="91">
        <f t="shared" ca="1" si="111"/>
        <v>0</v>
      </c>
      <c r="K246" s="91">
        <f t="shared" ca="1" si="111"/>
        <v>0</v>
      </c>
      <c r="L246" s="91">
        <f t="shared" ca="1" si="111"/>
        <v>0</v>
      </c>
      <c r="M246" s="91">
        <f t="shared" ca="1" si="111"/>
        <v>0</v>
      </c>
      <c r="N246" s="91">
        <f t="shared" ca="1" si="111"/>
        <v>11250</v>
      </c>
    </row>
    <row r="247" spans="1:14" s="87" customFormat="1" hidden="1" outlineLevel="1" x14ac:dyDescent="0.3">
      <c r="A247" s="91" t="s">
        <v>143</v>
      </c>
      <c r="B247" s="91"/>
      <c r="C247" s="135">
        <f>$G$56</f>
        <v>0</v>
      </c>
      <c r="D247" s="91"/>
      <c r="E247" s="91"/>
      <c r="F247" s="91"/>
      <c r="G247" s="91"/>
      <c r="H247" s="91">
        <f ca="1">IF(H$216&gt;0,IF(H245-H246&gt;0,MIN(H$216*$C$247,H245-H246),0),0)</f>
        <v>0</v>
      </c>
      <c r="I247" s="91">
        <f t="shared" ref="I247:N247" ca="1" si="112">IF(I$216&gt;0,IF(I245-I246&gt;0,MIN(I$216*$C$247,I245-I246),0),0)</f>
        <v>0</v>
      </c>
      <c r="J247" s="91">
        <f t="shared" ca="1" si="112"/>
        <v>0</v>
      </c>
      <c r="K247" s="91">
        <f t="shared" ca="1" si="112"/>
        <v>0</v>
      </c>
      <c r="L247" s="91">
        <f t="shared" ca="1" si="112"/>
        <v>0</v>
      </c>
      <c r="M247" s="91">
        <f t="shared" ca="1" si="112"/>
        <v>0</v>
      </c>
      <c r="N247" s="91">
        <f t="shared" ca="1" si="112"/>
        <v>0</v>
      </c>
    </row>
    <row r="248" spans="1:14" s="87" customFormat="1" hidden="1" outlineLevel="1" x14ac:dyDescent="0.3">
      <c r="A248" s="133" t="s">
        <v>89</v>
      </c>
      <c r="B248" s="133"/>
      <c r="C248" s="134"/>
      <c r="D248" s="133"/>
      <c r="E248" s="133"/>
      <c r="F248" s="133"/>
      <c r="G248" s="133">
        <f>C56</f>
        <v>11250</v>
      </c>
      <c r="H248" s="133">
        <f ca="1">H245-H246-H247</f>
        <v>11250</v>
      </c>
      <c r="I248" s="133">
        <f t="shared" ref="I248:N248" ca="1" si="113">I245-I246-I247</f>
        <v>11250</v>
      </c>
      <c r="J248" s="133">
        <f t="shared" ca="1" si="113"/>
        <v>11250</v>
      </c>
      <c r="K248" s="133">
        <f t="shared" ca="1" si="113"/>
        <v>11250</v>
      </c>
      <c r="L248" s="133">
        <f t="shared" ca="1" si="113"/>
        <v>11250</v>
      </c>
      <c r="M248" s="133">
        <f t="shared" ca="1" si="113"/>
        <v>11250</v>
      </c>
      <c r="N248" s="133">
        <f t="shared" ca="1" si="113"/>
        <v>0</v>
      </c>
    </row>
    <row r="249" spans="1:14" s="87" customFormat="1" hidden="1" outlineLevel="1" x14ac:dyDescent="0.3">
      <c r="A249" s="91"/>
      <c r="B249" s="91"/>
      <c r="C249" s="132"/>
      <c r="D249" s="91"/>
      <c r="E249" s="91"/>
      <c r="F249" s="91"/>
      <c r="G249" s="91"/>
      <c r="H249" s="91"/>
      <c r="I249" s="91"/>
      <c r="J249" s="91"/>
      <c r="K249" s="91"/>
      <c r="L249" s="91"/>
      <c r="M249" s="91"/>
      <c r="N249" s="91"/>
    </row>
    <row r="250" spans="1:14" s="87" customFormat="1" hidden="1" outlineLevel="1" x14ac:dyDescent="0.3">
      <c r="A250" s="91" t="s">
        <v>144</v>
      </c>
      <c r="B250" s="91"/>
      <c r="C250" s="132"/>
      <c r="D250" s="91"/>
      <c r="E250" s="91"/>
      <c r="F250" s="91"/>
      <c r="G250" s="91"/>
      <c r="H250" s="91">
        <f ca="1">AVERAGE(G248:H248)*$F$56</f>
        <v>1350</v>
      </c>
      <c r="I250" s="91">
        <f t="shared" ref="I250:N250" ca="1" si="114">AVERAGE(H248:I248)*$F$56</f>
        <v>1350</v>
      </c>
      <c r="J250" s="91">
        <f t="shared" ca="1" si="114"/>
        <v>1350</v>
      </c>
      <c r="K250" s="91">
        <f t="shared" ca="1" si="114"/>
        <v>1350</v>
      </c>
      <c r="L250" s="91">
        <f t="shared" ca="1" si="114"/>
        <v>1350</v>
      </c>
      <c r="M250" s="91">
        <f t="shared" ca="1" si="114"/>
        <v>1350</v>
      </c>
      <c r="N250" s="91">
        <f t="shared" ca="1" si="114"/>
        <v>675</v>
      </c>
    </row>
    <row r="251" spans="1:14" s="87" customFormat="1" hidden="1" outlineLevel="1" x14ac:dyDescent="0.3">
      <c r="A251" s="91"/>
      <c r="B251" s="91"/>
      <c r="C251" s="132"/>
      <c r="D251" s="91"/>
      <c r="E251" s="91"/>
      <c r="F251" s="91"/>
      <c r="G251" s="91"/>
      <c r="H251" s="91"/>
      <c r="I251" s="91"/>
      <c r="J251" s="91"/>
      <c r="K251" s="91"/>
      <c r="L251" s="91"/>
      <c r="M251" s="91"/>
      <c r="N251" s="91"/>
    </row>
    <row r="252" spans="1:14" s="87" customFormat="1" hidden="1" outlineLevel="1" x14ac:dyDescent="0.3">
      <c r="A252" s="125" t="s">
        <v>146</v>
      </c>
      <c r="B252" s="126"/>
      <c r="C252" s="127" t="str">
        <f ca="1">IF(ABS(SUM(H254:N255)-G256)&gt;0.01,"ERROR","OK")</f>
        <v>OK</v>
      </c>
      <c r="D252" s="126"/>
      <c r="E252" s="126"/>
      <c r="F252" s="126"/>
      <c r="G252" s="126"/>
      <c r="H252" s="126"/>
      <c r="I252" s="126"/>
      <c r="J252" s="126"/>
      <c r="K252" s="126"/>
      <c r="L252" s="126"/>
      <c r="M252" s="126"/>
      <c r="N252" s="126"/>
    </row>
    <row r="253" spans="1:14" s="87" customFormat="1" hidden="1" outlineLevel="1" x14ac:dyDescent="0.3">
      <c r="A253" s="91" t="s">
        <v>88</v>
      </c>
      <c r="B253" s="91"/>
      <c r="C253" s="132"/>
      <c r="D253" s="91"/>
      <c r="E253" s="91"/>
      <c r="F253" s="91"/>
      <c r="G253" s="91"/>
      <c r="H253" s="89">
        <f>G256</f>
        <v>111250</v>
      </c>
      <c r="I253" s="89">
        <f t="shared" ref="I253:N253" ca="1" si="115">H256</f>
        <v>101250</v>
      </c>
      <c r="J253" s="89">
        <f t="shared" ca="1" si="115"/>
        <v>91250</v>
      </c>
      <c r="K253" s="89">
        <f t="shared" ca="1" si="115"/>
        <v>81250</v>
      </c>
      <c r="L253" s="89">
        <f t="shared" ca="1" si="115"/>
        <v>71249.999999999971</v>
      </c>
      <c r="M253" s="89">
        <f t="shared" ca="1" si="115"/>
        <v>36250</v>
      </c>
      <c r="N253" s="89">
        <f t="shared" ca="1" si="115"/>
        <v>11250</v>
      </c>
    </row>
    <row r="254" spans="1:14" s="87" customFormat="1" hidden="1" outlineLevel="1" x14ac:dyDescent="0.3">
      <c r="A254" s="91" t="s">
        <v>142</v>
      </c>
      <c r="B254" s="91"/>
      <c r="C254" s="132"/>
      <c r="D254" s="91"/>
      <c r="E254" s="91"/>
      <c r="F254" s="91"/>
      <c r="G254" s="91"/>
      <c r="H254" s="91">
        <f t="shared" ref="H254:N255" si="116">H246+H238+H230</f>
        <v>10000</v>
      </c>
      <c r="I254" s="91">
        <f t="shared" ca="1" si="116"/>
        <v>10000</v>
      </c>
      <c r="J254" s="91">
        <f t="shared" ca="1" si="116"/>
        <v>10000</v>
      </c>
      <c r="K254" s="91">
        <f t="shared" ca="1" si="116"/>
        <v>10000</v>
      </c>
      <c r="L254" s="91">
        <f t="shared" ca="1" si="116"/>
        <v>34999.999999999985</v>
      </c>
      <c r="M254" s="91">
        <f t="shared" ca="1" si="116"/>
        <v>25000</v>
      </c>
      <c r="N254" s="91">
        <f t="shared" ca="1" si="116"/>
        <v>11250</v>
      </c>
    </row>
    <row r="255" spans="1:14" s="87" customFormat="1" hidden="1" outlineLevel="1" x14ac:dyDescent="0.3">
      <c r="A255" s="91" t="s">
        <v>143</v>
      </c>
      <c r="B255" s="91"/>
      <c r="C255" s="135"/>
      <c r="D255" s="91"/>
      <c r="E255" s="91"/>
      <c r="F255" s="91"/>
      <c r="G255" s="91"/>
      <c r="H255" s="91">
        <f ca="1">H247+H239+H231</f>
        <v>0</v>
      </c>
      <c r="I255" s="91">
        <f t="shared" ca="1" si="116"/>
        <v>0</v>
      </c>
      <c r="J255" s="91">
        <f t="shared" ca="1" si="116"/>
        <v>0</v>
      </c>
      <c r="K255" s="91">
        <f t="shared" ca="1" si="116"/>
        <v>0</v>
      </c>
      <c r="L255" s="91">
        <f t="shared" ca="1" si="116"/>
        <v>0</v>
      </c>
      <c r="M255" s="91">
        <f t="shared" ca="1" si="116"/>
        <v>0</v>
      </c>
      <c r="N255" s="91">
        <f t="shared" ca="1" si="116"/>
        <v>0</v>
      </c>
    </row>
    <row r="256" spans="1:14" s="87" customFormat="1" hidden="1" outlineLevel="1" x14ac:dyDescent="0.3">
      <c r="A256" s="133" t="s">
        <v>89</v>
      </c>
      <c r="B256" s="133"/>
      <c r="C256" s="134"/>
      <c r="D256" s="133"/>
      <c r="E256" s="133"/>
      <c r="F256" s="133"/>
      <c r="G256" s="133">
        <f>G248+G240+G232</f>
        <v>111250</v>
      </c>
      <c r="H256" s="133">
        <f ca="1">H253-H254-H255</f>
        <v>101250</v>
      </c>
      <c r="I256" s="133">
        <f t="shared" ref="I256:N256" ca="1" si="117">I253-I254-I255</f>
        <v>91250</v>
      </c>
      <c r="J256" s="133">
        <f t="shared" ca="1" si="117"/>
        <v>81250</v>
      </c>
      <c r="K256" s="133">
        <f t="shared" ca="1" si="117"/>
        <v>71250</v>
      </c>
      <c r="L256" s="133">
        <f t="shared" ca="1" si="117"/>
        <v>36249.999999999985</v>
      </c>
      <c r="M256" s="133">
        <f t="shared" ca="1" si="117"/>
        <v>11250</v>
      </c>
      <c r="N256" s="133">
        <f t="shared" ca="1" si="117"/>
        <v>0</v>
      </c>
    </row>
    <row r="257" spans="1:14" s="87" customFormat="1" hidden="1" outlineLevel="1" x14ac:dyDescent="0.3">
      <c r="A257" s="91"/>
      <c r="B257" s="91"/>
      <c r="C257" s="132"/>
      <c r="D257" s="91"/>
      <c r="E257" s="91"/>
      <c r="F257" s="91"/>
      <c r="G257" s="91"/>
      <c r="H257" s="91"/>
      <c r="I257" s="91"/>
      <c r="J257" s="91"/>
      <c r="K257" s="91"/>
      <c r="L257" s="91"/>
      <c r="M257" s="91"/>
      <c r="N257" s="91"/>
    </row>
    <row r="258" spans="1:14" hidden="1" outlineLevel="1" x14ac:dyDescent="0.3">
      <c r="A258" s="91" t="s">
        <v>144</v>
      </c>
      <c r="B258" s="91"/>
      <c r="C258" s="132"/>
      <c r="D258" s="91"/>
      <c r="E258" s="91"/>
      <c r="F258" s="91"/>
      <c r="G258" s="91"/>
      <c r="H258" s="91">
        <f ca="1">H250+H242+H234+H226</f>
        <v>7250.4907207026426</v>
      </c>
      <c r="I258" s="91">
        <f t="shared" ref="I258:N258" ca="1" si="118">I250+I242+I234+I226</f>
        <v>6656.1946681147501</v>
      </c>
      <c r="J258" s="91">
        <f t="shared" ca="1" si="118"/>
        <v>6037.37540108536</v>
      </c>
      <c r="K258" s="91">
        <f t="shared" ca="1" si="118"/>
        <v>5414.455575247317</v>
      </c>
      <c r="L258" s="91">
        <f t="shared" ca="1" si="118"/>
        <v>4540.7953606616647</v>
      </c>
      <c r="M258" s="91">
        <f t="shared" ca="1" si="118"/>
        <v>3300.2249594840823</v>
      </c>
      <c r="N258" s="91">
        <f t="shared" ca="1" si="118"/>
        <v>1921.9341876449787</v>
      </c>
    </row>
    <row r="259" spans="1:14" hidden="1" outlineLevel="1" x14ac:dyDescent="0.3">
      <c r="A259" s="91"/>
      <c r="B259" s="91"/>
      <c r="C259" s="132"/>
      <c r="D259" s="91"/>
      <c r="E259" s="91"/>
      <c r="F259" s="91"/>
      <c r="G259" s="91"/>
      <c r="H259" s="91"/>
      <c r="I259" s="91"/>
      <c r="J259" s="91"/>
      <c r="K259" s="91"/>
      <c r="L259" s="91"/>
      <c r="M259" s="91"/>
    </row>
    <row r="260" spans="1:14" s="87" customFormat="1" collapsed="1" x14ac:dyDescent="0.3">
      <c r="A260" s="91"/>
      <c r="B260" s="91"/>
      <c r="C260" s="132"/>
      <c r="D260" s="91"/>
      <c r="E260" s="91"/>
      <c r="F260" s="91"/>
      <c r="G260" s="91"/>
      <c r="H260" s="91"/>
      <c r="I260" s="91"/>
      <c r="J260" s="91"/>
      <c r="K260" s="91"/>
      <c r="L260" s="91"/>
      <c r="M260" s="91"/>
    </row>
    <row r="261" spans="1:14" ht="21" x14ac:dyDescent="0.4">
      <c r="A261" s="14" t="s">
        <v>90</v>
      </c>
      <c r="B261" s="15"/>
      <c r="C261" s="16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</row>
    <row r="262" spans="1:14" hidden="1" outlineLevel="1" x14ac:dyDescent="0.3">
      <c r="D262" s="13"/>
      <c r="E262" s="13"/>
      <c r="F262" s="13"/>
      <c r="G262" s="13"/>
      <c r="H262" s="13"/>
      <c r="I262" s="13"/>
      <c r="J262" s="13"/>
      <c r="K262" s="13"/>
      <c r="L262" s="13"/>
      <c r="M262" s="13"/>
    </row>
    <row r="263" spans="1:14" hidden="1" outlineLevel="1" x14ac:dyDescent="0.3">
      <c r="A263" s="17" t="s">
        <v>103</v>
      </c>
      <c r="B263" s="17"/>
      <c r="C263" s="88"/>
      <c r="D263" s="17"/>
      <c r="E263" s="17"/>
      <c r="F263" s="17"/>
      <c r="G263" s="17"/>
      <c r="H263" s="17"/>
      <c r="I263" s="17"/>
      <c r="J263" s="17"/>
      <c r="K263" s="17"/>
      <c r="L263" s="17"/>
    </row>
    <row r="264" spans="1:14" hidden="1" outlineLevel="1" x14ac:dyDescent="0.3">
      <c r="A264" s="50" t="s">
        <v>83</v>
      </c>
      <c r="B264" s="50"/>
      <c r="C264" s="51"/>
      <c r="D264" s="136"/>
      <c r="E264" s="50"/>
      <c r="F264" s="50"/>
      <c r="G264" s="50"/>
      <c r="H264" s="50"/>
      <c r="I264" s="50"/>
      <c r="J264" s="50"/>
      <c r="K264" s="50"/>
      <c r="L264" s="50"/>
    </row>
    <row r="265" spans="1:14" hidden="1" outlineLevel="1" x14ac:dyDescent="0.3">
      <c r="D265" s="59" t="s">
        <v>0</v>
      </c>
      <c r="E265" s="59" t="s">
        <v>227</v>
      </c>
      <c r="F265" s="59" t="s">
        <v>64</v>
      </c>
      <c r="G265" s="59" t="s">
        <v>80</v>
      </c>
      <c r="H265" s="59" t="s">
        <v>51</v>
      </c>
      <c r="I265" s="59" t="s">
        <v>51</v>
      </c>
      <c r="J265" s="59" t="s">
        <v>51</v>
      </c>
      <c r="K265" s="59" t="s">
        <v>82</v>
      </c>
      <c r="L265" s="59" t="s">
        <v>148</v>
      </c>
    </row>
    <row r="266" spans="1:14" hidden="1" outlineLevel="1" x14ac:dyDescent="0.3">
      <c r="D266" s="137"/>
      <c r="E266" s="28"/>
      <c r="F266" s="28"/>
      <c r="G266" s="138" t="s">
        <v>3</v>
      </c>
      <c r="H266" s="138" t="s">
        <v>100</v>
      </c>
      <c r="I266" s="138" t="s">
        <v>101</v>
      </c>
      <c r="J266" s="138" t="s">
        <v>102</v>
      </c>
      <c r="K266" s="28"/>
      <c r="L266" s="137"/>
    </row>
    <row r="267" spans="1:14" hidden="1" outlineLevel="1" x14ac:dyDescent="0.3">
      <c r="A267" s="44" t="s">
        <v>13</v>
      </c>
      <c r="D267" s="40"/>
    </row>
    <row r="268" spans="1:14" hidden="1" outlineLevel="1" x14ac:dyDescent="0.3">
      <c r="A268" s="5" t="s">
        <v>14</v>
      </c>
      <c r="C268" s="5"/>
      <c r="D268" s="40">
        <f t="shared" ref="D268:D284" si="119">G133</f>
        <v>57269.263877213911</v>
      </c>
      <c r="E268" s="23">
        <f>F74</f>
        <v>0</v>
      </c>
      <c r="F268" s="87">
        <f>SUM(D268:E268)</f>
        <v>57269.263877213911</v>
      </c>
      <c r="G268" s="23">
        <f>-H63</f>
        <v>-190468.18860839671</v>
      </c>
      <c r="H268" s="23">
        <f ca="1">SUM(C64:C68)</f>
        <v>166005.02512562813</v>
      </c>
      <c r="I268" s="23">
        <f ca="1">-SUM(H66:H68)</f>
        <v>-6005.0251256281408</v>
      </c>
      <c r="J268" s="23">
        <f>J280</f>
        <v>-16801.075268817203</v>
      </c>
      <c r="K268" s="87">
        <f ca="1">SUM(G268:J268)</f>
        <v>-47269.263877213918</v>
      </c>
      <c r="L268" s="5">
        <f t="shared" ref="L268:L284" ca="1" si="120">F268+K268</f>
        <v>9999.9999999999927</v>
      </c>
    </row>
    <row r="269" spans="1:14" hidden="1" outlineLevel="1" x14ac:dyDescent="0.3">
      <c r="A269" s="5" t="s">
        <v>15</v>
      </c>
      <c r="C269" s="5"/>
      <c r="D269" s="40">
        <f t="shared" si="119"/>
        <v>3985.8030913978496</v>
      </c>
      <c r="E269" s="23" cm="1">
        <f t="array" ref="E269:E270">F75:F76</f>
        <v>-485.80309139784958</v>
      </c>
      <c r="F269" s="87">
        <f>SUM(D269:E269)</f>
        <v>3500</v>
      </c>
      <c r="G269" s="23"/>
      <c r="H269" s="23"/>
      <c r="I269" s="23"/>
      <c r="J269" s="23"/>
      <c r="K269" s="87"/>
      <c r="L269" s="5">
        <f t="shared" si="120"/>
        <v>3500</v>
      </c>
    </row>
    <row r="270" spans="1:14" hidden="1" outlineLevel="1" x14ac:dyDescent="0.3">
      <c r="A270" s="5" t="s">
        <v>16</v>
      </c>
      <c r="C270" s="5"/>
      <c r="D270" s="40">
        <f t="shared" si="119"/>
        <v>5897.6254480286743</v>
      </c>
      <c r="E270" s="23">
        <v>-1097.6254480286743</v>
      </c>
      <c r="F270" s="87">
        <f>SUM(D270:E270)</f>
        <v>4800</v>
      </c>
      <c r="G270" s="23"/>
      <c r="H270" s="23"/>
      <c r="I270" s="23"/>
      <c r="J270" s="23"/>
      <c r="K270" s="87"/>
      <c r="L270" s="5">
        <f t="shared" si="120"/>
        <v>4800</v>
      </c>
    </row>
    <row r="271" spans="1:14" hidden="1" outlineLevel="1" x14ac:dyDescent="0.3">
      <c r="A271" s="46" t="s">
        <v>65</v>
      </c>
      <c r="B271" s="46"/>
      <c r="C271" s="46"/>
      <c r="D271" s="103">
        <f>SUM(D268:D270)</f>
        <v>67152.692416640435</v>
      </c>
      <c r="E271" s="139"/>
      <c r="F271" s="140"/>
      <c r="G271" s="139"/>
      <c r="H271" s="139"/>
      <c r="I271" s="139"/>
      <c r="J271" s="139"/>
      <c r="K271" s="46"/>
      <c r="L271" s="103">
        <f ca="1">SUM(L268:L270)</f>
        <v>18299.999999999993</v>
      </c>
    </row>
    <row r="272" spans="1:14" hidden="1" outlineLevel="1" x14ac:dyDescent="0.3">
      <c r="A272" s="5" t="s">
        <v>17</v>
      </c>
      <c r="C272" s="5"/>
      <c r="D272" s="40">
        <f t="shared" si="119"/>
        <v>21618.223566308243</v>
      </c>
      <c r="E272" s="23">
        <f>F77</f>
        <v>10381.776433691757</v>
      </c>
      <c r="F272" s="87">
        <f>SUM(D272:E272)</f>
        <v>32000</v>
      </c>
      <c r="G272" s="23"/>
      <c r="H272" s="23"/>
      <c r="I272" s="23"/>
      <c r="J272" s="23"/>
      <c r="K272" s="87"/>
      <c r="L272" s="5">
        <f t="shared" si="120"/>
        <v>32000</v>
      </c>
    </row>
    <row r="273" spans="1:12" hidden="1" outlineLevel="1" x14ac:dyDescent="0.3">
      <c r="A273" s="5" t="s">
        <v>81</v>
      </c>
      <c r="C273" s="5"/>
      <c r="D273" s="40">
        <f t="shared" si="119"/>
        <v>0</v>
      </c>
      <c r="E273" s="23"/>
      <c r="F273" s="87">
        <v>0</v>
      </c>
      <c r="G273" s="23">
        <f>M80</f>
        <v>112648.81272401435</v>
      </c>
      <c r="H273" s="23"/>
      <c r="I273" s="23"/>
      <c r="J273" s="23"/>
      <c r="K273" s="87">
        <f>SUM(G273:J273)</f>
        <v>112648.81272401435</v>
      </c>
      <c r="L273" s="5">
        <f t="shared" si="120"/>
        <v>112648.81272401435</v>
      </c>
    </row>
    <row r="274" spans="1:12" ht="16.2" hidden="1" outlineLevel="1" thickBot="1" x14ac:dyDescent="0.35">
      <c r="A274" s="108" t="s">
        <v>18</v>
      </c>
      <c r="B274" s="108"/>
      <c r="C274" s="108"/>
      <c r="D274" s="110">
        <f>SUM(D271:D273)</f>
        <v>88770.915982948674</v>
      </c>
      <c r="E274" s="141"/>
      <c r="F274" s="142"/>
      <c r="G274" s="141"/>
      <c r="H274" s="141"/>
      <c r="I274" s="141"/>
      <c r="J274" s="141"/>
      <c r="K274" s="108"/>
      <c r="L274" s="110">
        <f ca="1">SUM(L271:L273)</f>
        <v>162948.81272401434</v>
      </c>
    </row>
    <row r="275" spans="1:12" ht="16.2" hidden="1" outlineLevel="1" thickTop="1" x14ac:dyDescent="0.3">
      <c r="A275" s="84"/>
      <c r="B275" s="84"/>
      <c r="C275" s="84"/>
      <c r="D275" s="107"/>
      <c r="E275" s="143"/>
      <c r="F275" s="144"/>
      <c r="G275" s="143"/>
      <c r="H275" s="143"/>
      <c r="I275" s="143"/>
      <c r="J275" s="143"/>
      <c r="K275" s="144"/>
      <c r="L275" s="84"/>
    </row>
    <row r="276" spans="1:12" hidden="1" outlineLevel="1" x14ac:dyDescent="0.3">
      <c r="A276" s="44" t="s">
        <v>19</v>
      </c>
      <c r="B276" s="44"/>
      <c r="C276" s="44"/>
      <c r="D276" s="101"/>
      <c r="E276" s="145"/>
      <c r="F276" s="99"/>
      <c r="G276" s="145"/>
      <c r="H276" s="145"/>
      <c r="I276" s="145"/>
      <c r="J276" s="145"/>
      <c r="K276" s="99"/>
      <c r="L276" s="44"/>
    </row>
    <row r="277" spans="1:12" hidden="1" outlineLevel="1" x14ac:dyDescent="0.3">
      <c r="A277" s="5" t="s">
        <v>66</v>
      </c>
      <c r="C277" s="5"/>
      <c r="D277" s="40">
        <f t="shared" si="119"/>
        <v>0</v>
      </c>
      <c r="E277" s="23"/>
      <c r="F277" s="87"/>
      <c r="G277" s="23"/>
      <c r="H277" s="23">
        <f>C64</f>
        <v>6250</v>
      </c>
      <c r="I277" s="23"/>
      <c r="J277" s="23"/>
      <c r="K277" s="87">
        <f>SUM(G277:J277)</f>
        <v>6250</v>
      </c>
      <c r="L277" s="5">
        <f t="shared" si="120"/>
        <v>6250</v>
      </c>
    </row>
    <row r="278" spans="1:12" hidden="1" outlineLevel="1" x14ac:dyDescent="0.3">
      <c r="A278" s="5" t="s">
        <v>20</v>
      </c>
      <c r="C278" s="5"/>
      <c r="D278" s="40">
        <f t="shared" si="119"/>
        <v>2948.8127240143372</v>
      </c>
      <c r="E278" s="23"/>
      <c r="F278" s="87">
        <f>SUM(D278:E278)</f>
        <v>2948.8127240143372</v>
      </c>
      <c r="G278" s="23"/>
      <c r="H278" s="23"/>
      <c r="I278" s="23"/>
      <c r="J278" s="23"/>
      <c r="K278" s="87"/>
      <c r="L278" s="5">
        <f t="shared" si="120"/>
        <v>2948.8127240143372</v>
      </c>
    </row>
    <row r="279" spans="1:12" hidden="1" outlineLevel="1" x14ac:dyDescent="0.3">
      <c r="A279" s="46" t="s">
        <v>68</v>
      </c>
      <c r="B279" s="46"/>
      <c r="C279" s="46"/>
      <c r="D279" s="103">
        <f>D277+D278</f>
        <v>2948.8127240143372</v>
      </c>
      <c r="E279" s="139"/>
      <c r="F279" s="140"/>
      <c r="G279" s="139"/>
      <c r="H279" s="139"/>
      <c r="I279" s="139"/>
      <c r="J279" s="139"/>
      <c r="K279" s="46"/>
      <c r="L279" s="103">
        <f>L277+L278</f>
        <v>9198.8127240143367</v>
      </c>
    </row>
    <row r="280" spans="1:12" hidden="1" outlineLevel="1" x14ac:dyDescent="0.3">
      <c r="A280" s="5" t="s">
        <v>67</v>
      </c>
      <c r="C280" s="5"/>
      <c r="D280" s="40">
        <f t="shared" si="119"/>
        <v>16801.075268817203</v>
      </c>
      <c r="E280" s="23"/>
      <c r="F280" s="87">
        <f>SUM(D280:E280)</f>
        <v>16801.075268817203</v>
      </c>
      <c r="G280" s="23"/>
      <c r="H280" s="23">
        <f>SUM(C65:C67)</f>
        <v>111250</v>
      </c>
      <c r="I280" s="23"/>
      <c r="J280" s="23">
        <f>-H65</f>
        <v>-16801.075268817203</v>
      </c>
      <c r="K280" s="87">
        <f>SUM(G280:J280)</f>
        <v>94448.924731182793</v>
      </c>
      <c r="L280" s="5">
        <f t="shared" si="120"/>
        <v>111250</v>
      </c>
    </row>
    <row r="281" spans="1:12" hidden="1" outlineLevel="1" x14ac:dyDescent="0.3">
      <c r="A281" s="46" t="s">
        <v>21</v>
      </c>
      <c r="B281" s="46"/>
      <c r="C281" s="46"/>
      <c r="D281" s="103">
        <f>D279+D280</f>
        <v>19749.88799283154</v>
      </c>
      <c r="E281" s="139"/>
      <c r="F281" s="140"/>
      <c r="G281" s="139"/>
      <c r="H281" s="139"/>
      <c r="I281" s="139"/>
      <c r="J281" s="139"/>
      <c r="K281" s="46"/>
      <c r="L281" s="103">
        <f>L279+L280</f>
        <v>120448.81272401434</v>
      </c>
    </row>
    <row r="282" spans="1:12" hidden="1" outlineLevel="1" x14ac:dyDescent="0.3">
      <c r="A282" s="44" t="s">
        <v>22</v>
      </c>
      <c r="B282" s="44"/>
      <c r="C282" s="44"/>
      <c r="D282" s="101"/>
      <c r="E282" s="145"/>
      <c r="F282" s="99"/>
      <c r="G282" s="145"/>
      <c r="H282" s="145"/>
      <c r="I282" s="145"/>
      <c r="J282" s="145"/>
      <c r="K282" s="99"/>
      <c r="L282" s="44"/>
    </row>
    <row r="283" spans="1:12" hidden="1" outlineLevel="1" x14ac:dyDescent="0.3">
      <c r="A283" s="5" t="s">
        <v>23</v>
      </c>
      <c r="C283" s="5"/>
      <c r="D283" s="40">
        <f t="shared" si="119"/>
        <v>39202.508960573476</v>
      </c>
      <c r="E283" s="23"/>
      <c r="F283" s="87">
        <f>SUM(D283:E283)</f>
        <v>39202.508960573476</v>
      </c>
      <c r="G283" s="23">
        <f>-F283</f>
        <v>-39202.508960573476</v>
      </c>
      <c r="H283" s="23">
        <f ca="1">C68</f>
        <v>48505.025125628134</v>
      </c>
      <c r="I283" s="23"/>
      <c r="J283" s="23"/>
      <c r="K283" s="87">
        <f ca="1">SUM(G283:J283)</f>
        <v>9302.5161650546579</v>
      </c>
      <c r="L283" s="5">
        <f t="shared" ca="1" si="120"/>
        <v>48505.025125628134</v>
      </c>
    </row>
    <row r="284" spans="1:12" hidden="1" outlineLevel="1" x14ac:dyDescent="0.3">
      <c r="A284" s="5" t="s">
        <v>24</v>
      </c>
      <c r="C284" s="5"/>
      <c r="D284" s="40">
        <f t="shared" si="119"/>
        <v>29818.519029543659</v>
      </c>
      <c r="E284" s="23"/>
      <c r="F284" s="87">
        <f>SUM(D284:E284)</f>
        <v>29818.519029543659</v>
      </c>
      <c r="G284" s="23">
        <f>-F284</f>
        <v>-29818.519029543659</v>
      </c>
      <c r="H284" s="23"/>
      <c r="I284" s="23">
        <f ca="1">I268</f>
        <v>-6005.0251256281408</v>
      </c>
      <c r="J284" s="23"/>
      <c r="K284" s="87">
        <f ca="1">SUM(G284:J284)</f>
        <v>-35823.544155171796</v>
      </c>
      <c r="L284" s="5">
        <f t="shared" ca="1" si="120"/>
        <v>-6005.0251256281372</v>
      </c>
    </row>
    <row r="285" spans="1:12" hidden="1" outlineLevel="1" x14ac:dyDescent="0.3">
      <c r="A285" s="116" t="s">
        <v>22</v>
      </c>
      <c r="B285" s="116"/>
      <c r="C285" s="116"/>
      <c r="D285" s="118">
        <f>+D283+D284</f>
        <v>69021.027990117131</v>
      </c>
      <c r="E285" s="146"/>
      <c r="F285" s="116"/>
      <c r="G285" s="146"/>
      <c r="H285" s="146"/>
      <c r="I285" s="146"/>
      <c r="J285" s="146"/>
      <c r="K285" s="116"/>
      <c r="L285" s="118">
        <f ca="1">+L283+L284</f>
        <v>42500</v>
      </c>
    </row>
    <row r="286" spans="1:12" ht="16.2" hidden="1" outlineLevel="1" thickBot="1" x14ac:dyDescent="0.35">
      <c r="A286" s="108" t="s">
        <v>25</v>
      </c>
      <c r="B286" s="108"/>
      <c r="C286" s="108"/>
      <c r="D286" s="110">
        <f>D285+D281</f>
        <v>88770.915982948674</v>
      </c>
      <c r="E286" s="141"/>
      <c r="F286" s="108"/>
      <c r="G286" s="141"/>
      <c r="H286" s="141"/>
      <c r="I286" s="141"/>
      <c r="J286" s="141"/>
      <c r="K286" s="108"/>
      <c r="L286" s="110">
        <f ca="1">L285+L281</f>
        <v>162948.81272401434</v>
      </c>
    </row>
    <row r="287" spans="1:12" ht="16.2" hidden="1" outlineLevel="1" thickTop="1" x14ac:dyDescent="0.3"/>
    <row r="288" spans="1:12" hidden="1" outlineLevel="1" x14ac:dyDescent="0.3">
      <c r="A288" s="50" t="s">
        <v>26</v>
      </c>
      <c r="B288" s="50"/>
      <c r="C288" s="51"/>
      <c r="D288" s="147">
        <f>D286-D274</f>
        <v>0</v>
      </c>
      <c r="E288" s="50"/>
      <c r="F288" s="50"/>
      <c r="G288" s="50"/>
      <c r="H288" s="50"/>
      <c r="K288" s="147"/>
      <c r="L288" s="147">
        <f ca="1">L286-L274</f>
        <v>0</v>
      </c>
    </row>
    <row r="289" spans="1:14" hidden="1" outlineLevel="1" x14ac:dyDescent="0.3"/>
    <row r="290" spans="1:14" collapsed="1" x14ac:dyDescent="0.3"/>
    <row r="291" spans="1:14" ht="21" x14ac:dyDescent="0.4">
      <c r="A291" s="14" t="s">
        <v>225</v>
      </c>
      <c r="B291" s="15"/>
      <c r="C291" s="16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</row>
    <row r="292" spans="1:14" hidden="1" outlineLevel="1" x14ac:dyDescent="0.3">
      <c r="D292" s="13"/>
      <c r="E292" s="13"/>
      <c r="F292" s="13"/>
      <c r="G292" s="13"/>
      <c r="H292" s="13"/>
      <c r="I292" s="13"/>
      <c r="J292" s="13"/>
      <c r="K292" s="13"/>
      <c r="L292" s="13"/>
      <c r="M292" s="13"/>
    </row>
    <row r="293" spans="1:14" hidden="1" outlineLevel="1" x14ac:dyDescent="0.3">
      <c r="A293" s="17" t="s">
        <v>168</v>
      </c>
      <c r="B293" s="17"/>
      <c r="C293" s="88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</row>
    <row r="294" spans="1:14" ht="17.399999999999999" hidden="1" outlineLevel="1" x14ac:dyDescent="0.35">
      <c r="E294" s="148" t="s">
        <v>170</v>
      </c>
      <c r="F294" s="148">
        <f>D11</f>
        <v>2025</v>
      </c>
      <c r="G294" s="148">
        <f>F294+1</f>
        <v>2026</v>
      </c>
      <c r="H294" s="148">
        <f t="shared" ref="H294:L294" si="121">G294+1</f>
        <v>2027</v>
      </c>
      <c r="I294" s="148">
        <f t="shared" si="121"/>
        <v>2028</v>
      </c>
      <c r="J294" s="148">
        <f t="shared" si="121"/>
        <v>2029</v>
      </c>
      <c r="K294" s="148">
        <f t="shared" si="121"/>
        <v>2030</v>
      </c>
      <c r="L294" s="148">
        <f t="shared" si="121"/>
        <v>2031</v>
      </c>
      <c r="M294" s="148" t="s">
        <v>169</v>
      </c>
    </row>
    <row r="295" spans="1:14" hidden="1" outlineLevel="1" x14ac:dyDescent="0.3">
      <c r="E295" s="149">
        <f>D10</f>
        <v>45473</v>
      </c>
      <c r="F295" s="149">
        <f>DATE(F294,$D$12,$D$13)</f>
        <v>45747</v>
      </c>
      <c r="G295" s="149">
        <f t="shared" ref="G295:L295" si="122">DATE(G294,$D$12,$D$13)</f>
        <v>46112</v>
      </c>
      <c r="H295" s="149">
        <f t="shared" si="122"/>
        <v>46477</v>
      </c>
      <c r="I295" s="149">
        <f t="shared" si="122"/>
        <v>46843</v>
      </c>
      <c r="J295" s="149">
        <f t="shared" si="122"/>
        <v>47208</v>
      </c>
      <c r="K295" s="149">
        <f t="shared" si="122"/>
        <v>47573</v>
      </c>
      <c r="L295" s="149">
        <f t="shared" si="122"/>
        <v>47938</v>
      </c>
      <c r="M295" s="149">
        <f>L295</f>
        <v>47938</v>
      </c>
    </row>
    <row r="296" spans="1:14" ht="17.399999999999999" hidden="1" outlineLevel="1" x14ac:dyDescent="0.35">
      <c r="E296" s="150"/>
      <c r="F296" s="151">
        <f>YEARFRAC(E295,F295)</f>
        <v>0.75</v>
      </c>
      <c r="G296" s="151">
        <f t="shared" ref="G296:L296" si="123">YEARFRAC(F295,G295)</f>
        <v>1</v>
      </c>
      <c r="H296" s="151">
        <f t="shared" si="123"/>
        <v>1</v>
      </c>
      <c r="I296" s="151">
        <f t="shared" si="123"/>
        <v>1</v>
      </c>
      <c r="J296" s="151">
        <f t="shared" si="123"/>
        <v>1</v>
      </c>
      <c r="K296" s="151">
        <f t="shared" si="123"/>
        <v>1</v>
      </c>
      <c r="L296" s="151">
        <f t="shared" si="123"/>
        <v>1</v>
      </c>
      <c r="M296" s="152"/>
    </row>
    <row r="297" spans="1:14" hidden="1" outlineLevel="1" x14ac:dyDescent="0.3">
      <c r="A297" s="44" t="s">
        <v>50</v>
      </c>
    </row>
    <row r="298" spans="1:14" hidden="1" outlineLevel="1" x14ac:dyDescent="0.3">
      <c r="A298" s="5" t="s">
        <v>2</v>
      </c>
      <c r="E298" s="36"/>
      <c r="F298" s="102" cm="1">
        <f t="array" ref="F298:L298">H122:N122</f>
        <v>24369.47009408602</v>
      </c>
      <c r="G298" s="102">
        <v>25386.725954301077</v>
      </c>
      <c r="H298" s="102">
        <v>26354.804604309487</v>
      </c>
      <c r="I298" s="102">
        <v>27454.912209692386</v>
      </c>
      <c r="J298" s="102">
        <v>29089.309649154802</v>
      </c>
      <c r="K298" s="102">
        <v>29788.937942036973</v>
      </c>
      <c r="L298" s="102">
        <v>31102.35042972002</v>
      </c>
      <c r="M298" s="36"/>
    </row>
    <row r="299" spans="1:14" hidden="1" outlineLevel="1" x14ac:dyDescent="0.3">
      <c r="A299" s="5" t="s">
        <v>171</v>
      </c>
      <c r="F299" s="5">
        <f>F298*$D$26</f>
        <v>7310.8410282258055</v>
      </c>
      <c r="G299" s="5">
        <f t="shared" ref="G299:L299" si="124">G298*$D$26</f>
        <v>7616.0177862903229</v>
      </c>
      <c r="H299" s="5">
        <f t="shared" si="124"/>
        <v>7906.441381292846</v>
      </c>
      <c r="I299" s="5">
        <f t="shared" si="124"/>
        <v>8236.4736629077161</v>
      </c>
      <c r="J299" s="5">
        <f t="shared" si="124"/>
        <v>8726.7928947464407</v>
      </c>
      <c r="K299" s="5">
        <f t="shared" si="124"/>
        <v>8936.681382611092</v>
      </c>
      <c r="L299" s="5">
        <f t="shared" si="124"/>
        <v>9330.7051289160063</v>
      </c>
    </row>
    <row r="300" spans="1:14" hidden="1" outlineLevel="1" x14ac:dyDescent="0.3">
      <c r="A300" s="5" t="s">
        <v>172</v>
      </c>
      <c r="F300" s="5">
        <f>-H166</f>
        <v>6979.1412130376348</v>
      </c>
      <c r="G300" s="5">
        <f t="shared" ref="G300:L300" si="125">-I166</f>
        <v>7188.5154494287644</v>
      </c>
      <c r="H300" s="5">
        <f t="shared" si="125"/>
        <v>6968.6314474462379</v>
      </c>
      <c r="I300" s="5">
        <f t="shared" si="125"/>
        <v>7177.6903908696258</v>
      </c>
      <c r="J300" s="5">
        <f t="shared" si="125"/>
        <v>7393.0211025957151</v>
      </c>
      <c r="K300" s="5">
        <f t="shared" si="125"/>
        <v>7138.8860021939872</v>
      </c>
      <c r="L300" s="5">
        <f t="shared" si="125"/>
        <v>7353.0525822598065</v>
      </c>
    </row>
    <row r="301" spans="1:14" hidden="1" outlineLevel="1" x14ac:dyDescent="0.3">
      <c r="A301" s="5" t="s">
        <v>173</v>
      </c>
      <c r="F301" s="5">
        <f>H197</f>
        <v>6400</v>
      </c>
      <c r="G301" s="5">
        <f t="shared" ref="G301:L301" si="126">I197</f>
        <v>6515.8282426075275</v>
      </c>
      <c r="H301" s="5">
        <f t="shared" si="126"/>
        <v>6650.3656839717733</v>
      </c>
      <c r="I301" s="5">
        <f t="shared" si="126"/>
        <v>6714.0188366666671</v>
      </c>
      <c r="J301" s="5">
        <f t="shared" si="126"/>
        <v>6806.7531475072583</v>
      </c>
      <c r="K301" s="5">
        <f t="shared" si="126"/>
        <v>6924.0067385249495</v>
      </c>
      <c r="L301" s="5">
        <f t="shared" si="126"/>
        <v>6966.9825912587567</v>
      </c>
    </row>
    <row r="302" spans="1:14" hidden="1" outlineLevel="1" x14ac:dyDescent="0.3">
      <c r="A302" s="5" t="s">
        <v>174</v>
      </c>
      <c r="F302" s="5">
        <f>H192</f>
        <v>1172.4257837433101</v>
      </c>
      <c r="G302" s="5">
        <f t="shared" ref="G302:L302" si="127">I192</f>
        <v>195.70839179186987</v>
      </c>
      <c r="H302" s="5">
        <f t="shared" si="127"/>
        <v>141.91670307091317</v>
      </c>
      <c r="I302" s="5">
        <f t="shared" si="127"/>
        <v>144.38431594880149</v>
      </c>
      <c r="J302" s="5">
        <f t="shared" si="127"/>
        <v>146.87226056659711</v>
      </c>
      <c r="K302" s="5">
        <f t="shared" si="127"/>
        <v>214.57484193321579</v>
      </c>
      <c r="L302" s="5">
        <f t="shared" si="127"/>
        <v>221.0120871912095</v>
      </c>
    </row>
    <row r="303" spans="1:14" hidden="1" outlineLevel="1" x14ac:dyDescent="0.3">
      <c r="A303" s="46" t="s">
        <v>175</v>
      </c>
      <c r="B303" s="46"/>
      <c r="C303" s="47"/>
      <c r="D303" s="46"/>
      <c r="E303" s="46"/>
      <c r="F303" s="46">
        <f>F298-F299-F300+F301-F302</f>
        <v>15307.062069079271</v>
      </c>
      <c r="G303" s="46">
        <f t="shared" ref="G303:L303" si="128">G298-G299-G300+G301-G302</f>
        <v>16902.312569397647</v>
      </c>
      <c r="H303" s="46">
        <f t="shared" si="128"/>
        <v>17988.180756471262</v>
      </c>
      <c r="I303" s="46">
        <f t="shared" si="128"/>
        <v>18610.382676632908</v>
      </c>
      <c r="J303" s="46">
        <f t="shared" si="128"/>
        <v>19629.376538753306</v>
      </c>
      <c r="K303" s="46">
        <f t="shared" si="128"/>
        <v>20422.802453823628</v>
      </c>
      <c r="L303" s="46">
        <f t="shared" si="128"/>
        <v>21164.563222611752</v>
      </c>
      <c r="M303" s="46"/>
    </row>
    <row r="304" spans="1:14" hidden="1" outlineLevel="1" x14ac:dyDescent="0.3">
      <c r="A304" s="84"/>
      <c r="B304" s="84"/>
      <c r="C304" s="104"/>
      <c r="D304" s="84"/>
      <c r="E304" s="84"/>
      <c r="F304" s="84"/>
      <c r="G304" s="84"/>
      <c r="H304" s="84"/>
      <c r="I304" s="84"/>
      <c r="J304" s="84"/>
      <c r="K304" s="84"/>
      <c r="L304" s="84"/>
      <c r="M304" s="84"/>
    </row>
    <row r="305" spans="1:13" hidden="1" outlineLevel="1" x14ac:dyDescent="0.3">
      <c r="A305" s="153" t="s">
        <v>194</v>
      </c>
      <c r="B305" s="139"/>
      <c r="C305" s="154"/>
      <c r="D305" s="139"/>
      <c r="E305" s="155">
        <v>0</v>
      </c>
      <c r="F305" s="139">
        <f>F303*F296</f>
        <v>11480.296551809453</v>
      </c>
      <c r="G305" s="139">
        <f t="shared" ref="G305:L305" si="129">G303*G296</f>
        <v>16902.312569397647</v>
      </c>
      <c r="H305" s="139">
        <f t="shared" si="129"/>
        <v>17988.180756471262</v>
      </c>
      <c r="I305" s="139">
        <f t="shared" si="129"/>
        <v>18610.382676632908</v>
      </c>
      <c r="J305" s="139">
        <f t="shared" si="129"/>
        <v>19629.376538753306</v>
      </c>
      <c r="K305" s="139">
        <f t="shared" si="129"/>
        <v>20422.802453823628</v>
      </c>
      <c r="L305" s="139">
        <f t="shared" si="129"/>
        <v>21164.563222611752</v>
      </c>
      <c r="M305" s="156">
        <f>C321</f>
        <v>228415.99812587263</v>
      </c>
    </row>
    <row r="306" spans="1:13" hidden="1" outlineLevel="1" x14ac:dyDescent="0.3">
      <c r="A306" s="157" t="s">
        <v>195</v>
      </c>
      <c r="B306" s="158"/>
      <c r="C306" s="159"/>
      <c r="D306" s="158"/>
      <c r="E306" s="158">
        <f>-D37</f>
        <v>-150000</v>
      </c>
      <c r="F306" s="158">
        <f>F305</f>
        <v>11480.296551809453</v>
      </c>
      <c r="G306" s="158">
        <f t="shared" ref="G306:L306" si="130">G305</f>
        <v>16902.312569397647</v>
      </c>
      <c r="H306" s="158">
        <f t="shared" si="130"/>
        <v>17988.180756471262</v>
      </c>
      <c r="I306" s="158">
        <f t="shared" si="130"/>
        <v>18610.382676632908</v>
      </c>
      <c r="J306" s="158">
        <f t="shared" si="130"/>
        <v>19629.376538753306</v>
      </c>
      <c r="K306" s="158">
        <f t="shared" si="130"/>
        <v>20422.802453823628</v>
      </c>
      <c r="L306" s="158">
        <f t="shared" si="130"/>
        <v>21164.563222611752</v>
      </c>
      <c r="M306" s="160">
        <f>C321</f>
        <v>228415.99812587263</v>
      </c>
    </row>
    <row r="307" spans="1:13" hidden="1" outlineLevel="1" x14ac:dyDescent="0.3"/>
    <row r="308" spans="1:13" hidden="1" outlineLevel="1" x14ac:dyDescent="0.3">
      <c r="A308" s="44" t="s">
        <v>187</v>
      </c>
    </row>
    <row r="309" spans="1:13" hidden="1" outlineLevel="1" x14ac:dyDescent="0.3">
      <c r="A309" s="5" t="s">
        <v>31</v>
      </c>
      <c r="F309" s="5">
        <f ca="1">H163</f>
        <v>16523.630884608778</v>
      </c>
      <c r="G309" s="5">
        <f t="shared" ref="G309:L309" ca="1" si="131">I163</f>
        <v>18060.205790773609</v>
      </c>
      <c r="H309" s="5">
        <f t="shared" ca="1" si="131"/>
        <v>18494.742238756306</v>
      </c>
      <c r="I309" s="5">
        <f t="shared" ca="1" si="131"/>
        <v>19429.34260223588</v>
      </c>
      <c r="J309" s="5">
        <f t="shared" ca="1" si="131"/>
        <v>19488.379294720871</v>
      </c>
      <c r="K309" s="5">
        <f t="shared" ca="1" si="131"/>
        <v>20556.688375030717</v>
      </c>
      <c r="L309" s="5">
        <f t="shared" ca="1" si="131"/>
        <v>21586.404005549797</v>
      </c>
    </row>
    <row r="310" spans="1:13" hidden="1" outlineLevel="1" x14ac:dyDescent="0.3">
      <c r="A310" s="5" t="s">
        <v>172</v>
      </c>
      <c r="F310" s="5">
        <f>F300</f>
        <v>6979.1412130376348</v>
      </c>
      <c r="G310" s="5">
        <f t="shared" ref="G310:L310" si="132">G300</f>
        <v>7188.5154494287644</v>
      </c>
      <c r="H310" s="5">
        <f t="shared" si="132"/>
        <v>6968.6314474462379</v>
      </c>
      <c r="I310" s="5">
        <f t="shared" si="132"/>
        <v>7177.6903908696258</v>
      </c>
      <c r="J310" s="5">
        <f t="shared" si="132"/>
        <v>7393.0211025957151</v>
      </c>
      <c r="K310" s="5">
        <f t="shared" si="132"/>
        <v>7138.8860021939872</v>
      </c>
      <c r="L310" s="5">
        <f t="shared" si="132"/>
        <v>7353.0525822598065</v>
      </c>
    </row>
    <row r="311" spans="1:13" hidden="1" outlineLevel="1" x14ac:dyDescent="0.3">
      <c r="A311" s="5" t="s">
        <v>176</v>
      </c>
      <c r="F311" s="5">
        <f ca="1">-(H171+H172)</f>
        <v>9133.9519531571568</v>
      </c>
      <c r="G311" s="5">
        <f t="shared" ref="G311:L311" ca="1" si="133">-(I171+I172)</f>
        <v>10485.784886035697</v>
      </c>
      <c r="H311" s="5">
        <f t="shared" ca="1" si="133"/>
        <v>10768.832915923638</v>
      </c>
      <c r="I311" s="5">
        <f t="shared" ca="1" si="133"/>
        <v>10759.155473279279</v>
      </c>
      <c r="J311" s="5">
        <f t="shared" ca="1" si="133"/>
        <v>10818.192165764973</v>
      </c>
      <c r="K311" s="5">
        <f t="shared" ca="1" si="133"/>
        <v>11886.501246074895</v>
      </c>
      <c r="L311" s="5">
        <f t="shared" ca="1" si="133"/>
        <v>12916.216876739627</v>
      </c>
    </row>
    <row r="312" spans="1:13" hidden="1" outlineLevel="1" x14ac:dyDescent="0.3">
      <c r="A312" s="46" t="s">
        <v>177</v>
      </c>
      <c r="B312" s="28"/>
      <c r="C312" s="69"/>
      <c r="D312" s="46"/>
      <c r="E312" s="46"/>
      <c r="F312" s="46">
        <f ca="1">F309-F310-F311</f>
        <v>0</v>
      </c>
      <c r="G312" s="46">
        <f t="shared" ref="G312:L312" ca="1" si="134">G309-G310-G311</f>
        <v>0</v>
      </c>
      <c r="H312" s="46">
        <f t="shared" ca="1" si="134"/>
        <v>0</v>
      </c>
      <c r="I312" s="46">
        <f t="shared" ca="1" si="134"/>
        <v>-5.2750692702829838E-11</v>
      </c>
      <c r="J312" s="46">
        <f t="shared" ca="1" si="134"/>
        <v>-7.5488060247153044E-10</v>
      </c>
      <c r="K312" s="46">
        <f t="shared" ca="1" si="134"/>
        <v>-8.3127815742045641E-10</v>
      </c>
      <c r="L312" s="46">
        <f t="shared" ca="1" si="134"/>
        <v>-1.4648321666754782E-7</v>
      </c>
      <c r="M312" s="46"/>
    </row>
    <row r="313" spans="1:13" hidden="1" outlineLevel="1" x14ac:dyDescent="0.3"/>
    <row r="314" spans="1:13" hidden="1" outlineLevel="1" x14ac:dyDescent="0.3">
      <c r="A314" s="153" t="s">
        <v>194</v>
      </c>
      <c r="B314" s="139"/>
      <c r="C314" s="154"/>
      <c r="D314" s="139"/>
      <c r="E314" s="155">
        <v>0</v>
      </c>
      <c r="F314" s="139">
        <f ca="1">F312*F296</f>
        <v>0</v>
      </c>
      <c r="G314" s="139">
        <f t="shared" ref="G314:L314" ca="1" si="135">G312*G296</f>
        <v>0</v>
      </c>
      <c r="H314" s="139">
        <f t="shared" ca="1" si="135"/>
        <v>0</v>
      </c>
      <c r="I314" s="139">
        <f t="shared" ca="1" si="135"/>
        <v>-5.2750692702829838E-11</v>
      </c>
      <c r="J314" s="139">
        <f t="shared" ca="1" si="135"/>
        <v>-7.5488060247153044E-10</v>
      </c>
      <c r="K314" s="139">
        <f t="shared" ca="1" si="135"/>
        <v>-8.3127815742045641E-10</v>
      </c>
      <c r="L314" s="139">
        <f t="shared" ca="1" si="135"/>
        <v>-1.4648321666754782E-7</v>
      </c>
      <c r="M314" s="156">
        <f ca="1">C325</f>
        <v>145757.35117509589</v>
      </c>
    </row>
    <row r="315" spans="1:13" hidden="1" outlineLevel="1" x14ac:dyDescent="0.3">
      <c r="A315" s="157" t="s">
        <v>195</v>
      </c>
      <c r="B315" s="158"/>
      <c r="C315" s="159"/>
      <c r="D315" s="158"/>
      <c r="E315" s="158">
        <f ca="1">-C68</f>
        <v>-48505.025125628134</v>
      </c>
      <c r="F315" s="158">
        <f ca="1">F314</f>
        <v>0</v>
      </c>
      <c r="G315" s="158">
        <f t="shared" ref="G315:L315" ca="1" si="136">G314</f>
        <v>0</v>
      </c>
      <c r="H315" s="158">
        <f t="shared" ca="1" si="136"/>
        <v>0</v>
      </c>
      <c r="I315" s="158">
        <f t="shared" ca="1" si="136"/>
        <v>-5.2750692702829838E-11</v>
      </c>
      <c r="J315" s="158">
        <f t="shared" ca="1" si="136"/>
        <v>-7.5488060247153044E-10</v>
      </c>
      <c r="K315" s="158">
        <f t="shared" ca="1" si="136"/>
        <v>-8.3127815742045641E-10</v>
      </c>
      <c r="L315" s="158">
        <f t="shared" ca="1" si="136"/>
        <v>-1.4648321666754782E-7</v>
      </c>
      <c r="M315" s="160">
        <f ca="1">C325</f>
        <v>145757.35117509589</v>
      </c>
    </row>
    <row r="316" spans="1:13" hidden="1" outlineLevel="1" x14ac:dyDescent="0.3"/>
    <row r="317" spans="1:13" hidden="1" outlineLevel="1" x14ac:dyDescent="0.3"/>
    <row r="318" spans="1:13" hidden="1" outlineLevel="1" x14ac:dyDescent="0.3">
      <c r="A318" s="145" t="s">
        <v>179</v>
      </c>
      <c r="B318" s="23"/>
      <c r="C318" s="161"/>
      <c r="E318" s="145" t="s">
        <v>186</v>
      </c>
      <c r="F318" s="23"/>
      <c r="G318" s="161"/>
      <c r="H318" s="145"/>
      <c r="J318" s="145" t="s">
        <v>190</v>
      </c>
      <c r="K318" s="23"/>
      <c r="L318" s="161"/>
    </row>
    <row r="319" spans="1:13" hidden="1" outlineLevel="1" x14ac:dyDescent="0.3">
      <c r="A319" s="5" t="s">
        <v>180</v>
      </c>
      <c r="C319" s="5">
        <f>L298+L301</f>
        <v>38069.333020978775</v>
      </c>
      <c r="G319" s="5" t="s">
        <v>188</v>
      </c>
      <c r="H319" s="25" t="s">
        <v>189</v>
      </c>
    </row>
    <row r="320" spans="1:13" hidden="1" outlineLevel="1" x14ac:dyDescent="0.3">
      <c r="A320" s="5" t="s">
        <v>181</v>
      </c>
      <c r="C320" s="162">
        <f>D45</f>
        <v>6</v>
      </c>
      <c r="E320" s="5" t="s">
        <v>50</v>
      </c>
      <c r="G320" s="29">
        <f>L320</f>
        <v>0.16860679984092716</v>
      </c>
      <c r="H320" s="28">
        <f>XNPV(G320,E305:M305,E295:M295)</f>
        <v>149999.9972300572</v>
      </c>
      <c r="J320" s="5" t="s">
        <v>191</v>
      </c>
      <c r="L320" s="78">
        <f>XIRR(E306:M306,E295:M295)</f>
        <v>0.16860679984092716</v>
      </c>
    </row>
    <row r="321" spans="1:14" hidden="1" outlineLevel="1" x14ac:dyDescent="0.3">
      <c r="A321" s="28" t="s">
        <v>185</v>
      </c>
      <c r="B321" s="28"/>
      <c r="C321" s="69">
        <f>C319*C320</f>
        <v>228415.99812587263</v>
      </c>
      <c r="E321" s="5" t="s">
        <v>187</v>
      </c>
      <c r="G321" s="31">
        <f ca="1">L321</f>
        <v>0.17694390416145325</v>
      </c>
      <c r="H321" s="5">
        <f ca="1">XNPV(G321,E314:M314,E295:M295)</f>
        <v>48505.026586384738</v>
      </c>
      <c r="J321" s="5" t="s">
        <v>192</v>
      </c>
      <c r="L321" s="78">
        <f ca="1">XIRR(E315:M315,E295:M295)</f>
        <v>0.17694390416145325</v>
      </c>
    </row>
    <row r="322" spans="1:14" hidden="1" outlineLevel="1" x14ac:dyDescent="0.3"/>
    <row r="323" spans="1:14" hidden="1" outlineLevel="1" x14ac:dyDescent="0.3">
      <c r="A323" s="5" t="s">
        <v>182</v>
      </c>
      <c r="C323" s="12">
        <f ca="1">N133</f>
        <v>10000.000004589579</v>
      </c>
    </row>
    <row r="324" spans="1:14" hidden="1" outlineLevel="1" x14ac:dyDescent="0.3">
      <c r="A324" s="5" t="s">
        <v>183</v>
      </c>
      <c r="C324" s="12">
        <f ca="1">N142+N145</f>
        <v>40731.364483069468</v>
      </c>
    </row>
    <row r="325" spans="1:14" hidden="1" outlineLevel="1" x14ac:dyDescent="0.3">
      <c r="A325" s="28" t="s">
        <v>184</v>
      </c>
      <c r="B325" s="28"/>
      <c r="C325" s="69">
        <f ca="1">C321+C323-C324</f>
        <v>145757.35117122781</v>
      </c>
    </row>
    <row r="326" spans="1:14" hidden="1" outlineLevel="1" x14ac:dyDescent="0.3"/>
    <row r="327" spans="1:14" hidden="1" outlineLevel="1" x14ac:dyDescent="0.3"/>
    <row r="328" spans="1:14" hidden="1" outlineLevel="1" x14ac:dyDescent="0.3">
      <c r="A328" s="17" t="s">
        <v>196</v>
      </c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</row>
    <row r="329" spans="1:14" hidden="1" outlineLevel="1" x14ac:dyDescent="0.3">
      <c r="E329" s="163">
        <f>E295</f>
        <v>45473</v>
      </c>
      <c r="F329" s="163">
        <f t="shared" ref="F329:M329" si="137">F295</f>
        <v>45747</v>
      </c>
      <c r="G329" s="163">
        <f t="shared" si="137"/>
        <v>46112</v>
      </c>
      <c r="H329" s="163">
        <f t="shared" si="137"/>
        <v>46477</v>
      </c>
      <c r="I329" s="163">
        <f t="shared" si="137"/>
        <v>46843</v>
      </c>
      <c r="J329" s="163">
        <f t="shared" si="137"/>
        <v>47208</v>
      </c>
      <c r="K329" s="163">
        <f t="shared" si="137"/>
        <v>47573</v>
      </c>
      <c r="L329" s="163">
        <f>L295</f>
        <v>47938</v>
      </c>
      <c r="M329" s="163">
        <f t="shared" si="137"/>
        <v>47938</v>
      </c>
    </row>
    <row r="330" spans="1:14" hidden="1" outlineLevel="1" x14ac:dyDescent="0.3">
      <c r="A330" s="143" t="s">
        <v>201</v>
      </c>
      <c r="B330" s="36"/>
      <c r="C330" s="164" t="s">
        <v>199</v>
      </c>
      <c r="D330" s="84"/>
      <c r="E330" s="165" t="s">
        <v>200</v>
      </c>
      <c r="F330" s="165"/>
      <c r="G330" s="165"/>
      <c r="H330" s="165"/>
      <c r="I330" s="165"/>
      <c r="J330" s="165"/>
      <c r="K330" s="165"/>
      <c r="L330" s="165"/>
      <c r="M330" s="165"/>
    </row>
    <row r="331" spans="1:14" hidden="1" outlineLevel="1" x14ac:dyDescent="0.3">
      <c r="A331" s="28" t="str">
        <f t="shared" ref="A331:A334" si="138">A65</f>
        <v>Term Loan 1</v>
      </c>
      <c r="B331" s="36"/>
      <c r="C331" s="70">
        <f ca="1">XIRR(E331:M331,$E$329:$M$329)</f>
        <v>4.7326228022575384E-2</v>
      </c>
      <c r="D331" s="36"/>
      <c r="E331" s="28">
        <f>-G232</f>
        <v>-50000</v>
      </c>
      <c r="F331" s="28">
        <f ca="1">H234+H230+H231</f>
        <v>7375</v>
      </c>
      <c r="G331" s="28">
        <f t="shared" ref="G331:M331" ca="1" si="139">I234+I230+I231</f>
        <v>7125</v>
      </c>
      <c r="H331" s="28">
        <f t="shared" ca="1" si="139"/>
        <v>6875</v>
      </c>
      <c r="I331" s="28">
        <f t="shared" ca="1" si="139"/>
        <v>6625</v>
      </c>
      <c r="J331" s="28">
        <f t="shared" ca="1" si="139"/>
        <v>30749.999999999989</v>
      </c>
      <c r="K331" s="28">
        <f t="shared" ca="1" si="139"/>
        <v>0</v>
      </c>
      <c r="L331" s="28">
        <f t="shared" ca="1" si="139"/>
        <v>0</v>
      </c>
      <c r="M331" s="28">
        <f t="shared" si="139"/>
        <v>0</v>
      </c>
    </row>
    <row r="332" spans="1:14" hidden="1" outlineLevel="1" x14ac:dyDescent="0.3">
      <c r="A332" s="36" t="str">
        <f t="shared" si="138"/>
        <v>Term Loan 2</v>
      </c>
      <c r="B332" s="36"/>
      <c r="C332" s="76">
        <f ca="1">XIRR(E332:M332,$E$329:$M$329)</f>
        <v>6.7209121584892298E-2</v>
      </c>
      <c r="D332" s="36"/>
      <c r="E332" s="36">
        <f>-G240</f>
        <v>-50000</v>
      </c>
      <c r="F332" s="36">
        <f ca="1">H242+H238+H239</f>
        <v>8325</v>
      </c>
      <c r="G332" s="36">
        <f t="shared" ref="G332:M332" ca="1" si="140">I242+I238+I239</f>
        <v>7975</v>
      </c>
      <c r="H332" s="36">
        <f t="shared" ca="1" si="140"/>
        <v>7625</v>
      </c>
      <c r="I332" s="36">
        <f t="shared" ca="1" si="140"/>
        <v>7275</v>
      </c>
      <c r="J332" s="36">
        <f t="shared" ca="1" si="140"/>
        <v>6925</v>
      </c>
      <c r="K332" s="36">
        <f t="shared" ca="1" si="140"/>
        <v>25875</v>
      </c>
      <c r="L332" s="36">
        <f t="shared" ca="1" si="140"/>
        <v>0</v>
      </c>
      <c r="M332" s="36">
        <f t="shared" si="140"/>
        <v>0</v>
      </c>
    </row>
    <row r="333" spans="1:14" hidden="1" outlineLevel="1" x14ac:dyDescent="0.3">
      <c r="A333" s="36" t="str">
        <f t="shared" si="138"/>
        <v>Sub Debt 1</v>
      </c>
      <c r="C333" s="76">
        <f ca="1">XIRR(E333:M333,$E$329:$M$329)</f>
        <v>0.12012106776237486</v>
      </c>
      <c r="E333" s="5">
        <f>-G248</f>
        <v>-11250</v>
      </c>
      <c r="F333" s="5">
        <f ca="1">H250+H246+H247</f>
        <v>1350</v>
      </c>
      <c r="G333" s="5">
        <f t="shared" ref="G333:M333" ca="1" si="141">I250+I246+I247</f>
        <v>1350</v>
      </c>
      <c r="H333" s="5">
        <f t="shared" ca="1" si="141"/>
        <v>1350</v>
      </c>
      <c r="I333" s="5">
        <f t="shared" ca="1" si="141"/>
        <v>1350</v>
      </c>
      <c r="J333" s="5">
        <f t="shared" ca="1" si="141"/>
        <v>1350</v>
      </c>
      <c r="K333" s="5">
        <f t="shared" ca="1" si="141"/>
        <v>1350</v>
      </c>
      <c r="L333" s="5">
        <f t="shared" ca="1" si="141"/>
        <v>11925</v>
      </c>
      <c r="M333" s="5">
        <f t="shared" si="141"/>
        <v>0</v>
      </c>
    </row>
    <row r="334" spans="1:14" hidden="1" outlineLevel="1" x14ac:dyDescent="0.3">
      <c r="A334" s="36" t="str">
        <f t="shared" si="138"/>
        <v>Sponsor Equity</v>
      </c>
      <c r="C334" s="76">
        <f ca="1">XIRR(E334:M334,$E$329:$M$329)</f>
        <v>0.17694390416145325</v>
      </c>
      <c r="E334" s="5">
        <f ca="1">+E315</f>
        <v>-48505.025125628134</v>
      </c>
      <c r="F334" s="5">
        <f ca="1">F315</f>
        <v>0</v>
      </c>
      <c r="G334" s="5">
        <f t="shared" ref="G334:M334" ca="1" si="142">G315</f>
        <v>0</v>
      </c>
      <c r="H334" s="5">
        <f t="shared" ca="1" si="142"/>
        <v>0</v>
      </c>
      <c r="I334" s="5">
        <f t="shared" ca="1" si="142"/>
        <v>-5.2750692702829838E-11</v>
      </c>
      <c r="J334" s="5">
        <f t="shared" ca="1" si="142"/>
        <v>-7.5488060247153044E-10</v>
      </c>
      <c r="K334" s="5">
        <f t="shared" ca="1" si="142"/>
        <v>-8.3127815742045641E-10</v>
      </c>
      <c r="L334" s="5">
        <f t="shared" ca="1" si="142"/>
        <v>-1.4648321666754782E-7</v>
      </c>
      <c r="M334" s="5">
        <f t="shared" ca="1" si="142"/>
        <v>145757.35117509589</v>
      </c>
    </row>
    <row r="335" spans="1:14" hidden="1" outlineLevel="1" x14ac:dyDescent="0.3">
      <c r="A335" s="36"/>
      <c r="C335" s="78"/>
    </row>
    <row r="336" spans="1:14" hidden="1" outlineLevel="1" x14ac:dyDescent="0.3">
      <c r="A336" s="36" t="s">
        <v>246</v>
      </c>
      <c r="C336" s="166">
        <f ca="1">SUM(F334:M334)/(-E334)</f>
        <v>3.0049948597580536</v>
      </c>
    </row>
    <row r="337" spans="1:14" hidden="1" outlineLevel="1" x14ac:dyDescent="0.3">
      <c r="A337" s="36"/>
      <c r="C337" s="166"/>
    </row>
    <row r="338" spans="1:14" hidden="1" outlineLevel="1" x14ac:dyDescent="0.3"/>
    <row r="339" spans="1:14" hidden="1" outlineLevel="1" x14ac:dyDescent="0.3">
      <c r="B339" s="167"/>
      <c r="C339" s="167"/>
      <c r="D339" s="167" t="s">
        <v>247</v>
      </c>
      <c r="E339" s="167"/>
      <c r="F339" s="167"/>
      <c r="G339" s="167"/>
      <c r="I339" s="167"/>
      <c r="J339" s="167" t="s">
        <v>249</v>
      </c>
      <c r="K339" s="167"/>
      <c r="L339" s="167"/>
      <c r="M339" s="167"/>
      <c r="N339" s="167"/>
    </row>
    <row r="340" spans="1:14" hidden="1" outlineLevel="1" x14ac:dyDescent="0.3">
      <c r="C340" s="168"/>
      <c r="D340" s="168" t="s">
        <v>248</v>
      </c>
      <c r="E340" s="168"/>
      <c r="F340" s="168"/>
      <c r="G340" s="168"/>
      <c r="J340" s="168"/>
      <c r="K340" s="168" t="s">
        <v>224</v>
      </c>
      <c r="L340" s="168"/>
      <c r="M340" s="168"/>
      <c r="N340" s="168"/>
    </row>
    <row r="341" spans="1:14" hidden="1" outlineLevel="1" x14ac:dyDescent="0.3">
      <c r="B341" s="169">
        <f ca="1">C334</f>
        <v>0.17694390416145325</v>
      </c>
      <c r="C341" s="170">
        <v>5</v>
      </c>
      <c r="D341" s="170">
        <f t="shared" ref="D341:G341" si="143">C341+0.5</f>
        <v>5.5</v>
      </c>
      <c r="E341" s="170">
        <f t="shared" si="143"/>
        <v>6</v>
      </c>
      <c r="F341" s="170">
        <f t="shared" si="143"/>
        <v>6.5</v>
      </c>
      <c r="G341" s="170">
        <f t="shared" si="143"/>
        <v>7</v>
      </c>
      <c r="I341" s="169">
        <f ca="1">C336</f>
        <v>3.0049948597580536</v>
      </c>
      <c r="J341" s="170">
        <f>5</f>
        <v>5</v>
      </c>
      <c r="K341" s="170">
        <f>J341+0.5</f>
        <v>5.5</v>
      </c>
      <c r="L341" s="170">
        <f t="shared" ref="L341:N341" si="144">K341+0.5</f>
        <v>6</v>
      </c>
      <c r="M341" s="170">
        <f t="shared" si="144"/>
        <v>6.5</v>
      </c>
      <c r="N341" s="170">
        <f t="shared" si="144"/>
        <v>7</v>
      </c>
    </row>
    <row r="342" spans="1:14" hidden="1" outlineLevel="1" x14ac:dyDescent="0.3">
      <c r="B342" s="171">
        <f>5</f>
        <v>5</v>
      </c>
      <c r="C342" s="70">
        <f t="dataTable" ref="C342:G346" dt2D="1" dtr="1" r1="D44" r2="D45" ca="1"/>
        <v>0.17694390416145325</v>
      </c>
      <c r="D342" s="70">
        <v>0.17694390416145325</v>
      </c>
      <c r="E342" s="70">
        <v>0.17694390416145325</v>
      </c>
      <c r="F342" s="70">
        <v>0.17694390416145325</v>
      </c>
      <c r="G342" s="70">
        <v>0.17694390416145325</v>
      </c>
      <c r="I342" s="171">
        <f>5</f>
        <v>5</v>
      </c>
      <c r="J342" s="172">
        <f t="dataTable" ref="J342:N346" dt2D="1" dtr="1" r1="D44" r2="D45" ca="1"/>
        <v>3.0049948597580536</v>
      </c>
      <c r="K342" s="172">
        <v>3.0049948597580536</v>
      </c>
      <c r="L342" s="172">
        <v>3.0049948597580536</v>
      </c>
      <c r="M342" s="172">
        <v>3.0049948597580536</v>
      </c>
      <c r="N342" s="172">
        <v>3.0049948597580536</v>
      </c>
    </row>
    <row r="343" spans="1:14" hidden="1" outlineLevel="1" x14ac:dyDescent="0.3">
      <c r="B343" s="171">
        <f>B342+0.5</f>
        <v>5.5</v>
      </c>
      <c r="C343" s="78">
        <v>0.17694390416145325</v>
      </c>
      <c r="D343" s="78">
        <v>0.17694390416145325</v>
      </c>
      <c r="E343" s="78">
        <v>0.17694390416145325</v>
      </c>
      <c r="F343" s="78">
        <v>0.17694390416145325</v>
      </c>
      <c r="G343" s="78">
        <v>0.17694390416145325</v>
      </c>
      <c r="I343" s="171">
        <f>I342+0.5</f>
        <v>5.5</v>
      </c>
      <c r="J343" s="173">
        <v>3.0049948597580536</v>
      </c>
      <c r="K343" s="173">
        <v>3.0049948597580536</v>
      </c>
      <c r="L343" s="173">
        <v>3.0049948597580536</v>
      </c>
      <c r="M343" s="173">
        <v>3.0049948597580536</v>
      </c>
      <c r="N343" s="173">
        <v>3.0049948597580536</v>
      </c>
    </row>
    <row r="344" spans="1:14" hidden="1" outlineLevel="1" x14ac:dyDescent="0.3">
      <c r="B344" s="171">
        <f>B343+0.5</f>
        <v>6</v>
      </c>
      <c r="C344" s="78">
        <v>0.17694390416145325</v>
      </c>
      <c r="D344" s="78">
        <v>0.17694390416145325</v>
      </c>
      <c r="E344" s="78">
        <v>0.17694390416145325</v>
      </c>
      <c r="F344" s="78">
        <v>0.17694390416145325</v>
      </c>
      <c r="G344" s="78">
        <v>0.17694390416145325</v>
      </c>
      <c r="I344" s="171">
        <f t="shared" ref="I344:I346" si="145">I343+0.5</f>
        <v>6</v>
      </c>
      <c r="J344" s="173">
        <v>3.0049948597580536</v>
      </c>
      <c r="K344" s="173">
        <v>3.0049948597580536</v>
      </c>
      <c r="L344" s="173">
        <v>3.0049948597580536</v>
      </c>
      <c r="M344" s="173">
        <v>3.0049948597580536</v>
      </c>
      <c r="N344" s="173">
        <v>3.0049948597580536</v>
      </c>
    </row>
    <row r="345" spans="1:14" hidden="1" outlineLevel="1" x14ac:dyDescent="0.3">
      <c r="B345" s="171">
        <f>B344+0.5</f>
        <v>6.5</v>
      </c>
      <c r="C345" s="78">
        <v>0.17694390416145325</v>
      </c>
      <c r="D345" s="78">
        <v>0.17694390416145325</v>
      </c>
      <c r="E345" s="78">
        <v>0.17694390416145325</v>
      </c>
      <c r="F345" s="78">
        <v>0.17694390416145325</v>
      </c>
      <c r="G345" s="78">
        <v>0.17694390416145325</v>
      </c>
      <c r="I345" s="171">
        <f t="shared" si="145"/>
        <v>6.5</v>
      </c>
      <c r="J345" s="173">
        <v>3.0049948597580536</v>
      </c>
      <c r="K345" s="173">
        <v>3.0049948597580536</v>
      </c>
      <c r="L345" s="173">
        <v>3.0049948597580536</v>
      </c>
      <c r="M345" s="173">
        <v>3.0049948597580536</v>
      </c>
      <c r="N345" s="173">
        <v>3.0049948597580536</v>
      </c>
    </row>
    <row r="346" spans="1:14" hidden="1" outlineLevel="1" x14ac:dyDescent="0.3">
      <c r="B346" s="171">
        <f>B345+0.5</f>
        <v>7</v>
      </c>
      <c r="C346" s="78">
        <v>0.17694390416145325</v>
      </c>
      <c r="D346" s="78">
        <v>0.17694390416145325</v>
      </c>
      <c r="E346" s="78">
        <v>0.17694390416145325</v>
      </c>
      <c r="F346" s="78">
        <v>0.17694390416145325</v>
      </c>
      <c r="G346" s="78">
        <v>0.17694390416145325</v>
      </c>
      <c r="I346" s="171">
        <f t="shared" si="145"/>
        <v>7</v>
      </c>
      <c r="J346" s="173">
        <v>3.0049948597580536</v>
      </c>
      <c r="K346" s="173">
        <v>3.0049948597580536</v>
      </c>
      <c r="L346" s="173">
        <v>3.0049948597580536</v>
      </c>
      <c r="M346" s="173">
        <v>3.0049948597580536</v>
      </c>
      <c r="N346" s="173">
        <v>3.0049948597580536</v>
      </c>
    </row>
    <row r="347" spans="1:14" hidden="1" outlineLevel="1" x14ac:dyDescent="0.3">
      <c r="C347" s="5"/>
    </row>
    <row r="348" spans="1:14" hidden="1" outlineLevel="1" x14ac:dyDescent="0.3">
      <c r="C348" s="5"/>
    </row>
    <row r="349" spans="1:14" hidden="1" outlineLevel="1" x14ac:dyDescent="0.3">
      <c r="B349" s="167"/>
      <c r="C349" s="167" t="s">
        <v>250</v>
      </c>
      <c r="D349" s="167"/>
      <c r="E349" s="167"/>
      <c r="F349" s="167"/>
      <c r="G349" s="167"/>
      <c r="I349" s="167"/>
      <c r="J349" s="167"/>
      <c r="K349" s="167"/>
      <c r="L349" s="167"/>
      <c r="M349" s="167"/>
      <c r="N349" s="167"/>
    </row>
    <row r="350" spans="1:14" hidden="1" outlineLevel="1" x14ac:dyDescent="0.3">
      <c r="C350" s="168"/>
      <c r="D350" s="168" t="s">
        <v>251</v>
      </c>
      <c r="E350" s="168"/>
      <c r="F350" s="168"/>
      <c r="G350" s="168"/>
      <c r="J350" s="168"/>
      <c r="K350" s="168" t="s">
        <v>252</v>
      </c>
      <c r="L350" s="168"/>
      <c r="M350" s="168"/>
      <c r="N350" s="168"/>
    </row>
    <row r="351" spans="1:14" hidden="1" outlineLevel="1" x14ac:dyDescent="0.3">
      <c r="B351" s="169">
        <f ca="1">C334</f>
        <v>0.17694390416145325</v>
      </c>
      <c r="C351" s="170">
        <f>1.5</f>
        <v>1.5</v>
      </c>
      <c r="D351" s="170">
        <f>C351+0.25</f>
        <v>1.75</v>
      </c>
      <c r="E351" s="170">
        <f t="shared" ref="E351:G351" si="146">D351+0.25</f>
        <v>2</v>
      </c>
      <c r="F351" s="170">
        <f t="shared" si="146"/>
        <v>2.25</v>
      </c>
      <c r="G351" s="170">
        <f t="shared" si="146"/>
        <v>2.5</v>
      </c>
      <c r="I351" s="169">
        <f ca="1">C336</f>
        <v>3.0049948597580536</v>
      </c>
      <c r="J351" s="170">
        <f>1.5</f>
        <v>1.5</v>
      </c>
      <c r="K351" s="170">
        <f>J351+0.25</f>
        <v>1.75</v>
      </c>
      <c r="L351" s="170">
        <f t="shared" ref="L351:N351" si="147">K351+0.25</f>
        <v>2</v>
      </c>
      <c r="M351" s="170">
        <f t="shared" si="147"/>
        <v>2.25</v>
      </c>
      <c r="N351" s="170">
        <f t="shared" si="147"/>
        <v>2.5</v>
      </c>
    </row>
    <row r="352" spans="1:14" hidden="1" outlineLevel="1" x14ac:dyDescent="0.3">
      <c r="B352" s="171">
        <f>1.5</f>
        <v>1.5</v>
      </c>
      <c r="C352" s="70">
        <f t="dataTable" ref="C352:G356" dt2D="1" dtr="1" r1="B54" r2="B55" ca="1"/>
        <v>0.17694390416145325</v>
      </c>
      <c r="D352" s="70">
        <v>0.17694390416145325</v>
      </c>
      <c r="E352" s="70">
        <v>0.17694390416145325</v>
      </c>
      <c r="F352" s="70">
        <v>0.17694390416145325</v>
      </c>
      <c r="G352" s="70">
        <v>0.17694390416145325</v>
      </c>
      <c r="I352" s="171">
        <f>1.5</f>
        <v>1.5</v>
      </c>
      <c r="J352" s="172">
        <f t="dataTable" ref="J352:N356" dt2D="1" dtr="1" r1="B54" r2="B55" ca="1"/>
        <v>3.0049948597580536</v>
      </c>
      <c r="K352" s="172">
        <v>3.0049948597580536</v>
      </c>
      <c r="L352" s="172">
        <v>3.0049948597580536</v>
      </c>
      <c r="M352" s="172">
        <v>3.0049948597580536</v>
      </c>
      <c r="N352" s="172">
        <v>3.0049948597580536</v>
      </c>
    </row>
    <row r="353" spans="2:14" hidden="1" outlineLevel="1" x14ac:dyDescent="0.3">
      <c r="B353" s="171">
        <f>B352+0.25</f>
        <v>1.75</v>
      </c>
      <c r="C353" s="78">
        <v>0.17694390416145325</v>
      </c>
      <c r="D353" s="78">
        <v>0.17694390416145325</v>
      </c>
      <c r="E353" s="78">
        <v>0.17694390416145325</v>
      </c>
      <c r="F353" s="78">
        <v>0.17694390416145325</v>
      </c>
      <c r="G353" s="78">
        <v>0.17694390416145325</v>
      </c>
      <c r="I353" s="171">
        <f>I352+0.25</f>
        <v>1.75</v>
      </c>
      <c r="J353" s="173">
        <v>3.0049948597580536</v>
      </c>
      <c r="K353" s="173">
        <v>3.0049948597580536</v>
      </c>
      <c r="L353" s="173">
        <v>3.0049948597580536</v>
      </c>
      <c r="M353" s="173">
        <v>3.0049948597580536</v>
      </c>
      <c r="N353" s="173">
        <v>3.0049948597580536</v>
      </c>
    </row>
    <row r="354" spans="2:14" hidden="1" outlineLevel="1" x14ac:dyDescent="0.3">
      <c r="B354" s="171">
        <f t="shared" ref="B354:B356" si="148">B353+0.25</f>
        <v>2</v>
      </c>
      <c r="C354" s="78">
        <v>0.17694390416145325</v>
      </c>
      <c r="D354" s="78">
        <v>0.17694390416145325</v>
      </c>
      <c r="E354" s="78">
        <v>0.17694390416145325</v>
      </c>
      <c r="F354" s="78">
        <v>0.17694390416145325</v>
      </c>
      <c r="G354" s="78">
        <v>0.17694390416145325</v>
      </c>
      <c r="I354" s="171">
        <f t="shared" ref="I354:I356" si="149">I353+0.25</f>
        <v>2</v>
      </c>
      <c r="J354" s="173">
        <v>3.0049948597580536</v>
      </c>
      <c r="K354" s="173">
        <v>3.0049948597580536</v>
      </c>
      <c r="L354" s="173">
        <v>3.0049948597580536</v>
      </c>
      <c r="M354" s="173">
        <v>3.0049948597580536</v>
      </c>
      <c r="N354" s="173">
        <v>3.0049948597580536</v>
      </c>
    </row>
    <row r="355" spans="2:14" hidden="1" outlineLevel="1" x14ac:dyDescent="0.3">
      <c r="B355" s="171">
        <f t="shared" si="148"/>
        <v>2.25</v>
      </c>
      <c r="C355" s="78">
        <v>0.17694390416145325</v>
      </c>
      <c r="D355" s="78">
        <v>0.17694390416145325</v>
      </c>
      <c r="E355" s="78">
        <v>0.17694390416145325</v>
      </c>
      <c r="F355" s="78">
        <v>0.17694390416145325</v>
      </c>
      <c r="G355" s="78">
        <v>0.17694390416145325</v>
      </c>
      <c r="I355" s="171">
        <f t="shared" si="149"/>
        <v>2.25</v>
      </c>
      <c r="J355" s="173">
        <v>3.0049948597580536</v>
      </c>
      <c r="K355" s="173">
        <v>3.0049948597580536</v>
      </c>
      <c r="L355" s="173">
        <v>3.0049948597580536</v>
      </c>
      <c r="M355" s="173">
        <v>3.0049948597580536</v>
      </c>
      <c r="N355" s="173">
        <v>3.0049948597580536</v>
      </c>
    </row>
    <row r="356" spans="2:14" hidden="1" outlineLevel="1" x14ac:dyDescent="0.3">
      <c r="B356" s="171">
        <f t="shared" si="148"/>
        <v>2.5</v>
      </c>
      <c r="C356" s="78">
        <v>0.17694390416145325</v>
      </c>
      <c r="D356" s="78">
        <v>0.17694390416145325</v>
      </c>
      <c r="E356" s="78">
        <v>0.17694390416145325</v>
      </c>
      <c r="F356" s="78">
        <v>0.17694390416145325</v>
      </c>
      <c r="G356" s="78">
        <v>0.17694390416145325</v>
      </c>
      <c r="I356" s="171">
        <f t="shared" si="149"/>
        <v>2.5</v>
      </c>
      <c r="J356" s="173">
        <v>3.0049948597580536</v>
      </c>
      <c r="K356" s="173">
        <v>3.0049948597580536</v>
      </c>
      <c r="L356" s="173">
        <v>3.0049948597580536</v>
      </c>
      <c r="M356" s="173">
        <v>3.0049948597580536</v>
      </c>
      <c r="N356" s="173">
        <v>3.0049948597580536</v>
      </c>
    </row>
    <row r="357" spans="2:14" hidden="1" outlineLevel="1" x14ac:dyDescent="0.3"/>
    <row r="358" spans="2:14" collapsed="1" x14ac:dyDescent="0.3"/>
  </sheetData>
  <conditionalFormatting sqref="D103:F103">
    <cfRule type="containsText" dxfId="25" priority="37" operator="containsText" text="OK">
      <formula>NOT(ISERROR(SEARCH("OK",D103)))</formula>
    </cfRule>
    <cfRule type="containsText" dxfId="24" priority="38" operator="containsText" text="ERROR">
      <formula>NOT(ISERROR(SEARCH("ERROR",D103)))</formula>
    </cfRule>
  </conditionalFormatting>
  <conditionalFormatting sqref="D5:M5">
    <cfRule type="containsText" dxfId="23" priority="43" operator="containsText" text="OK">
      <formula>NOT(ISERROR(SEARCH("OK",D5)))</formula>
    </cfRule>
    <cfRule type="containsText" dxfId="22" priority="44" operator="containsText" text="ERROR">
      <formula>NOT(ISERROR(SEARCH("ERROR",D5)))</formula>
    </cfRule>
  </conditionalFormatting>
  <conditionalFormatting sqref="D262:M262">
    <cfRule type="containsText" dxfId="21" priority="41" operator="containsText" text="OK">
      <formula>NOT(ISERROR(SEARCH("OK",D262)))</formula>
    </cfRule>
    <cfRule type="containsText" dxfId="20" priority="42" operator="containsText" text="ERROR">
      <formula>NOT(ISERROR(SEARCH("ERROR",D262)))</formula>
    </cfRule>
  </conditionalFormatting>
  <conditionalFormatting sqref="D292:M292">
    <cfRule type="containsText" dxfId="19" priority="25" operator="containsText" text="OK">
      <formula>NOT(ISERROR(SEARCH("OK",D292)))</formula>
    </cfRule>
    <cfRule type="containsText" dxfId="18" priority="26" operator="containsText" text="ERROR">
      <formula>NOT(ISERROR(SEARCH("ERROR",D292)))</formula>
    </cfRule>
  </conditionalFormatting>
  <conditionalFormatting sqref="D3:N3 D86:F101">
    <cfRule type="containsText" dxfId="17" priority="45" operator="containsText" text="OK">
      <formula>NOT(ISERROR(SEARCH("OK",D3)))</formula>
    </cfRule>
    <cfRule type="containsText" dxfId="16" priority="46" operator="containsText" text="ERROR">
      <formula>NOT(ISERROR(SEARCH("ERROR",D3)))</formula>
    </cfRule>
  </conditionalFormatting>
  <conditionalFormatting sqref="D84:N85">
    <cfRule type="containsText" dxfId="15" priority="27" operator="containsText" text="OK">
      <formula>NOT(ISERROR(SEARCH("OK",D84)))</formula>
    </cfRule>
    <cfRule type="containsText" dxfId="14" priority="28" operator="containsText" text="ERROR">
      <formula>NOT(ISERROR(SEARCH("ERROR",D84)))</formula>
    </cfRule>
  </conditionalFormatting>
  <conditionalFormatting sqref="D111:N112">
    <cfRule type="containsText" dxfId="13" priority="39" operator="containsText" text="OK">
      <formula>NOT(ISERROR(SEARCH("OK",D111)))</formula>
    </cfRule>
    <cfRule type="containsText" dxfId="12" priority="40" operator="containsText" text="ERROR">
      <formula>NOT(ISERROR(SEARCH("ERROR",D111)))</formula>
    </cfRule>
  </conditionalFormatting>
  <conditionalFormatting sqref="D130:N130">
    <cfRule type="containsText" dxfId="11" priority="11" operator="containsText" text="OK">
      <formula>NOT(ISERROR(SEARCH("OK",D130)))</formula>
    </cfRule>
    <cfRule type="containsText" dxfId="10" priority="12" operator="containsText" text="ERROR">
      <formula>NOT(ISERROR(SEARCH("ERROR",D130)))</formula>
    </cfRule>
  </conditionalFormatting>
  <conditionalFormatting sqref="D157:N157">
    <cfRule type="containsText" dxfId="9" priority="7" operator="containsText" text="OK">
      <formula>NOT(ISERROR(SEARCH("OK",D157)))</formula>
    </cfRule>
    <cfRule type="containsText" dxfId="8" priority="8" operator="containsText" text="ERROR">
      <formula>NOT(ISERROR(SEARCH("ERROR",D157)))</formula>
    </cfRule>
  </conditionalFormatting>
  <conditionalFormatting sqref="D184:N184">
    <cfRule type="containsText" dxfId="7" priority="5" operator="containsText" text="OK">
      <formula>NOT(ISERROR(SEARCH("OK",D184)))</formula>
    </cfRule>
    <cfRule type="containsText" dxfId="6" priority="6" operator="containsText" text="ERROR">
      <formula>NOT(ISERROR(SEARCH("ERROR",D184)))</formula>
    </cfRule>
  </conditionalFormatting>
  <conditionalFormatting sqref="D202:N202">
    <cfRule type="containsText" dxfId="5" priority="1" operator="containsText" text="OK">
      <formula>NOT(ISERROR(SEARCH("OK",D202)))</formula>
    </cfRule>
    <cfRule type="containsText" dxfId="4" priority="2" operator="containsText" text="ERROR">
      <formula>NOT(ISERROR(SEARCH("ERROR",D202)))</formula>
    </cfRule>
  </conditionalFormatting>
  <conditionalFormatting sqref="E294:M295">
    <cfRule type="containsText" dxfId="3" priority="17" operator="containsText" text="OK">
      <formula>NOT(ISERROR(SEARCH("OK",E294)))</formula>
    </cfRule>
    <cfRule type="containsText" dxfId="2" priority="18" operator="containsText" text="ERROR">
      <formula>NOT(ISERROR(SEARCH("ERROR",E294)))</formula>
    </cfRule>
  </conditionalFormatting>
  <conditionalFormatting sqref="M296">
    <cfRule type="containsText" dxfId="1" priority="19" operator="containsText" text="OK">
      <formula>NOT(ISERROR(SEARCH("OK",M296)))</formula>
    </cfRule>
    <cfRule type="containsText" dxfId="0" priority="20" operator="containsText" text="ERROR">
      <formula>NOT(ISERROR(SEARCH("ERROR",M296)))</formula>
    </cfRule>
  </conditionalFormatting>
  <dataValidations count="2">
    <dataValidation type="list" allowBlank="1" showInputMessage="1" showErrorMessage="1" sqref="G2" xr:uid="{96B1828C-8A27-4778-A828-7A7645ED4721}">
      <formula1>$H$7:$J$7</formula1>
    </dataValidation>
    <dataValidation type="list" allowBlank="1" showInputMessage="1" showErrorMessage="1" sqref="C47" xr:uid="{C5F91511-FB19-4BF7-AE53-2FAB55359F5A}">
      <formula1>"OFF,NO"</formula1>
    </dataValidation>
  </dataValidations>
  <pageMargins left="0.7" right="0.7" top="0.75" bottom="0.75" header="0.3" footer="0.3"/>
  <pageSetup scale="61" orientation="landscape" r:id="rId1"/>
  <ignoredErrors>
    <ignoredError sqref="D111:N111 H6:N6 H7:J7 H39:N47 C52:C57 D52:D57 B58:D58 C63:C68 H63:H65 C69:H69 M74:M80 D74:F79 D187:G198 D268:L288" unlockedFormula="1"/>
    <ignoredError sqref="H66:H68" formulaRange="1" unlockedFormula="1"/>
  </ignoredError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LBO Model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2004-07-20T21:40:42Z</dcterms:created>
  <dcterms:modified xsi:type="dcterms:W3CDTF">2026-06-15T15:35:24Z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 By">
    <vt:lpwstr>SoftArtisans OfficeWriter for Excel 8.6.2.281 (http://officewriter.softartisans.com)</vt:lpwstr>
  </property>
</Properties>
</file>