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BFEF7E38DA6C85/Documents/"/>
    </mc:Choice>
  </mc:AlternateContent>
  <xr:revisionPtr revIDLastSave="0" documentId="8_{67359F51-3FDF-4798-9400-B08C0C5F96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quirer statements" sheetId="7" r:id="rId1"/>
    <sheet name="Target statements" sheetId="6" r:id="rId2"/>
    <sheet name="Mapped" sheetId="8" r:id="rId3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8" l="1"/>
  <c r="K40" i="8"/>
  <c r="L40" i="8"/>
  <c r="M40" i="8"/>
  <c r="I40" i="8"/>
  <c r="F40" i="8"/>
  <c r="J35" i="8"/>
  <c r="K35" i="8"/>
  <c r="L35" i="8"/>
  <c r="M35" i="8"/>
  <c r="I35" i="8"/>
  <c r="F35" i="8"/>
  <c r="J27" i="8"/>
  <c r="K27" i="8"/>
  <c r="L27" i="8"/>
  <c r="M27" i="8"/>
  <c r="I27" i="8"/>
  <c r="F27" i="8"/>
  <c r="J25" i="8"/>
  <c r="K25" i="8"/>
  <c r="L25" i="8"/>
  <c r="M25" i="8"/>
  <c r="I25" i="8"/>
  <c r="F25" i="8"/>
  <c r="J24" i="8"/>
  <c r="K24" i="8"/>
  <c r="L24" i="8"/>
  <c r="M24" i="8"/>
  <c r="I24" i="8"/>
  <c r="F24" i="8"/>
  <c r="F20" i="8"/>
  <c r="J13" i="8"/>
  <c r="K13" i="8"/>
  <c r="L13" i="8"/>
  <c r="M13" i="8"/>
  <c r="I13" i="8"/>
  <c r="F13" i="8"/>
  <c r="J10" i="8"/>
  <c r="K10" i="8"/>
  <c r="L10" i="8"/>
  <c r="M10" i="8"/>
  <c r="I10" i="8"/>
  <c r="F10" i="8"/>
  <c r="J9" i="8"/>
  <c r="K9" i="8"/>
  <c r="L9" i="8"/>
  <c r="M9" i="8"/>
  <c r="I9" i="8"/>
  <c r="F9" i="8"/>
  <c r="F8" i="8"/>
  <c r="J6" i="8"/>
  <c r="K6" i="8"/>
  <c r="L6" i="8"/>
  <c r="M6" i="8"/>
  <c r="I6" i="8"/>
  <c r="F3" i="8"/>
</calcChain>
</file>

<file path=xl/sharedStrings.xml><?xml version="1.0" encoding="utf-8"?>
<sst xmlns="http://schemas.openxmlformats.org/spreadsheetml/2006/main" count="148" uniqueCount="50">
  <si>
    <t>Income Statement</t>
  </si>
  <si>
    <t>Revenue</t>
  </si>
  <si>
    <t>Cost of Goods Sold (COGS)</t>
  </si>
  <si>
    <t>Gross Profit</t>
  </si>
  <si>
    <t>Expenses</t>
  </si>
  <si>
    <t>Marketing, Advertising &amp; Promotion</t>
  </si>
  <si>
    <t>General &amp; Administrative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</si>
  <si>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</si>
  <si>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</si>
  <si>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</si>
  <si>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</si>
  <si>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</si>
  <si>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</si>
  <si>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</si>
  <si>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</si>
  <si>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</si>
  <si>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</si>
  <si>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</si>
  <si>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Current Assets</t>
  </si>
  <si>
    <t>Property &amp; Equipment</t>
  </si>
  <si>
    <t>Goodwill</t>
  </si>
  <si>
    <t>Total Assets</t>
  </si>
  <si>
    <t>Liabilities</t>
  </si>
  <si>
    <t>Short Term Debt</t>
  </si>
  <si>
    <t>Accounts Payable</t>
  </si>
  <si>
    <t>Current Liabilities</t>
  </si>
  <si>
    <t>Long Term Debt</t>
  </si>
  <si>
    <t>Total Liabilities</t>
  </si>
  <si>
    <t>Shareholder's Equity</t>
  </si>
  <si>
    <t>Equity Capital</t>
  </si>
  <si>
    <t>Retained Earnings</t>
  </si>
  <si>
    <t>Total Liabilities &amp; Shareholder's Equity</t>
  </si>
  <si>
    <t>Promotion</t>
  </si>
  <si>
    <t>Advertising</t>
  </si>
  <si>
    <t>Office Expense</t>
  </si>
  <si>
    <t>Sales</t>
  </si>
  <si>
    <t>Insurance</t>
  </si>
  <si>
    <t>Raw Materials</t>
  </si>
  <si>
    <t>Direct Labor</t>
  </si>
  <si>
    <t>Other receivables</t>
  </si>
  <si>
    <t>Trade receivables</t>
  </si>
  <si>
    <t>Work in Progress</t>
  </si>
  <si>
    <t>Trade Payable</t>
  </si>
  <si>
    <t>Other Payables</t>
  </si>
  <si>
    <t>Common shares</t>
  </si>
  <si>
    <t>Additional paid-in capital</t>
  </si>
  <si>
    <t>Property</t>
  </si>
  <si>
    <t>Equipment</t>
  </si>
  <si>
    <t>Completed Goods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</si>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</sst>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4" applyFont="1"/>
    <xf numFmtId="0" fontId="0" fillId="0" borderId="0" xfId="4" applyNumberFormat="1" applyFont="1"/>
  </cellXfs>
  <cellStyles count="7">
    <cellStyle name="Comma" xfId="4" builtinId="3"/>
    <cellStyle name="Comma 3" xfId="1" xr:uid="{00000000-0005-0000-0000-000001000000}"/>
    <cellStyle name="Hyperlink 2 2" xfId="6" xr:uid="{8DC2BFE8-220E-4F2D-B87E-DB62C907E23D}"/>
    <cellStyle name="Normal" xfId="0" builtinId="0"/>
    <cellStyle name="Normal 2 2" xfId="5" xr:uid="{B440A375-7A80-45A2-92B5-B54243529E7B}"/>
    <cellStyle name="Normal 3" xfId="3" xr:uid="{00000000-0005-0000-0000-000003000000}"/>
    <cellStyle name="Percent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1"/>
  <sheetViews>
    <sheetView topLeftCell="A14" zoomScale="115" zoomScaleNormal="115" workbookViewId="0">
      <selection activeCell="B3" sqref="B3:D41"/>
    </sheetView>
  </sheetViews>
  <sheetFormatPr defaultColWidth="9.125" defaultRowHeight="13.8" x14ac:dyDescent="0.25"/>
  <cols>
    <col min="1" max="4" width="12" style="1" customWidth="1"/>
    <col min="5" max="9" width="12.625" style="1" customWidth="1"/>
    <col min="10" max="15" width="12" style="1" customWidth="1"/>
    <col min="16" max="21" width="12.125" style="1" customWidth="1"/>
    <col min="22" max="16384" width="9.125" style="1"/>
  </cols>
  <sheetData>
    <row r="2" spans="2:9" x14ac:dyDescent="0.25">
      <c r="E2" s="2">
        <v>2012</v>
      </c>
      <c r="F2" s="2">
        <v>2013</v>
      </c>
      <c r="G2" s="2">
        <v>2014</v>
      </c>
      <c r="H2" s="2">
        <v>2015</v>
      </c>
      <c r="I2" s="2">
        <v>2016</v>
      </c>
    </row>
    <row r="3" spans="2:9" x14ac:dyDescent="0.25">
      <c r="B3" s="1" t="s">
        <v>0</v>
      </c>
    </row>
    <row r="5" spans="2:9" x14ac:dyDescent="0.25">
      <c r="B5" s="1" t="s">
        <v>1</v>
      </c>
      <c r="E5" s="1">
        <v>102007</v>
      </c>
      <c r="F5" s="1">
        <v>118086</v>
      </c>
      <c r="G5" s="1">
        <v>131345</v>
      </c>
      <c r="H5" s="1">
        <v>142341</v>
      </c>
      <c r="I5" s="1">
        <v>150772</v>
      </c>
    </row>
    <row r="6" spans="2:9" x14ac:dyDescent="0.25">
      <c r="B6" s="1" t="s">
        <v>2</v>
      </c>
      <c r="E6" s="1">
        <v>39023</v>
      </c>
      <c r="F6" s="1">
        <v>48004</v>
      </c>
      <c r="G6" s="1">
        <v>49123</v>
      </c>
      <c r="H6" s="1">
        <v>52654</v>
      </c>
      <c r="I6" s="1">
        <v>56710</v>
      </c>
    </row>
    <row r="7" spans="2:9" x14ac:dyDescent="0.25">
      <c r="B7" s="1" t="s">
        <v>3</v>
      </c>
      <c r="E7" s="1">
        <v>62984</v>
      </c>
      <c r="F7" s="1">
        <v>70082</v>
      </c>
      <c r="G7" s="1">
        <v>82222</v>
      </c>
      <c r="H7" s="1">
        <v>89687</v>
      </c>
      <c r="I7" s="1">
        <v>94062</v>
      </c>
    </row>
    <row r="8" spans="2:9" x14ac:dyDescent="0.25">
      <c r="B8" s="1" t="s">
        <v>4</v>
      </c>
    </row>
    <row r="9" spans="2:9" x14ac:dyDescent="0.25">
      <c r="B9" s="1" t="s">
        <v>5</v>
      </c>
      <c r="E9" s="1">
        <v>26427</v>
      </c>
      <c r="F9" s="1">
        <v>22658</v>
      </c>
      <c r="G9" s="1">
        <v>23872</v>
      </c>
      <c r="H9" s="1">
        <v>23002</v>
      </c>
      <c r="I9" s="1">
        <v>25245</v>
      </c>
    </row>
    <row r="10" spans="2:9" x14ac:dyDescent="0.25">
      <c r="B10" s="1" t="s">
        <v>6</v>
      </c>
      <c r="E10" s="1">
        <v>10963</v>
      </c>
      <c r="F10" s="1">
        <v>10125</v>
      </c>
      <c r="G10" s="1">
        <v>10087</v>
      </c>
      <c r="H10" s="1">
        <v>11020</v>
      </c>
      <c r="I10" s="1">
        <v>11412</v>
      </c>
    </row>
    <row r="11" spans="2:9" x14ac:dyDescent="0.25">
      <c r="B11" s="1" t="s">
        <v>7</v>
      </c>
      <c r="E11" s="1">
        <v>19500</v>
      </c>
      <c r="F11" s="1">
        <v>18150</v>
      </c>
      <c r="G11" s="1">
        <v>17205</v>
      </c>
      <c r="H11" s="1">
        <v>16543.5</v>
      </c>
      <c r="I11" s="1">
        <v>16080.449999999999</v>
      </c>
    </row>
    <row r="12" spans="2:9" x14ac:dyDescent="0.25">
      <c r="B12" s="1" t="s">
        <v>8</v>
      </c>
      <c r="E12" s="1">
        <v>2500</v>
      </c>
      <c r="F12" s="1">
        <v>2500</v>
      </c>
      <c r="G12" s="1">
        <v>1500</v>
      </c>
      <c r="H12" s="1">
        <v>1500</v>
      </c>
      <c r="I12" s="1">
        <v>1500</v>
      </c>
    </row>
    <row r="13" spans="2:9" x14ac:dyDescent="0.25">
      <c r="B13" s="1" t="s">
        <v>9</v>
      </c>
      <c r="E13" s="1">
        <v>59390</v>
      </c>
      <c r="F13" s="1">
        <v>53433</v>
      </c>
      <c r="G13" s="1">
        <v>52664</v>
      </c>
      <c r="H13" s="1">
        <v>52065.5</v>
      </c>
      <c r="I13" s="1">
        <v>54237.45</v>
      </c>
    </row>
    <row r="14" spans="2:9" x14ac:dyDescent="0.25">
      <c r="B14" s="1" t="s">
        <v>10</v>
      </c>
      <c r="E14" s="1">
        <v>3594</v>
      </c>
      <c r="F14" s="1">
        <v>16649</v>
      </c>
      <c r="G14" s="1">
        <v>29558</v>
      </c>
      <c r="H14" s="1">
        <v>37621.5</v>
      </c>
      <c r="I14" s="1">
        <v>39824.550000000003</v>
      </c>
    </row>
    <row r="16" spans="2:9" x14ac:dyDescent="0.25">
      <c r="B16" s="1" t="s">
        <v>11</v>
      </c>
      <c r="E16" s="1">
        <v>1120.1708000000001</v>
      </c>
      <c r="F16" s="1">
        <v>4858.2165021220308</v>
      </c>
      <c r="G16" s="1">
        <v>8482.8061148686775</v>
      </c>
      <c r="H16" s="1">
        <v>10908.02097640469</v>
      </c>
      <c r="I16" s="1">
        <v>11597.665241419718</v>
      </c>
    </row>
    <row r="17" spans="2:9" x14ac:dyDescent="0.25">
      <c r="B17" s="1" t="s">
        <v>12</v>
      </c>
      <c r="E17" s="1">
        <v>2473.8292000000001</v>
      </c>
      <c r="F17" s="1">
        <v>11790.783497877968</v>
      </c>
      <c r="G17" s="1">
        <v>21075.193885131324</v>
      </c>
      <c r="H17" s="1">
        <v>26713.479023595311</v>
      </c>
      <c r="I17" s="1">
        <v>28226.884758580287</v>
      </c>
    </row>
    <row r="20" spans="2:9" x14ac:dyDescent="0.25">
      <c r="B20" s="1" t="s">
        <v>13</v>
      </c>
    </row>
    <row r="22" spans="2:9" x14ac:dyDescent="0.25">
      <c r="B22" s="1" t="s">
        <v>14</v>
      </c>
    </row>
    <row r="23" spans="2:9" x14ac:dyDescent="0.25">
      <c r="B23" s="1" t="s">
        <v>15</v>
      </c>
      <c r="E23" s="1">
        <v>67971.179199999999</v>
      </c>
      <c r="F23" s="1">
        <v>81209.912697877982</v>
      </c>
      <c r="G23" s="1">
        <v>83715.256583009294</v>
      </c>
      <c r="H23" s="1">
        <v>111069.33560660461</v>
      </c>
      <c r="I23" s="1">
        <v>139549.5203651849</v>
      </c>
    </row>
    <row r="24" spans="2:9" x14ac:dyDescent="0.25">
      <c r="B24" s="1" t="s">
        <v>16</v>
      </c>
      <c r="E24" s="1">
        <v>5100.3500000000004</v>
      </c>
      <c r="F24" s="1">
        <v>5904.3</v>
      </c>
      <c r="G24" s="1">
        <v>6567.25</v>
      </c>
      <c r="H24" s="1">
        <v>7117.05</v>
      </c>
      <c r="I24" s="1">
        <v>7538.6</v>
      </c>
    </row>
    <row r="25" spans="2:9" x14ac:dyDescent="0.25">
      <c r="B25" s="1" t="s">
        <v>17</v>
      </c>
      <c r="E25" s="1">
        <v>7804.6</v>
      </c>
      <c r="F25" s="1">
        <v>9600.8000000000011</v>
      </c>
      <c r="G25" s="1">
        <v>9824.6</v>
      </c>
      <c r="H25" s="1">
        <v>10530.800000000001</v>
      </c>
      <c r="I25" s="1">
        <v>11342</v>
      </c>
    </row>
    <row r="26" spans="2:9" x14ac:dyDescent="0.25">
      <c r="B26" s="1" t="s">
        <v>18</v>
      </c>
      <c r="E26" s="1">
        <v>80876.12920000001</v>
      </c>
      <c r="F26" s="1">
        <v>96715.012697877988</v>
      </c>
      <c r="G26" s="1">
        <v>100107.1065830093</v>
      </c>
      <c r="H26" s="1">
        <v>128717.18560660462</v>
      </c>
      <c r="I26" s="1">
        <v>158430.12036518491</v>
      </c>
    </row>
    <row r="27" spans="2:9" x14ac:dyDescent="0.25">
      <c r="B27" s="1" t="s">
        <v>19</v>
      </c>
      <c r="E27" s="1">
        <v>45500</v>
      </c>
      <c r="F27" s="1">
        <v>42350</v>
      </c>
      <c r="G27" s="1">
        <v>40145</v>
      </c>
      <c r="H27" s="1">
        <v>38601.5</v>
      </c>
      <c r="I27" s="1">
        <v>37521.050000000003</v>
      </c>
    </row>
    <row r="28" spans="2:9" x14ac:dyDescent="0.25">
      <c r="B28" s="1" t="s">
        <v>20</v>
      </c>
    </row>
    <row r="29" spans="2:9" x14ac:dyDescent="0.25">
      <c r="B29" s="1" t="s">
        <v>21</v>
      </c>
      <c r="E29" s="1">
        <v>126376.12920000001</v>
      </c>
      <c r="F29" s="1">
        <v>139065.012697878</v>
      </c>
      <c r="G29" s="1">
        <v>140252.1065830093</v>
      </c>
      <c r="H29" s="1">
        <v>167318.68560660462</v>
      </c>
      <c r="I29" s="1">
        <v>195951.17036518489</v>
      </c>
    </row>
    <row r="31" spans="2:9" x14ac:dyDescent="0.25">
      <c r="B31" s="1" t="s">
        <v>22</v>
      </c>
    </row>
    <row r="32" spans="2:9" x14ac:dyDescent="0.25">
      <c r="B32" s="1" t="s">
        <v>23</v>
      </c>
    </row>
    <row r="33" spans="2:9" x14ac:dyDescent="0.25">
      <c r="B33" s="1" t="s">
        <v>24</v>
      </c>
      <c r="E33" s="1">
        <v>3902.3</v>
      </c>
      <c r="F33" s="1">
        <v>4800.4000000000005</v>
      </c>
      <c r="G33" s="1">
        <v>4912.3</v>
      </c>
      <c r="H33" s="1">
        <v>5265.4000000000005</v>
      </c>
      <c r="I33" s="1">
        <v>5671</v>
      </c>
    </row>
    <row r="34" spans="2:9" x14ac:dyDescent="0.25">
      <c r="B34" s="1" t="s">
        <v>25</v>
      </c>
      <c r="E34" s="1">
        <v>3902.3</v>
      </c>
      <c r="F34" s="1">
        <v>4800.4000000000005</v>
      </c>
      <c r="G34" s="1">
        <v>4912.3</v>
      </c>
      <c r="H34" s="1">
        <v>5265.4000000000005</v>
      </c>
      <c r="I34" s="1">
        <v>5671</v>
      </c>
    </row>
    <row r="35" spans="2:9" x14ac:dyDescent="0.25">
      <c r="B35" s="1" t="s">
        <v>26</v>
      </c>
      <c r="E35" s="1">
        <v>50000</v>
      </c>
      <c r="F35" s="1">
        <v>50000</v>
      </c>
      <c r="G35" s="1">
        <v>30000</v>
      </c>
      <c r="H35" s="1">
        <v>30000</v>
      </c>
      <c r="I35" s="1">
        <v>30000</v>
      </c>
    </row>
    <row r="36" spans="2:9" x14ac:dyDescent="0.25">
      <c r="B36" s="1" t="s">
        <v>27</v>
      </c>
      <c r="E36" s="1">
        <v>53902.3</v>
      </c>
      <c r="F36" s="1">
        <v>54800.4</v>
      </c>
      <c r="G36" s="1">
        <v>34912.300000000003</v>
      </c>
      <c r="H36" s="1">
        <v>35265.4</v>
      </c>
      <c r="I36" s="1">
        <v>35671</v>
      </c>
    </row>
    <row r="37" spans="2:9" x14ac:dyDescent="0.25">
      <c r="B37" s="1" t="s">
        <v>28</v>
      </c>
    </row>
    <row r="38" spans="2:9" x14ac:dyDescent="0.25">
      <c r="B38" s="1" t="s">
        <v>29</v>
      </c>
      <c r="E38" s="1">
        <v>70000</v>
      </c>
      <c r="F38" s="1">
        <v>70000</v>
      </c>
      <c r="G38" s="1">
        <v>70000</v>
      </c>
      <c r="H38" s="1">
        <v>70000</v>
      </c>
      <c r="I38" s="1">
        <v>70000</v>
      </c>
    </row>
    <row r="39" spans="2:9" x14ac:dyDescent="0.25">
      <c r="B39" s="1" t="s">
        <v>30</v>
      </c>
      <c r="E39" s="1">
        <v>2473.8292000000001</v>
      </c>
      <c r="F39" s="1">
        <v>14264.612697877968</v>
      </c>
      <c r="G39" s="1">
        <v>35339.806583009296</v>
      </c>
      <c r="H39" s="1">
        <v>62053.285606604608</v>
      </c>
      <c r="I39" s="1">
        <v>90280.170365184895</v>
      </c>
    </row>
    <row r="40" spans="2:9" x14ac:dyDescent="0.25">
      <c r="B40" s="1" t="s">
        <v>28</v>
      </c>
      <c r="E40" s="1">
        <v>72473.829200000007</v>
      </c>
      <c r="F40" s="1">
        <v>84264.612697877965</v>
      </c>
      <c r="G40" s="1">
        <v>105339.8065830093</v>
      </c>
      <c r="H40" s="1">
        <v>132053.28560660459</v>
      </c>
      <c r="I40" s="1">
        <v>160280.17036518489</v>
      </c>
    </row>
    <row r="41" spans="2:9" x14ac:dyDescent="0.25">
      <c r="B41" s="1" t="s">
        <v>31</v>
      </c>
      <c r="E41" s="1">
        <v>126376.12920000001</v>
      </c>
      <c r="F41" s="1">
        <v>139065.01269787797</v>
      </c>
      <c r="G41" s="1">
        <v>140252.1065830093</v>
      </c>
      <c r="H41" s="1">
        <v>167318.68560660459</v>
      </c>
      <c r="I41" s="1">
        <v>195951.17036518489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8"/>
  <sheetViews>
    <sheetView topLeftCell="A28" zoomScale="145" zoomScaleNormal="145" workbookViewId="0">
      <selection activeCell="B5" sqref="B5:I48"/>
    </sheetView>
  </sheetViews>
  <sheetFormatPr defaultColWidth="9.125" defaultRowHeight="13.8" x14ac:dyDescent="0.25"/>
  <cols>
    <col min="1" max="15" width="12" style="1" customWidth="1"/>
    <col min="16" max="21" width="11" style="1" customWidth="1"/>
    <col min="22" max="16384" width="9.125" style="1"/>
  </cols>
  <sheetData>
    <row r="2" spans="2:9" x14ac:dyDescent="0.25">
      <c r="E2" s="2">
        <v>2012</v>
      </c>
      <c r="F2" s="2">
        <v>2013</v>
      </c>
      <c r="G2" s="2">
        <v>2014</v>
      </c>
      <c r="H2" s="2">
        <v>2015</v>
      </c>
      <c r="I2" s="2">
        <v>2016</v>
      </c>
    </row>
    <row r="3" spans="2:9" x14ac:dyDescent="0.25">
      <c r="B3" s="1" t="s">
        <v>0</v>
      </c>
    </row>
    <row r="5" spans="2:9" x14ac:dyDescent="0.25">
      <c r="B5" s="1" t="s">
        <v>1</v>
      </c>
      <c r="E5" s="1">
        <v>57127.576164874547</v>
      </c>
      <c r="F5" s="1">
        <v>66132.392473118278</v>
      </c>
      <c r="G5" s="1">
        <v>73557.907706093189</v>
      </c>
      <c r="H5" s="1">
        <v>79716.06182795699</v>
      </c>
      <c r="I5" s="1">
        <v>84437.724014336913</v>
      </c>
    </row>
    <row r="6" spans="2:9" x14ac:dyDescent="0.25">
      <c r="B6" s="1" t="s">
        <v>37</v>
      </c>
      <c r="E6" s="1">
        <v>-8741.7114695340497</v>
      </c>
      <c r="F6" s="1">
        <v>-10753.584229390683</v>
      </c>
      <c r="G6" s="1">
        <v>-11004.256272401435</v>
      </c>
      <c r="H6" s="1">
        <v>-11795.250896057347</v>
      </c>
      <c r="I6" s="1">
        <v>-12703.853046594983</v>
      </c>
    </row>
    <row r="7" spans="2:9" x14ac:dyDescent="0.25">
      <c r="B7" s="1" t="s">
        <v>38</v>
      </c>
      <c r="E7" s="1">
        <v>-13112.567204301075</v>
      </c>
      <c r="F7" s="1">
        <v>-16130.37634408602</v>
      </c>
      <c r="G7" s="1">
        <v>-16506.384408602149</v>
      </c>
      <c r="H7" s="1">
        <v>-17692.87634408602</v>
      </c>
      <c r="I7" s="1">
        <v>-19055.779569892471</v>
      </c>
    </row>
    <row r="8" spans="2:9" x14ac:dyDescent="0.25">
      <c r="B8" s="1" t="s">
        <v>3</v>
      </c>
      <c r="E8" s="1">
        <v>35273.297491039426</v>
      </c>
      <c r="F8" s="1">
        <v>39248.431899641575</v>
      </c>
      <c r="G8" s="1">
        <v>46047.267025089604</v>
      </c>
      <c r="H8" s="1">
        <v>50227.934587813623</v>
      </c>
      <c r="I8" s="1">
        <v>52678.091397849457</v>
      </c>
    </row>
    <row r="9" spans="2:9" x14ac:dyDescent="0.25">
      <c r="B9" s="1" t="s">
        <v>35</v>
      </c>
      <c r="E9" s="1">
        <v>-4440.020161290322</v>
      </c>
      <c r="F9" s="1">
        <v>-3806.7876344086017</v>
      </c>
      <c r="G9" s="1">
        <v>-4010.7526881720428</v>
      </c>
      <c r="H9" s="1">
        <v>-3864.583333333333</v>
      </c>
      <c r="I9" s="1">
        <v>-4241.4314516129025</v>
      </c>
    </row>
    <row r="10" spans="2:9" x14ac:dyDescent="0.25">
      <c r="B10" s="1" t="s">
        <v>33</v>
      </c>
      <c r="E10" s="1">
        <v>-5920.0268817204305</v>
      </c>
      <c r="F10" s="1">
        <v>-5075.7168458781362</v>
      </c>
      <c r="G10" s="1">
        <v>-5347.670250896058</v>
      </c>
      <c r="H10" s="1">
        <v>-5152.7777777777774</v>
      </c>
      <c r="I10" s="1">
        <v>-5655.2419354838712</v>
      </c>
    </row>
    <row r="11" spans="2:9" x14ac:dyDescent="0.25">
      <c r="B11" s="1" t="s">
        <v>32</v>
      </c>
      <c r="E11" s="1">
        <v>-4440.020161290322</v>
      </c>
      <c r="F11" s="1">
        <v>-3806.7876344086017</v>
      </c>
      <c r="G11" s="1">
        <v>-4010.7526881720428</v>
      </c>
      <c r="H11" s="1">
        <v>-3864.583333333333</v>
      </c>
      <c r="I11" s="1">
        <v>-4241.4314516129025</v>
      </c>
    </row>
    <row r="12" spans="2:9" x14ac:dyDescent="0.25">
      <c r="B12" s="1" t="s">
        <v>34</v>
      </c>
      <c r="E12" s="1">
        <v>-4911.7383512544802</v>
      </c>
      <c r="F12" s="1">
        <v>-4536.2903225806449</v>
      </c>
      <c r="G12" s="1">
        <v>-4519.2652329749098</v>
      </c>
      <c r="H12" s="1">
        <v>-4937.2759856630828</v>
      </c>
      <c r="I12" s="1">
        <v>-5112.9032258064517</v>
      </c>
    </row>
    <row r="13" spans="2:9" x14ac:dyDescent="0.25">
      <c r="B13" s="1" t="s">
        <v>36</v>
      </c>
      <c r="E13" s="1">
        <v>-1227.9345878136201</v>
      </c>
      <c r="F13" s="1">
        <v>-1134.0725806451612</v>
      </c>
      <c r="G13" s="1">
        <v>-1129.8163082437275</v>
      </c>
      <c r="H13" s="1">
        <v>-1234.3189964157707</v>
      </c>
      <c r="I13" s="1">
        <v>-1278.2258064516129</v>
      </c>
    </row>
    <row r="14" spans="2:9" x14ac:dyDescent="0.25">
      <c r="B14" s="1" t="s">
        <v>7</v>
      </c>
      <c r="E14" s="1">
        <v>-10920.698924731183</v>
      </c>
      <c r="F14" s="1">
        <v>-10164.650537634408</v>
      </c>
      <c r="G14" s="1">
        <v>-9635.4166666666661</v>
      </c>
      <c r="H14" s="1">
        <v>-9264.9529569892475</v>
      </c>
      <c r="I14" s="1">
        <v>-9005.6283602150525</v>
      </c>
    </row>
    <row r="15" spans="2:9" x14ac:dyDescent="0.25">
      <c r="B15" s="1" t="s">
        <v>8</v>
      </c>
      <c r="E15" s="1">
        <v>-1400.089605734767</v>
      </c>
      <c r="F15" s="1">
        <v>-1400.089605734767</v>
      </c>
      <c r="G15" s="1">
        <v>-840.05376344086017</v>
      </c>
      <c r="H15" s="1">
        <v>-840.05376344086017</v>
      </c>
      <c r="I15" s="1">
        <v>-840.05376344086017</v>
      </c>
    </row>
    <row r="16" spans="2:9" x14ac:dyDescent="0.25">
      <c r="B16" s="1" t="s">
        <v>10</v>
      </c>
      <c r="E16" s="1">
        <v>2012.7688172043054</v>
      </c>
      <c r="F16" s="1">
        <v>9324.036738351253</v>
      </c>
      <c r="G16" s="1">
        <v>16553.539426523297</v>
      </c>
      <c r="H16" s="1">
        <v>21069.388440860217</v>
      </c>
      <c r="I16" s="1">
        <v>22303.175403225803</v>
      </c>
    </row>
    <row r="17" spans="2:9" x14ac:dyDescent="0.25">
      <c r="B17" s="1" t="s">
        <v>11</v>
      </c>
      <c r="E17" s="1">
        <v>-1120.1708000000001</v>
      </c>
      <c r="F17" s="1">
        <v>-4858.2165021220308</v>
      </c>
      <c r="G17" s="1">
        <v>-8482.8061148686775</v>
      </c>
      <c r="H17" s="1">
        <v>-10908.02097640469</v>
      </c>
      <c r="I17" s="1">
        <v>-11597.665241419718</v>
      </c>
    </row>
    <row r="18" spans="2:9" x14ac:dyDescent="0.25">
      <c r="B18" s="1" t="s">
        <v>12</v>
      </c>
      <c r="E18" s="1">
        <v>892.59801720430528</v>
      </c>
      <c r="F18" s="1">
        <v>4465.8202362292222</v>
      </c>
      <c r="G18" s="1">
        <v>8070.7333116546197</v>
      </c>
      <c r="H18" s="1">
        <v>10161.367464455527</v>
      </c>
      <c r="I18" s="1">
        <v>10705.510161806085</v>
      </c>
    </row>
    <row r="21" spans="2:9" x14ac:dyDescent="0.25">
      <c r="B21" s="1" t="s">
        <v>13</v>
      </c>
    </row>
    <row r="23" spans="2:9" x14ac:dyDescent="0.25">
      <c r="B23" s="1" t="s">
        <v>14</v>
      </c>
    </row>
    <row r="24" spans="2:9" x14ac:dyDescent="0.25">
      <c r="B24" s="1" t="s">
        <v>15</v>
      </c>
      <c r="E24" s="1">
        <v>37573.461592473119</v>
      </c>
      <c r="F24" s="1">
        <v>42850.185726551805</v>
      </c>
      <c r="G24" s="1">
        <v>40521.137452184921</v>
      </c>
      <c r="H24" s="1">
        <v>51041.263877213925</v>
      </c>
      <c r="I24" s="1">
        <v>61888.631117873054</v>
      </c>
    </row>
    <row r="25" spans="2:9" x14ac:dyDescent="0.25">
      <c r="B25" s="1" t="s">
        <v>40</v>
      </c>
      <c r="E25" s="1">
        <v>2570.7409274193551</v>
      </c>
      <c r="F25" s="1">
        <v>2975.9576612903224</v>
      </c>
      <c r="G25" s="1">
        <v>3310.1058467741932</v>
      </c>
      <c r="H25" s="1">
        <v>3587.2227822580649</v>
      </c>
      <c r="I25" s="1">
        <v>3799.697580645161</v>
      </c>
    </row>
    <row r="26" spans="2:9" x14ac:dyDescent="0.25">
      <c r="B26" s="1" t="s">
        <v>39</v>
      </c>
      <c r="E26" s="1">
        <v>285.63788082437276</v>
      </c>
      <c r="F26" s="1">
        <v>330.66196236559142</v>
      </c>
      <c r="G26" s="1">
        <v>367.78953853046596</v>
      </c>
      <c r="H26" s="1">
        <v>398.58030913978496</v>
      </c>
      <c r="I26" s="1">
        <v>422.18862007168457</v>
      </c>
    </row>
    <row r="27" spans="2:9" x14ac:dyDescent="0.25">
      <c r="B27" s="1" t="s">
        <v>41</v>
      </c>
      <c r="E27" s="1">
        <v>874.17114695340501</v>
      </c>
      <c r="F27" s="1">
        <v>1075.3584229390683</v>
      </c>
      <c r="G27" s="1">
        <v>1100.4256272401433</v>
      </c>
      <c r="H27" s="1">
        <v>1179.5250896057348</v>
      </c>
      <c r="I27" s="1">
        <v>1270.3853046594982</v>
      </c>
    </row>
    <row r="28" spans="2:9" x14ac:dyDescent="0.25">
      <c r="B28" s="1" t="s">
        <v>48</v>
      </c>
      <c r="E28" s="1">
        <v>3059.5990143369172</v>
      </c>
      <c r="F28" s="1">
        <v>3763.7544802867387</v>
      </c>
      <c r="G28" s="1">
        <v>3851.4896953405014</v>
      </c>
      <c r="H28" s="1">
        <v>4128.3378136200718</v>
      </c>
      <c r="I28" s="1">
        <v>4446.3485663082429</v>
      </c>
    </row>
    <row r="29" spans="2:9" x14ac:dyDescent="0.25">
      <c r="B29" s="1" t="s">
        <v>37</v>
      </c>
      <c r="E29" s="1">
        <v>437.08557347670251</v>
      </c>
      <c r="F29" s="1">
        <v>537.67921146953415</v>
      </c>
      <c r="G29" s="1">
        <v>550.21281362007164</v>
      </c>
      <c r="H29" s="1">
        <v>589.76254480286741</v>
      </c>
      <c r="I29" s="1">
        <v>635.19265232974908</v>
      </c>
    </row>
    <row r="30" spans="2:9" x14ac:dyDescent="0.25">
      <c r="B30" s="1" t="s">
        <v>18</v>
      </c>
      <c r="E30" s="1">
        <v>44800.696135483871</v>
      </c>
      <c r="F30" s="1">
        <v>51533.597464903054</v>
      </c>
      <c r="G30" s="1">
        <v>49701.160973690297</v>
      </c>
      <c r="H30" s="1">
        <v>60924.69241664045</v>
      </c>
      <c r="I30" s="1">
        <v>72462.443841887391</v>
      </c>
    </row>
    <row r="31" spans="2:9" x14ac:dyDescent="0.25">
      <c r="B31" s="1" t="s">
        <v>46</v>
      </c>
      <c r="E31" s="1">
        <v>16563.060035842293</v>
      </c>
      <c r="F31" s="1">
        <v>15416.386648745518</v>
      </c>
      <c r="G31" s="1">
        <v>14613.715277777777</v>
      </c>
      <c r="H31" s="1">
        <v>14051.845318100359</v>
      </c>
      <c r="I31" s="1">
        <v>13658.536346326166</v>
      </c>
    </row>
    <row r="32" spans="2:9" x14ac:dyDescent="0.25">
      <c r="B32" s="1" t="s">
        <v>47</v>
      </c>
      <c r="E32" s="1">
        <v>8918.5707885304655</v>
      </c>
      <c r="F32" s="1">
        <v>8301.1312724014333</v>
      </c>
      <c r="G32" s="1">
        <v>7868.9236111111095</v>
      </c>
      <c r="H32" s="1">
        <v>7566.3782482078841</v>
      </c>
      <c r="I32" s="1">
        <v>7354.5964941756265</v>
      </c>
    </row>
    <row r="34" spans="2:9" x14ac:dyDescent="0.25">
      <c r="B34" s="1" t="s">
        <v>21</v>
      </c>
      <c r="E34" s="1">
        <v>70282.326959856626</v>
      </c>
      <c r="F34" s="1">
        <v>75251.115386050005</v>
      </c>
      <c r="G34" s="1">
        <v>72183.799862579181</v>
      </c>
      <c r="H34" s="1">
        <v>82542.915982948689</v>
      </c>
      <c r="I34" s="1">
        <v>93475.57668238919</v>
      </c>
    </row>
    <row r="36" spans="2:9" x14ac:dyDescent="0.25">
      <c r="B36" s="1" t="s">
        <v>22</v>
      </c>
    </row>
    <row r="37" spans="2:9" x14ac:dyDescent="0.25">
      <c r="B37" s="1" t="s">
        <v>23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2:9" x14ac:dyDescent="0.25">
      <c r="B38" s="1" t="s">
        <v>42</v>
      </c>
      <c r="E38" s="1">
        <v>1857.6136872759855</v>
      </c>
      <c r="F38" s="1">
        <v>2285.1366487455198</v>
      </c>
      <c r="G38" s="1">
        <v>2338.4044578853045</v>
      </c>
      <c r="H38" s="1">
        <v>2506.4908154121867</v>
      </c>
      <c r="I38" s="1">
        <v>2699.5687724014333</v>
      </c>
    </row>
    <row r="39" spans="2:9" x14ac:dyDescent="0.25">
      <c r="B39" s="1" t="s">
        <v>43</v>
      </c>
      <c r="E39" s="1">
        <v>327.81418010752685</v>
      </c>
      <c r="F39" s="1">
        <v>403.25940860215059</v>
      </c>
      <c r="G39" s="1">
        <v>412.65961021505376</v>
      </c>
      <c r="H39" s="1">
        <v>442.32190860215059</v>
      </c>
      <c r="I39" s="1">
        <v>476.39448924731175</v>
      </c>
    </row>
    <row r="40" spans="2:9" x14ac:dyDescent="0.25">
      <c r="B40" s="1" t="s">
        <v>25</v>
      </c>
      <c r="E40" s="1">
        <v>2185.4278673835124</v>
      </c>
      <c r="F40" s="1">
        <v>2688.3960573476706</v>
      </c>
      <c r="G40" s="1">
        <v>2751.0640681003583</v>
      </c>
      <c r="H40" s="1">
        <v>2948.8127240143372</v>
      </c>
      <c r="I40" s="1">
        <v>3175.9632616487452</v>
      </c>
    </row>
    <row r="41" spans="2:9" x14ac:dyDescent="0.25">
      <c r="B41" s="1" t="s">
        <v>26</v>
      </c>
      <c r="E41" s="1">
        <v>28001.792114695338</v>
      </c>
      <c r="F41" s="1">
        <v>28001.792114695338</v>
      </c>
      <c r="G41" s="1">
        <v>16801.075268817203</v>
      </c>
      <c r="H41" s="1">
        <v>16801.075268817203</v>
      </c>
      <c r="I41" s="1">
        <v>16801.075268817203</v>
      </c>
    </row>
    <row r="42" spans="2:9" x14ac:dyDescent="0.25">
      <c r="B42" s="1" t="s">
        <v>27</v>
      </c>
      <c r="E42" s="1">
        <v>30187.219982078852</v>
      </c>
      <c r="F42" s="1">
        <v>30690.18817204301</v>
      </c>
      <c r="G42" s="1">
        <v>19552.13933691756</v>
      </c>
      <c r="H42" s="1">
        <v>19749.88799283154</v>
      </c>
      <c r="I42" s="1">
        <v>19977.03853046595</v>
      </c>
    </row>
    <row r="43" spans="2:9" x14ac:dyDescent="0.25">
      <c r="B43" s="1" t="s">
        <v>28</v>
      </c>
    </row>
    <row r="44" spans="2:9" x14ac:dyDescent="0.25">
      <c r="B44" s="1" t="s">
        <v>44</v>
      </c>
      <c r="E44" s="1">
        <v>3920.2508960573477</v>
      </c>
      <c r="F44" s="1">
        <v>3920.2508960573477</v>
      </c>
      <c r="G44" s="1">
        <v>3920.2508960573477</v>
      </c>
      <c r="H44" s="1">
        <v>3920.2508960573477</v>
      </c>
      <c r="I44" s="1">
        <v>3920.2508960573477</v>
      </c>
    </row>
    <row r="45" spans="2:9" x14ac:dyDescent="0.25">
      <c r="B45" s="1" t="s">
        <v>45</v>
      </c>
      <c r="E45" s="1">
        <v>35282.258064516129</v>
      </c>
      <c r="F45" s="1">
        <v>35282.258064516129</v>
      </c>
      <c r="G45" s="1">
        <v>35282.258064516129</v>
      </c>
      <c r="H45" s="1">
        <v>35282.258064516129</v>
      </c>
      <c r="I45" s="1">
        <v>35282.258064516129</v>
      </c>
    </row>
    <row r="46" spans="2:9" x14ac:dyDescent="0.25">
      <c r="B46" s="1" t="s">
        <v>30</v>
      </c>
      <c r="E46" s="1">
        <v>892.59801720429687</v>
      </c>
      <c r="F46" s="1">
        <v>5358.4182534335196</v>
      </c>
      <c r="G46" s="1">
        <v>13429.151565088139</v>
      </c>
      <c r="H46" s="1">
        <v>23590.519029543666</v>
      </c>
      <c r="I46" s="1">
        <v>34296.029191349749</v>
      </c>
    </row>
    <row r="47" spans="2:9" x14ac:dyDescent="0.25">
      <c r="B47" s="1" t="s">
        <v>28</v>
      </c>
      <c r="E47" s="1">
        <v>40095.106977777774</v>
      </c>
      <c r="F47" s="1">
        <v>44560.927214006995</v>
      </c>
      <c r="G47" s="1">
        <v>52631.660525661617</v>
      </c>
      <c r="H47" s="1">
        <v>62793.027990117145</v>
      </c>
      <c r="I47" s="1">
        <v>73498.538151923218</v>
      </c>
    </row>
    <row r="48" spans="2:9" x14ac:dyDescent="0.25">
      <c r="B48" s="1" t="s">
        <v>31</v>
      </c>
      <c r="E48" s="1">
        <v>70282.326959856626</v>
      </c>
      <c r="F48" s="1">
        <v>75251.115386050005</v>
      </c>
      <c r="G48" s="1">
        <v>72183.799862579181</v>
      </c>
      <c r="H48" s="1">
        <v>82542.915982948689</v>
      </c>
      <c r="I48" s="1">
        <v>93475.576682389161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AF6B-43F5-49BB-A7CF-3DC5961C0D01}">
  <dimension ref="A1:V48"/>
  <sheetViews>
    <sheetView tabSelected="1" workbookViewId="0">
      <selection activeCell="K51" sqref="K51"/>
    </sheetView>
  </sheetViews>
  <sheetFormatPr defaultRowHeight="13.8" x14ac:dyDescent="0.25"/>
  <cols>
    <col min="8" max="8" width="12.125" customWidth="1"/>
    <col min="9" max="9" width="14.125" customWidth="1"/>
    <col min="10" max="10" width="13.5" customWidth="1"/>
    <col min="11" max="11" width="13.625" customWidth="1"/>
    <col min="12" max="12" width="12.75" customWidth="1"/>
    <col min="13" max="13" width="14.875" customWidth="1"/>
    <col min="18" max="18" width="11.625" customWidth="1"/>
    <col min="19" max="19" width="11.5" customWidth="1"/>
    <col min="20" max="20" width="11.25" customWidth="1"/>
    <col min="21" max="21" width="11.5" customWidth="1"/>
    <col min="22" max="22" width="10.875" customWidth="1"/>
  </cols>
  <sheetData>
    <row r="1" spans="1:22" x14ac:dyDescent="0.25">
      <c r="A1" t="s">
        <v>49</v>
      </c>
    </row>
    <row r="3" spans="1:22" x14ac:dyDescent="0.25">
      <c r="B3" s="1" t="s">
        <v>0</v>
      </c>
      <c r="C3" s="1"/>
      <c r="D3" s="1"/>
      <c r="F3" s="1" t="str">
        <f>B3</f>
        <v>Income Statement</v>
      </c>
      <c r="G3" s="1"/>
      <c r="H3" s="1"/>
      <c r="I3">
        <v>2012</v>
      </c>
      <c r="J3">
        <v>2013</v>
      </c>
      <c r="K3">
        <v>2014</v>
      </c>
      <c r="L3">
        <v>2015</v>
      </c>
      <c r="M3">
        <v>2016</v>
      </c>
    </row>
    <row r="4" spans="1:22" x14ac:dyDescent="0.25">
      <c r="B4" s="1"/>
      <c r="C4" s="1"/>
      <c r="D4" s="1"/>
      <c r="F4" s="1"/>
      <c r="G4" s="1"/>
      <c r="H4" s="1"/>
      <c r="I4" s="1"/>
      <c r="J4" s="1"/>
      <c r="K4" s="1"/>
      <c r="L4" s="1"/>
      <c r="M4" s="1"/>
    </row>
    <row r="5" spans="1:22" x14ac:dyDescent="0.25">
      <c r="B5" s="1" t="s">
        <v>1</v>
      </c>
      <c r="C5" s="1"/>
      <c r="D5" s="1"/>
      <c r="F5" s="1" t="s">
        <v>1</v>
      </c>
      <c r="G5" s="1"/>
      <c r="H5" s="1"/>
      <c r="I5" s="1">
        <v>57127.576164874547</v>
      </c>
      <c r="J5" s="1">
        <v>66132.392473118278</v>
      </c>
      <c r="K5" s="1">
        <v>73557.907706093189</v>
      </c>
      <c r="L5" s="1">
        <v>79716.06182795699</v>
      </c>
      <c r="M5" s="1">
        <v>84437.724014336913</v>
      </c>
    </row>
    <row r="6" spans="1:22" x14ac:dyDescent="0.25">
      <c r="B6" s="1" t="s">
        <v>2</v>
      </c>
      <c r="C6" s="1"/>
      <c r="D6" s="1"/>
      <c r="F6" s="1" t="s">
        <v>2</v>
      </c>
      <c r="G6" s="1"/>
      <c r="H6" s="1"/>
      <c r="I6" s="1">
        <f>-SUM(R6:R7)</f>
        <v>21854.278673835124</v>
      </c>
      <c r="J6" s="1">
        <f t="shared" ref="J6:M6" si="0">-SUM(S6:S7)</f>
        <v>26883.960573476703</v>
      </c>
      <c r="K6" s="1">
        <f t="shared" si="0"/>
        <v>27510.640681003584</v>
      </c>
      <c r="L6" s="1">
        <f t="shared" si="0"/>
        <v>29488.127240143367</v>
      </c>
      <c r="M6" s="1">
        <f t="shared" si="0"/>
        <v>31759.632616487455</v>
      </c>
      <c r="O6" s="1" t="s">
        <v>37</v>
      </c>
      <c r="P6" s="1"/>
      <c r="Q6" s="1"/>
      <c r="R6" s="1">
        <v>-8741.7114695340497</v>
      </c>
      <c r="S6" s="1">
        <v>-10753.584229390683</v>
      </c>
      <c r="T6" s="1">
        <v>-11004.256272401435</v>
      </c>
      <c r="U6" s="1">
        <v>-11795.250896057347</v>
      </c>
      <c r="V6" s="1">
        <v>-12703.853046594983</v>
      </c>
    </row>
    <row r="7" spans="1:22" x14ac:dyDescent="0.25">
      <c r="B7" s="1" t="s">
        <v>3</v>
      </c>
      <c r="C7" s="1"/>
      <c r="D7" s="1"/>
      <c r="F7" s="1" t="s">
        <v>3</v>
      </c>
      <c r="G7" s="1"/>
      <c r="H7" s="1"/>
      <c r="I7" s="1">
        <v>35273.297491039426</v>
      </c>
      <c r="J7" s="1">
        <v>39248.431899641575</v>
      </c>
      <c r="K7" s="1">
        <v>46047.267025089604</v>
      </c>
      <c r="L7" s="1">
        <v>50227.934587813623</v>
      </c>
      <c r="M7" s="1">
        <v>52678.091397849457</v>
      </c>
      <c r="O7" s="1" t="s">
        <v>38</v>
      </c>
      <c r="P7" s="1"/>
      <c r="Q7" s="1"/>
      <c r="R7" s="1">
        <v>-13112.567204301075</v>
      </c>
      <c r="S7" s="1">
        <v>-16130.37634408602</v>
      </c>
      <c r="T7" s="1">
        <v>-16506.384408602149</v>
      </c>
      <c r="U7" s="1">
        <v>-17692.87634408602</v>
      </c>
      <c r="V7" s="1">
        <v>-19055.779569892471</v>
      </c>
    </row>
    <row r="8" spans="1:22" x14ac:dyDescent="0.25">
      <c r="B8" s="1" t="s">
        <v>4</v>
      </c>
      <c r="C8" s="1"/>
      <c r="D8" s="1"/>
      <c r="F8" s="1" t="str">
        <f>B8</f>
        <v>Expenses</v>
      </c>
      <c r="G8" s="1"/>
      <c r="H8" s="1"/>
      <c r="I8" s="1"/>
      <c r="J8" s="1"/>
      <c r="K8" s="1"/>
      <c r="L8" s="1"/>
      <c r="M8" s="1"/>
    </row>
    <row r="9" spans="1:22" x14ac:dyDescent="0.25">
      <c r="B9" s="1" t="s">
        <v>5</v>
      </c>
      <c r="C9" s="1"/>
      <c r="D9" s="1"/>
      <c r="F9" s="1" t="str">
        <f>B9</f>
        <v>Marketing, Advertising &amp; Promotion</v>
      </c>
      <c r="G9" s="1"/>
      <c r="H9" s="1"/>
      <c r="I9" s="1">
        <f>-SUM(R9:R11)</f>
        <v>14800.067204301075</v>
      </c>
      <c r="J9" s="1">
        <f t="shared" ref="J9:M9" si="1">-SUM(S9:S11)</f>
        <v>12689.292114695339</v>
      </c>
      <c r="K9" s="1">
        <f t="shared" si="1"/>
        <v>13369.175627240144</v>
      </c>
      <c r="L9" s="1">
        <f t="shared" si="1"/>
        <v>12881.944444444442</v>
      </c>
      <c r="M9" s="1">
        <f t="shared" si="1"/>
        <v>14138.104838709674</v>
      </c>
      <c r="O9" s="1" t="s">
        <v>35</v>
      </c>
      <c r="P9" s="1"/>
      <c r="Q9" s="1"/>
      <c r="R9" s="1">
        <v>-4440.020161290322</v>
      </c>
      <c r="S9" s="1">
        <v>-3806.7876344086017</v>
      </c>
      <c r="T9" s="1">
        <v>-4010.7526881720428</v>
      </c>
      <c r="U9" s="1">
        <v>-3864.583333333333</v>
      </c>
      <c r="V9" s="1">
        <v>-4241.4314516129025</v>
      </c>
    </row>
    <row r="10" spans="1:22" x14ac:dyDescent="0.25">
      <c r="B10" s="1" t="s">
        <v>6</v>
      </c>
      <c r="C10" s="1"/>
      <c r="D10" s="1"/>
      <c r="F10" s="1" t="str">
        <f>B10</f>
        <v>General &amp; Administrative</v>
      </c>
      <c r="G10" s="1"/>
      <c r="H10" s="1"/>
      <c r="I10" s="1">
        <f>-SUM(R12:R13)</f>
        <v>6139.6729390681003</v>
      </c>
      <c r="J10" s="1">
        <f t="shared" ref="J10:M10" si="2">-SUM(S12:S13)</f>
        <v>5670.3629032258059</v>
      </c>
      <c r="K10" s="1">
        <f t="shared" si="2"/>
        <v>5649.0815412186375</v>
      </c>
      <c r="L10" s="1">
        <f t="shared" si="2"/>
        <v>6171.5949820788537</v>
      </c>
      <c r="M10" s="1">
        <f t="shared" si="2"/>
        <v>6391.1290322580644</v>
      </c>
      <c r="O10" s="1" t="s">
        <v>33</v>
      </c>
      <c r="P10" s="1"/>
      <c r="Q10" s="1"/>
      <c r="R10" s="1">
        <v>-5920.0268817204305</v>
      </c>
      <c r="S10" s="1">
        <v>-5075.7168458781362</v>
      </c>
      <c r="T10" s="1">
        <v>-5347.670250896058</v>
      </c>
      <c r="U10" s="1">
        <v>-5152.7777777777774</v>
      </c>
      <c r="V10" s="1">
        <v>-5655.2419354838712</v>
      </c>
    </row>
    <row r="11" spans="1:22" x14ac:dyDescent="0.25">
      <c r="B11" s="1" t="s">
        <v>7</v>
      </c>
      <c r="C11" s="1"/>
      <c r="D11" s="1"/>
      <c r="F11" s="1" t="s">
        <v>7</v>
      </c>
      <c r="G11" s="1"/>
      <c r="H11" s="1"/>
      <c r="I11" s="1">
        <v>10920.698924731199</v>
      </c>
      <c r="J11" s="1">
        <v>10164.650537634399</v>
      </c>
      <c r="K11" s="1">
        <v>9635.4166666666697</v>
      </c>
      <c r="L11" s="1">
        <v>9264.9529569892493</v>
      </c>
      <c r="M11" s="1">
        <v>9005.6283602150506</v>
      </c>
      <c r="O11" s="1" t="s">
        <v>32</v>
      </c>
      <c r="P11" s="1"/>
      <c r="Q11" s="1"/>
      <c r="R11" s="1">
        <v>-4440.020161290322</v>
      </c>
      <c r="S11" s="1">
        <v>-3806.7876344086017</v>
      </c>
      <c r="T11" s="1">
        <v>-4010.7526881720428</v>
      </c>
      <c r="U11" s="1">
        <v>-3864.583333333333</v>
      </c>
      <c r="V11" s="1">
        <v>-4241.4314516129025</v>
      </c>
    </row>
    <row r="12" spans="1:22" x14ac:dyDescent="0.25">
      <c r="B12" s="1" t="s">
        <v>8</v>
      </c>
      <c r="C12" s="1"/>
      <c r="D12" s="1"/>
      <c r="F12" s="1" t="s">
        <v>8</v>
      </c>
      <c r="G12" s="1"/>
      <c r="H12" s="1"/>
      <c r="I12" s="1">
        <v>1400.08960573477</v>
      </c>
      <c r="J12" s="1">
        <v>1400.08960573477</v>
      </c>
      <c r="K12" s="1">
        <v>840.05376344086005</v>
      </c>
      <c r="L12" s="1">
        <v>840.05376344086005</v>
      </c>
      <c r="M12" s="1">
        <v>840.05376344086005</v>
      </c>
      <c r="O12" s="1" t="s">
        <v>34</v>
      </c>
      <c r="P12" s="1"/>
      <c r="Q12" s="1"/>
      <c r="R12" s="1">
        <v>-4911.7383512544802</v>
      </c>
      <c r="S12" s="1">
        <v>-4536.2903225806449</v>
      </c>
      <c r="T12" s="1">
        <v>-4519.2652329749098</v>
      </c>
      <c r="U12" s="1">
        <v>-4937.2759856630828</v>
      </c>
      <c r="V12" s="1">
        <v>-5112.9032258064517</v>
      </c>
    </row>
    <row r="13" spans="1:22" x14ac:dyDescent="0.25">
      <c r="B13" s="1" t="s">
        <v>9</v>
      </c>
      <c r="C13" s="1"/>
      <c r="D13" s="1"/>
      <c r="F13" s="1" t="str">
        <f>B13</f>
        <v>Total Expenses</v>
      </c>
      <c r="G13" s="1"/>
      <c r="H13" s="1"/>
      <c r="I13" s="1">
        <f>SUM(I9:I12)</f>
        <v>33260.528673835142</v>
      </c>
      <c r="J13" s="1">
        <f t="shared" ref="J13:M13" si="3">SUM(J9:J12)</f>
        <v>29924.395161290315</v>
      </c>
      <c r="K13" s="1">
        <f t="shared" si="3"/>
        <v>29493.727598566315</v>
      </c>
      <c r="L13" s="1">
        <f t="shared" si="3"/>
        <v>29158.546146953406</v>
      </c>
      <c r="M13" s="1">
        <f t="shared" si="3"/>
        <v>30374.91599462365</v>
      </c>
      <c r="O13" s="1" t="s">
        <v>36</v>
      </c>
      <c r="P13" s="1"/>
      <c r="Q13" s="1"/>
      <c r="R13" s="1">
        <v>-1227.9345878136201</v>
      </c>
      <c r="S13" s="1">
        <v>-1134.0725806451612</v>
      </c>
      <c r="T13" s="1">
        <v>-1129.8163082437275</v>
      </c>
      <c r="U13" s="1">
        <v>-1234.3189964157707</v>
      </c>
      <c r="V13" s="1">
        <v>-1278.2258064516129</v>
      </c>
    </row>
    <row r="14" spans="1:22" x14ac:dyDescent="0.25">
      <c r="B14" s="1" t="s">
        <v>10</v>
      </c>
      <c r="C14" s="1"/>
      <c r="D14" s="1"/>
      <c r="F14" s="1" t="s">
        <v>10</v>
      </c>
      <c r="G14" s="1"/>
      <c r="H14" s="1"/>
      <c r="I14" s="1">
        <v>2012.7688172043054</v>
      </c>
      <c r="J14" s="1">
        <v>9324.036738351253</v>
      </c>
      <c r="K14" s="1">
        <v>16553.539426523297</v>
      </c>
      <c r="L14" s="1">
        <v>21069.388440860217</v>
      </c>
      <c r="M14" s="1">
        <v>22303.175403225803</v>
      </c>
    </row>
    <row r="15" spans="1:22" x14ac:dyDescent="0.25">
      <c r="B15" s="1"/>
      <c r="C15" s="1"/>
      <c r="D15" s="1"/>
      <c r="F15" s="1"/>
      <c r="G15" s="1"/>
      <c r="H15" s="1"/>
      <c r="I15" s="1"/>
      <c r="J15" s="1"/>
      <c r="K15" s="1"/>
      <c r="L15" s="1"/>
      <c r="M15" s="1"/>
      <c r="O15" s="1" t="s">
        <v>10</v>
      </c>
      <c r="P15" s="1"/>
      <c r="Q15" s="1"/>
      <c r="R15" s="1">
        <v>2012.7688172043054</v>
      </c>
      <c r="S15" s="1">
        <v>9324.036738351253</v>
      </c>
      <c r="T15" s="1">
        <v>16553.539426523297</v>
      </c>
      <c r="U15" s="1">
        <v>21069.388440860217</v>
      </c>
      <c r="V15" s="1">
        <v>22303.175403225803</v>
      </c>
    </row>
    <row r="16" spans="1:22" x14ac:dyDescent="0.25">
      <c r="B16" s="1" t="s">
        <v>11</v>
      </c>
      <c r="C16" s="1"/>
      <c r="D16" s="1"/>
      <c r="F16" s="1" t="s">
        <v>11</v>
      </c>
      <c r="G16" s="1"/>
      <c r="H16" s="1"/>
      <c r="I16" s="1">
        <v>1120.1708000000001</v>
      </c>
      <c r="J16" s="1">
        <v>4858.2165021220299</v>
      </c>
      <c r="K16" s="1">
        <v>8482.8061148686793</v>
      </c>
      <c r="L16" s="1">
        <v>10908.020976404699</v>
      </c>
      <c r="M16" s="1">
        <v>11597.6652414197</v>
      </c>
    </row>
    <row r="17" spans="2:22" x14ac:dyDescent="0.25">
      <c r="B17" s="1" t="s">
        <v>12</v>
      </c>
      <c r="C17" s="1"/>
      <c r="D17" s="1"/>
      <c r="F17" s="1" t="s">
        <v>12</v>
      </c>
      <c r="G17" s="1"/>
      <c r="H17" s="1"/>
      <c r="I17" s="1">
        <v>892.59801720430528</v>
      </c>
      <c r="J17" s="1">
        <v>4465.8202362292222</v>
      </c>
      <c r="K17" s="1">
        <v>8070.7333116546197</v>
      </c>
      <c r="L17" s="1">
        <v>10161.367464455527</v>
      </c>
      <c r="M17" s="1">
        <v>10705.510161806085</v>
      </c>
    </row>
    <row r="18" spans="2:22" x14ac:dyDescent="0.25">
      <c r="B18" s="1"/>
      <c r="C18" s="1"/>
      <c r="D18" s="1"/>
      <c r="F18" s="1"/>
      <c r="G18" s="1"/>
      <c r="H18" s="1"/>
      <c r="I18" s="1"/>
      <c r="J18" s="1"/>
      <c r="K18" s="1"/>
      <c r="L18" s="1"/>
      <c r="M18" s="1"/>
    </row>
    <row r="19" spans="2:22" x14ac:dyDescent="0.25">
      <c r="B19" s="1"/>
      <c r="C19" s="1"/>
      <c r="D19" s="1"/>
      <c r="F19" s="1"/>
      <c r="G19" s="1"/>
      <c r="H19" s="1"/>
      <c r="I19" s="1"/>
      <c r="J19" s="1"/>
      <c r="K19" s="1"/>
      <c r="L19" s="1"/>
      <c r="M19" s="1"/>
    </row>
    <row r="20" spans="2:22" x14ac:dyDescent="0.25">
      <c r="B20" s="1" t="s">
        <v>13</v>
      </c>
      <c r="C20" s="1"/>
      <c r="D20" s="1"/>
      <c r="F20" s="1" t="str">
        <f>B20</f>
        <v>Balance Sheet</v>
      </c>
      <c r="G20" s="1"/>
      <c r="H20" s="1"/>
      <c r="I20" s="1"/>
      <c r="J20" s="1"/>
      <c r="K20" s="1"/>
      <c r="L20" s="1"/>
      <c r="M20" s="1"/>
    </row>
    <row r="21" spans="2:22" x14ac:dyDescent="0.25">
      <c r="B21" s="1"/>
      <c r="C21" s="1"/>
      <c r="D21" s="1"/>
      <c r="F21" s="1"/>
      <c r="G21" s="1"/>
      <c r="H21" s="1"/>
      <c r="I21" s="1"/>
      <c r="J21" s="1"/>
      <c r="K21" s="1"/>
      <c r="L21" s="1"/>
      <c r="M21" s="1"/>
    </row>
    <row r="22" spans="2:22" x14ac:dyDescent="0.25">
      <c r="B22" s="1" t="s">
        <v>14</v>
      </c>
      <c r="C22" s="1"/>
      <c r="D22" s="1"/>
      <c r="F22" s="1" t="s">
        <v>14</v>
      </c>
      <c r="G22" s="1"/>
      <c r="H22" s="1"/>
      <c r="I22" s="1"/>
      <c r="J22" s="1"/>
      <c r="K22" s="1"/>
      <c r="L22" s="1"/>
      <c r="M22" s="1"/>
    </row>
    <row r="23" spans="2:22" x14ac:dyDescent="0.25">
      <c r="B23" s="1" t="s">
        <v>15</v>
      </c>
      <c r="C23" s="1"/>
      <c r="D23" s="1"/>
      <c r="F23" s="1" t="s">
        <v>15</v>
      </c>
      <c r="G23" s="1"/>
      <c r="H23" s="1"/>
      <c r="I23" s="1">
        <v>37573.461592473119</v>
      </c>
      <c r="J23" s="1">
        <v>42850.185726551805</v>
      </c>
      <c r="K23" s="1">
        <v>40521.137452184921</v>
      </c>
      <c r="L23" s="1">
        <v>51041.263877213925</v>
      </c>
      <c r="M23" s="1">
        <v>61888.631117873054</v>
      </c>
    </row>
    <row r="24" spans="2:22" x14ac:dyDescent="0.25">
      <c r="B24" s="1" t="s">
        <v>16</v>
      </c>
      <c r="C24" s="1"/>
      <c r="D24" s="1"/>
      <c r="F24" s="1" t="str">
        <f>B24</f>
        <v>Accounts Receivable</v>
      </c>
      <c r="G24" s="1"/>
      <c r="H24" s="1"/>
      <c r="I24" s="1">
        <f>SUM(R24:R25)</f>
        <v>2856.3788082437277</v>
      </c>
      <c r="J24" s="1">
        <f t="shared" ref="J24:M24" si="4">SUM(S24:S25)</f>
        <v>3306.619623655914</v>
      </c>
      <c r="K24" s="1">
        <f t="shared" si="4"/>
        <v>3677.8953853046592</v>
      </c>
      <c r="L24" s="1">
        <f t="shared" si="4"/>
        <v>3985.80309139785</v>
      </c>
      <c r="M24" s="1">
        <f t="shared" si="4"/>
        <v>4221.8862007168455</v>
      </c>
      <c r="O24" s="1" t="s">
        <v>40</v>
      </c>
      <c r="P24" s="1"/>
      <c r="Q24" s="1"/>
      <c r="R24" s="1">
        <v>2570.7409274193551</v>
      </c>
      <c r="S24" s="1">
        <v>2975.9576612903224</v>
      </c>
      <c r="T24" s="1">
        <v>3310.1058467741932</v>
      </c>
      <c r="U24" s="1">
        <v>3587.2227822580649</v>
      </c>
      <c r="V24" s="1">
        <v>3799.697580645161</v>
      </c>
    </row>
    <row r="25" spans="2:22" x14ac:dyDescent="0.25">
      <c r="B25" s="1" t="s">
        <v>17</v>
      </c>
      <c r="C25" s="1"/>
      <c r="D25" s="1"/>
      <c r="F25" s="1" t="str">
        <f>B25</f>
        <v>Inventory</v>
      </c>
      <c r="G25" s="1"/>
      <c r="H25" s="1"/>
      <c r="I25" s="1">
        <f>SUM(R27:R29)</f>
        <v>4370.8557347670248</v>
      </c>
      <c r="J25" s="1">
        <f t="shared" ref="J25:M25" si="5">SUM(S27:S29)</f>
        <v>5376.7921146953413</v>
      </c>
      <c r="K25" s="1">
        <f t="shared" si="5"/>
        <v>5502.1281362007167</v>
      </c>
      <c r="L25" s="1">
        <f t="shared" si="5"/>
        <v>5897.6254480286743</v>
      </c>
      <c r="M25" s="1">
        <f t="shared" si="5"/>
        <v>6351.9265232974894</v>
      </c>
      <c r="O25" s="1" t="s">
        <v>39</v>
      </c>
      <c r="P25" s="1"/>
      <c r="Q25" s="1"/>
      <c r="R25" s="1">
        <v>285.63788082437276</v>
      </c>
      <c r="S25" s="1">
        <v>330.66196236559142</v>
      </c>
      <c r="T25" s="1">
        <v>367.78953853046596</v>
      </c>
      <c r="U25" s="1">
        <v>398.58030913978496</v>
      </c>
      <c r="V25" s="1">
        <v>422.18862007168457</v>
      </c>
    </row>
    <row r="26" spans="2:22" x14ac:dyDescent="0.25">
      <c r="B26" s="1" t="s">
        <v>18</v>
      </c>
      <c r="C26" s="1"/>
      <c r="D26" s="1"/>
      <c r="F26" s="1" t="s">
        <v>18</v>
      </c>
      <c r="G26" s="1"/>
      <c r="H26" s="1"/>
      <c r="I26" s="1">
        <v>44800.696135483871</v>
      </c>
      <c r="J26" s="1">
        <v>51533.597464903054</v>
      </c>
      <c r="K26" s="1">
        <v>49701.160973690297</v>
      </c>
      <c r="L26" s="1">
        <v>60924.69241664045</v>
      </c>
      <c r="M26" s="1">
        <v>72462.443841887391</v>
      </c>
    </row>
    <row r="27" spans="2:22" x14ac:dyDescent="0.25">
      <c r="B27" s="1" t="s">
        <v>19</v>
      </c>
      <c r="C27" s="1"/>
      <c r="D27" s="1"/>
      <c r="F27" s="1" t="str">
        <f>B27</f>
        <v>Property &amp; Equipment</v>
      </c>
      <c r="G27" s="1"/>
      <c r="H27" s="1"/>
      <c r="I27" s="1">
        <f>SUM(R31:R32)</f>
        <v>25481.630824372758</v>
      </c>
      <c r="J27" s="1">
        <f t="shared" ref="J27:M27" si="6">SUM(S31:S32)</f>
        <v>23717.517921146951</v>
      </c>
      <c r="K27" s="1">
        <f t="shared" si="6"/>
        <v>22482.638888888887</v>
      </c>
      <c r="L27" s="1">
        <f t="shared" si="6"/>
        <v>21618.223566308243</v>
      </c>
      <c r="M27" s="1">
        <f t="shared" si="6"/>
        <v>21013.132840501792</v>
      </c>
      <c r="O27" s="1" t="s">
        <v>41</v>
      </c>
      <c r="P27" s="1"/>
      <c r="Q27" s="1"/>
      <c r="R27" s="1">
        <v>874.17114695340501</v>
      </c>
      <c r="S27" s="1">
        <v>1075.3584229390683</v>
      </c>
      <c r="T27" s="1">
        <v>1100.4256272401433</v>
      </c>
      <c r="U27" s="1">
        <v>1179.5250896057348</v>
      </c>
      <c r="V27" s="1">
        <v>1270.3853046594982</v>
      </c>
    </row>
    <row r="28" spans="2:22" x14ac:dyDescent="0.25">
      <c r="B28" s="1" t="s">
        <v>20</v>
      </c>
      <c r="C28" s="1"/>
      <c r="D28" s="1"/>
      <c r="F28" s="1"/>
      <c r="G28" s="1"/>
      <c r="H28" s="1"/>
      <c r="I28" s="1"/>
      <c r="J28" s="1"/>
      <c r="K28" s="1"/>
      <c r="L28" s="1"/>
      <c r="M28" s="1"/>
      <c r="O28" s="1" t="s">
        <v>48</v>
      </c>
      <c r="P28" s="1"/>
      <c r="Q28" s="1"/>
      <c r="R28" s="1">
        <v>3059.5990143369172</v>
      </c>
      <c r="S28" s="1">
        <v>3763.7544802867387</v>
      </c>
      <c r="T28" s="1">
        <v>3851.4896953405014</v>
      </c>
      <c r="U28" s="1">
        <v>4128.3378136200718</v>
      </c>
      <c r="V28" s="1">
        <v>4446.3485663082429</v>
      </c>
    </row>
    <row r="29" spans="2:22" x14ac:dyDescent="0.25">
      <c r="B29" s="1" t="s">
        <v>21</v>
      </c>
      <c r="C29" s="1"/>
      <c r="D29" s="1"/>
      <c r="F29" s="1" t="s">
        <v>21</v>
      </c>
      <c r="G29" s="1"/>
      <c r="H29" s="1"/>
      <c r="I29" s="1">
        <v>70282.326959856626</v>
      </c>
      <c r="J29" s="1">
        <v>75251.115386050005</v>
      </c>
      <c r="K29" s="1">
        <v>72183.799862579181</v>
      </c>
      <c r="L29" s="1">
        <v>82542.915982948689</v>
      </c>
      <c r="M29" s="1">
        <v>93475.57668238919</v>
      </c>
      <c r="O29" s="1" t="s">
        <v>37</v>
      </c>
      <c r="P29" s="1"/>
      <c r="Q29" s="1"/>
      <c r="R29" s="1">
        <v>437.08557347670251</v>
      </c>
      <c r="S29" s="1">
        <v>537.67921146953415</v>
      </c>
      <c r="T29" s="1">
        <v>550.21281362007164</v>
      </c>
      <c r="U29" s="1">
        <v>589.76254480286741</v>
      </c>
      <c r="V29" s="1">
        <v>635.19265232974908</v>
      </c>
    </row>
    <row r="30" spans="2:22" x14ac:dyDescent="0.25">
      <c r="B30" s="1"/>
      <c r="C30" s="1"/>
      <c r="D30" s="1"/>
      <c r="F30" s="1"/>
      <c r="G30" s="1"/>
      <c r="H30" s="1"/>
      <c r="I30" s="1"/>
      <c r="J30" s="1"/>
      <c r="K30" s="1"/>
      <c r="L30" s="1"/>
      <c r="M30" s="1"/>
    </row>
    <row r="31" spans="2:22" x14ac:dyDescent="0.25">
      <c r="B31" s="1" t="s">
        <v>13</v>
      </c>
      <c r="C31" s="1"/>
      <c r="D31" s="1"/>
      <c r="F31" s="1"/>
      <c r="G31" s="1"/>
      <c r="H31" s="1"/>
      <c r="I31" s="1"/>
      <c r="J31" s="1"/>
      <c r="K31" s="1"/>
      <c r="L31" s="1"/>
      <c r="M31" s="1"/>
      <c r="O31" s="1" t="s">
        <v>46</v>
      </c>
      <c r="P31" s="1"/>
      <c r="Q31" s="1"/>
      <c r="R31" s="1">
        <v>16563.060035842293</v>
      </c>
      <c r="S31" s="1">
        <v>15416.386648745518</v>
      </c>
      <c r="T31" s="1">
        <v>14613.715277777777</v>
      </c>
      <c r="U31" s="1">
        <v>14051.845318100359</v>
      </c>
      <c r="V31" s="1">
        <v>13658.536346326166</v>
      </c>
    </row>
    <row r="32" spans="2:22" x14ac:dyDescent="0.25">
      <c r="B32" s="1"/>
      <c r="C32" s="1"/>
      <c r="D32" s="1"/>
      <c r="F32" s="1"/>
      <c r="G32" s="1"/>
      <c r="H32" s="1"/>
      <c r="I32" s="1"/>
      <c r="J32" s="1"/>
      <c r="K32" s="1"/>
      <c r="L32" s="1"/>
      <c r="M32" s="1"/>
      <c r="O32" s="1" t="s">
        <v>47</v>
      </c>
      <c r="P32" s="1"/>
      <c r="Q32" s="1"/>
      <c r="R32" s="1">
        <v>8918.5707885304655</v>
      </c>
      <c r="S32" s="1">
        <v>8301.1312724014333</v>
      </c>
      <c r="T32" s="1">
        <v>7868.9236111111095</v>
      </c>
      <c r="U32" s="1">
        <v>7566.3782482078841</v>
      </c>
      <c r="V32" s="1">
        <v>7354.5964941756265</v>
      </c>
    </row>
    <row r="33" spans="2:22" x14ac:dyDescent="0.25">
      <c r="B33" s="1" t="s">
        <v>22</v>
      </c>
      <c r="C33" s="1"/>
      <c r="D33" s="1"/>
      <c r="F33" s="1" t="s">
        <v>22</v>
      </c>
      <c r="G33" s="1"/>
      <c r="H33" s="1"/>
      <c r="I33" s="1"/>
      <c r="J33" s="1"/>
      <c r="K33" s="1"/>
      <c r="L33" s="1"/>
      <c r="M33" s="1"/>
    </row>
    <row r="34" spans="2:22" x14ac:dyDescent="0.25">
      <c r="B34" s="1" t="s">
        <v>23</v>
      </c>
      <c r="C34" s="1"/>
      <c r="D34" s="1"/>
      <c r="F34" s="1" t="s">
        <v>23</v>
      </c>
      <c r="G34" s="1"/>
      <c r="H34" s="1"/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2:22" x14ac:dyDescent="0.25">
      <c r="B35" s="1" t="s">
        <v>24</v>
      </c>
      <c r="C35" s="1"/>
      <c r="D35" s="1"/>
      <c r="F35" s="1" t="str">
        <f>B35</f>
        <v>Accounts Payable</v>
      </c>
      <c r="G35" s="1"/>
      <c r="H35" s="1"/>
      <c r="I35" s="1">
        <f>R35+R36</f>
        <v>2185.4278673835124</v>
      </c>
      <c r="J35" s="1">
        <f t="shared" ref="J35:M35" si="7">S35+S36</f>
        <v>2688.3960573476702</v>
      </c>
      <c r="K35" s="1">
        <f t="shared" si="7"/>
        <v>2751.0640681003583</v>
      </c>
      <c r="L35" s="1">
        <f t="shared" si="7"/>
        <v>2948.8127240143372</v>
      </c>
      <c r="M35" s="1">
        <f t="shared" si="7"/>
        <v>3175.9632616487452</v>
      </c>
      <c r="O35" s="1" t="s">
        <v>42</v>
      </c>
      <c r="P35" s="1"/>
      <c r="Q35" s="1"/>
      <c r="R35" s="1">
        <v>1857.6136872759855</v>
      </c>
      <c r="S35" s="1">
        <v>2285.1366487455198</v>
      </c>
      <c r="T35" s="1">
        <v>2338.4044578853045</v>
      </c>
      <c r="U35" s="1">
        <v>2506.4908154121867</v>
      </c>
      <c r="V35" s="1">
        <v>2699.5687724014333</v>
      </c>
    </row>
    <row r="36" spans="2:22" x14ac:dyDescent="0.25">
      <c r="B36" s="1" t="s">
        <v>25</v>
      </c>
      <c r="C36" s="1"/>
      <c r="D36" s="1"/>
      <c r="F36" s="1" t="s">
        <v>25</v>
      </c>
      <c r="G36" s="1"/>
      <c r="H36" s="1"/>
      <c r="I36" s="1">
        <v>2185.4278673835124</v>
      </c>
      <c r="J36" s="1">
        <v>2688.3960573476706</v>
      </c>
      <c r="K36" s="1">
        <v>2751.0640681003583</v>
      </c>
      <c r="L36" s="1">
        <v>2948.8127240143372</v>
      </c>
      <c r="M36" s="1">
        <v>3175.9632616487452</v>
      </c>
      <c r="O36" s="1" t="s">
        <v>43</v>
      </c>
      <c r="P36" s="1"/>
      <c r="Q36" s="1"/>
      <c r="R36" s="1">
        <v>327.81418010752685</v>
      </c>
      <c r="S36" s="1">
        <v>403.25940860215059</v>
      </c>
      <c r="T36" s="1">
        <v>412.65961021505376</v>
      </c>
      <c r="U36" s="1">
        <v>442.32190860215059</v>
      </c>
      <c r="V36" s="1">
        <v>476.39448924731175</v>
      </c>
    </row>
    <row r="37" spans="2:22" x14ac:dyDescent="0.25">
      <c r="B37" s="1" t="s">
        <v>26</v>
      </c>
      <c r="C37" s="1"/>
      <c r="D37" s="1"/>
      <c r="F37" s="1" t="s">
        <v>26</v>
      </c>
      <c r="G37" s="1"/>
      <c r="H37" s="1"/>
      <c r="I37" s="1">
        <v>28001.792114695338</v>
      </c>
      <c r="J37" s="1">
        <v>28001.792114695338</v>
      </c>
      <c r="K37" s="1">
        <v>16801.075268817203</v>
      </c>
      <c r="L37" s="1">
        <v>16801.075268817203</v>
      </c>
      <c r="M37" s="1">
        <v>16801.075268817203</v>
      </c>
    </row>
    <row r="38" spans="2:22" x14ac:dyDescent="0.25">
      <c r="B38" s="1" t="s">
        <v>27</v>
      </c>
      <c r="C38" s="1"/>
      <c r="D38" s="1"/>
      <c r="F38" s="1" t="s">
        <v>27</v>
      </c>
      <c r="G38" s="1"/>
      <c r="H38" s="1"/>
      <c r="I38" s="1">
        <v>30187.219982078852</v>
      </c>
      <c r="J38" s="1">
        <v>30690.18817204301</v>
      </c>
      <c r="K38" s="1">
        <v>19552.13933691756</v>
      </c>
      <c r="L38" s="1">
        <v>19749.88799283154</v>
      </c>
      <c r="M38" s="1">
        <v>19977.03853046595</v>
      </c>
    </row>
    <row r="39" spans="2:22" x14ac:dyDescent="0.25">
      <c r="B39" s="1" t="s">
        <v>28</v>
      </c>
      <c r="C39" s="1"/>
      <c r="D39" s="1"/>
      <c r="F39" s="1" t="s">
        <v>28</v>
      </c>
      <c r="G39" s="1"/>
      <c r="H39" s="1"/>
      <c r="I39" s="1"/>
      <c r="J39" s="1"/>
      <c r="K39" s="1"/>
      <c r="L39" s="1"/>
      <c r="M39" s="1"/>
    </row>
    <row r="40" spans="2:22" x14ac:dyDescent="0.25">
      <c r="B40" s="1" t="s">
        <v>29</v>
      </c>
      <c r="C40" s="1"/>
      <c r="D40" s="1"/>
      <c r="F40" s="1" t="str">
        <f>B40</f>
        <v>Equity Capital</v>
      </c>
      <c r="G40" s="1"/>
      <c r="H40" s="1"/>
      <c r="I40" s="1">
        <f>R40+R41</f>
        <v>39202.508960573476</v>
      </c>
      <c r="J40" s="1">
        <f t="shared" ref="J40:M40" si="8">S40+S41</f>
        <v>39202.508960573476</v>
      </c>
      <c r="K40" s="1">
        <f t="shared" si="8"/>
        <v>39202.508960573476</v>
      </c>
      <c r="L40" s="1">
        <f t="shared" si="8"/>
        <v>39202.508960573476</v>
      </c>
      <c r="M40" s="1">
        <f t="shared" si="8"/>
        <v>39202.508960573476</v>
      </c>
      <c r="O40" s="1" t="s">
        <v>44</v>
      </c>
      <c r="P40" s="1"/>
      <c r="Q40" s="1"/>
      <c r="R40" s="1">
        <v>3920.2508960573477</v>
      </c>
      <c r="S40" s="1">
        <v>3920.2508960573477</v>
      </c>
      <c r="T40" s="1">
        <v>3920.2508960573477</v>
      </c>
      <c r="U40" s="1">
        <v>3920.2508960573477</v>
      </c>
      <c r="V40" s="1">
        <v>3920.2508960573477</v>
      </c>
    </row>
    <row r="41" spans="2:22" x14ac:dyDescent="0.25">
      <c r="B41" s="1" t="s">
        <v>30</v>
      </c>
      <c r="C41" s="1"/>
      <c r="D41" s="1"/>
      <c r="F41" s="1" t="s">
        <v>30</v>
      </c>
      <c r="G41" s="1"/>
      <c r="H41" s="1"/>
      <c r="I41" s="1">
        <v>892.59801720429687</v>
      </c>
      <c r="J41" s="1">
        <v>5358.4182534335196</v>
      </c>
      <c r="K41" s="1">
        <v>13429.151565088139</v>
      </c>
      <c r="L41" s="1">
        <v>23590.519029543666</v>
      </c>
      <c r="M41" s="1">
        <v>34296.029191349749</v>
      </c>
      <c r="O41" s="1" t="s">
        <v>45</v>
      </c>
      <c r="P41" s="1"/>
      <c r="Q41" s="1"/>
      <c r="R41" s="1">
        <v>35282.258064516129</v>
      </c>
      <c r="S41" s="1">
        <v>35282.258064516129</v>
      </c>
      <c r="T41" s="1">
        <v>35282.258064516129</v>
      </c>
      <c r="U41" s="1">
        <v>35282.258064516129</v>
      </c>
      <c r="V41" s="1">
        <v>35282.258064516129</v>
      </c>
    </row>
    <row r="42" spans="2:22" x14ac:dyDescent="0.25">
      <c r="B42" s="1" t="s">
        <v>28</v>
      </c>
      <c r="C42" s="1"/>
      <c r="D42" s="1"/>
      <c r="F42" s="1" t="s">
        <v>28</v>
      </c>
      <c r="G42" s="1"/>
      <c r="H42" s="1"/>
      <c r="I42" s="1">
        <v>40095.106977777774</v>
      </c>
      <c r="J42" s="1">
        <v>44560.927214006995</v>
      </c>
      <c r="K42" s="1">
        <v>52631.660525661617</v>
      </c>
      <c r="L42" s="1">
        <v>62793.027990117145</v>
      </c>
      <c r="M42" s="1">
        <v>73498.538151923218</v>
      </c>
    </row>
    <row r="43" spans="2:22" x14ac:dyDescent="0.25">
      <c r="B43" s="1" t="s">
        <v>31</v>
      </c>
      <c r="C43" s="1"/>
      <c r="D43" s="1"/>
      <c r="F43" s="1" t="s">
        <v>31</v>
      </c>
      <c r="G43" s="1"/>
      <c r="H43" s="1"/>
      <c r="I43" s="1">
        <v>70282.326959856626</v>
      </c>
      <c r="J43" s="1">
        <v>75251.115386050005</v>
      </c>
      <c r="K43" s="1">
        <v>72183.799862579181</v>
      </c>
      <c r="L43" s="1">
        <v>82542.915982948689</v>
      </c>
      <c r="M43" s="1">
        <v>93475.576682389161</v>
      </c>
    </row>
    <row r="44" spans="2:22" x14ac:dyDescent="0.25">
      <c r="F44" s="1"/>
      <c r="G44" s="1"/>
      <c r="H44" s="1"/>
      <c r="I44" s="1"/>
      <c r="J44" s="1"/>
      <c r="K44" s="1"/>
      <c r="L44" s="1"/>
      <c r="M44" s="1"/>
    </row>
    <row r="45" spans="2:22" x14ac:dyDescent="0.25">
      <c r="F45" s="1"/>
      <c r="G45" s="1"/>
      <c r="H45" s="1"/>
      <c r="I45" s="1"/>
      <c r="J45" s="1"/>
      <c r="K45" s="1"/>
      <c r="L45" s="1"/>
      <c r="M45" s="1"/>
    </row>
    <row r="46" spans="2:22" x14ac:dyDescent="0.25">
      <c r="F46" s="1"/>
      <c r="G46" s="1"/>
      <c r="H46" s="1"/>
      <c r="I46" s="1"/>
      <c r="J46" s="1"/>
      <c r="K46" s="1"/>
      <c r="L46" s="1"/>
      <c r="M46" s="1"/>
    </row>
    <row r="47" spans="2:22" x14ac:dyDescent="0.25">
      <c r="F47" s="1"/>
      <c r="G47" s="1"/>
      <c r="H47" s="1"/>
      <c r="I47" s="1"/>
      <c r="J47" s="1"/>
      <c r="K47" s="1"/>
      <c r="L47" s="1"/>
      <c r="M47" s="1"/>
    </row>
    <row r="48" spans="2:22" x14ac:dyDescent="0.25">
      <c r="F48" s="1"/>
      <c r="G48" s="1"/>
      <c r="H48" s="1"/>
      <c r="I48" s="1"/>
      <c r="J48" s="1"/>
      <c r="K48" s="1"/>
      <c r="L48" s="1"/>
      <c r="M48" s="1"/>
    </row>
  </sheetData>
  <pageMargins left="0.7" right="0.7" top="0.75" bottom="0.75" header="0.3" footer="0.3"/>
  <ignoredErrors>
    <ignoredError sqref="I9:I10 J9:M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Acquirer statements</vt:lpstr>
      <vt:lpstr>Target statements</vt:lpstr>
      <vt:lpstr>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Prashanth K</cp:lastModifiedBy>
  <dcterms:created xsi:type="dcterms:W3CDTF">2017-11-22T00:57:01Z</dcterms:created>
  <dcterms:modified xsi:type="dcterms:W3CDTF">2025-11-13T13:57:19Z</dcterms:modified>
</cp:coreProperties>
</file>