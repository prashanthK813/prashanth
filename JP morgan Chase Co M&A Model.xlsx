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bfef7e38da6c85/Documents/"/>
    </mc:Choice>
  </mc:AlternateContent>
  <xr:revisionPtr revIDLastSave="5" documentId="8_{B41BCBBE-46A4-48AB-9BEB-C190E17CA486}" xr6:coauthVersionLast="47" xr6:coauthVersionMax="47" xr10:uidLastSave="{8AC0FF9B-1462-4C4F-9EC0-C060A562665B}"/>
  <bookViews>
    <workbookView xWindow="-108" yWindow="-108" windowWidth="23256" windowHeight="12456" firstSheet="8" activeTab="9" xr2:uid="{E7E2130C-BD34-45E6-9046-3D47A5BE7F58}"/>
  </bookViews>
  <sheets>
    <sheet name="Cover" sheetId="1" r:id="rId1"/>
    <sheet name="Assumptions" sheetId="2" r:id="rId2"/>
    <sheet name="Acquirer Co Model" sheetId="3" r:id="rId3"/>
    <sheet name="Target Model" sheetId="4" r:id="rId4"/>
    <sheet name="Support Schedules" sheetId="5" r:id="rId5"/>
    <sheet name="DCF Model" sheetId="6" r:id="rId6"/>
    <sheet name="Closing Balance Sheet" sheetId="7" r:id="rId7"/>
    <sheet name="Pro Forma Model" sheetId="8" r:id="rId8"/>
    <sheet name="Accretion Dilution" sheetId="9" r:id="rId9"/>
    <sheet name="Summary &amp; Sensitivity" sheetId="10" r:id="rId10"/>
    <sheet name="Sources" sheetId="11" r:id="rId11"/>
    <sheet name="Checks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7" l="1"/>
  <c r="C24" i="7"/>
  <c r="D24" i="7"/>
  <c r="B25" i="7"/>
  <c r="C25" i="7"/>
  <c r="C26" i="7"/>
  <c r="D26" i="7"/>
  <c r="C27" i="7"/>
  <c r="B28" i="7"/>
  <c r="C28" i="7"/>
  <c r="D28" i="7"/>
  <c r="B29" i="7"/>
  <c r="C29" i="7"/>
  <c r="B30" i="7"/>
  <c r="C30" i="7"/>
  <c r="D30" i="7"/>
  <c r="C31" i="7"/>
  <c r="B21" i="6"/>
  <c r="B24" i="6"/>
  <c r="B25" i="6"/>
  <c r="B7" i="6"/>
  <c r="C7" i="6"/>
  <c r="D7" i="6"/>
  <c r="E7" i="6"/>
  <c r="F7" i="6"/>
  <c r="B9" i="6"/>
  <c r="C9" i="6"/>
  <c r="D9" i="6"/>
  <c r="E9" i="6"/>
  <c r="F9" i="6"/>
  <c r="B13" i="6"/>
  <c r="C13" i="6"/>
  <c r="D13" i="6"/>
  <c r="E13" i="6"/>
  <c r="F13" i="6"/>
  <c r="B17" i="6"/>
  <c r="B5" i="9"/>
  <c r="B6" i="9"/>
  <c r="B11" i="9"/>
  <c r="C11" i="9"/>
  <c r="D11" i="9"/>
  <c r="E11" i="9"/>
  <c r="B13" i="9"/>
  <c r="B5" i="8"/>
  <c r="B6" i="8"/>
  <c r="B10" i="8"/>
  <c r="B18" i="8"/>
  <c r="D8" i="7"/>
  <c r="E8" i="7" s="1"/>
  <c r="D10" i="7"/>
  <c r="E10" i="7" s="1"/>
  <c r="D11" i="7"/>
  <c r="E11" i="7" s="1"/>
  <c r="D12" i="7"/>
  <c r="E12" i="7" s="1"/>
  <c r="B17" i="5"/>
  <c r="C17" i="5" s="1"/>
  <c r="B18" i="5"/>
  <c r="D18" i="5" s="1"/>
  <c r="B19" i="5"/>
  <c r="D19" i="5" s="1"/>
  <c r="B22" i="5"/>
  <c r="C22" i="5" s="1"/>
  <c r="C23" i="5" s="1"/>
  <c r="C10" i="9" s="1"/>
  <c r="B5" i="5"/>
  <c r="D5" i="5" s="1"/>
  <c r="B8" i="5"/>
  <c r="D8" i="5" s="1"/>
  <c r="D10" i="5" s="1"/>
  <c r="D5" i="4"/>
  <c r="E5" i="4" s="1"/>
  <c r="D6" i="8" s="1"/>
  <c r="D14" i="4"/>
  <c r="E14" i="4" s="1"/>
  <c r="F14" i="4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B6" i="10"/>
  <c r="B18" i="7"/>
  <c r="C18" i="7"/>
  <c r="B19" i="7"/>
  <c r="C19" i="7"/>
  <c r="D19" i="7"/>
  <c r="B20" i="7"/>
  <c r="D20" i="7"/>
  <c r="B21" i="7"/>
  <c r="C21" i="7"/>
  <c r="B22" i="7"/>
  <c r="C22" i="7"/>
  <c r="D22" i="7"/>
  <c r="C23" i="7"/>
  <c r="B27" i="5"/>
  <c r="B34" i="5" s="1"/>
  <c r="B28" i="5"/>
  <c r="B29" i="5"/>
  <c r="B30" i="5"/>
  <c r="B31" i="5"/>
  <c r="B12" i="1"/>
  <c r="B18" i="2"/>
  <c r="B5" i="10"/>
  <c r="B38" i="8"/>
  <c r="C38" i="8"/>
  <c r="D38" i="8"/>
  <c r="E38" i="8"/>
  <c r="D34" i="4"/>
  <c r="E34" i="4" s="1"/>
  <c r="D19" i="4"/>
  <c r="E19" i="4" s="1"/>
  <c r="F19" i="4" s="1"/>
  <c r="D20" i="4"/>
  <c r="E20" i="4" s="1"/>
  <c r="E37" i="4" s="1"/>
  <c r="D21" i="4"/>
  <c r="E21" i="4" s="1"/>
  <c r="F21" i="4" s="1"/>
  <c r="D24" i="4"/>
  <c r="E24" i="4" s="1"/>
  <c r="F24" i="4" s="1"/>
  <c r="D55" i="3"/>
  <c r="E55" i="3" s="1"/>
  <c r="D59" i="3"/>
  <c r="E59" i="3"/>
  <c r="D47" i="3"/>
  <c r="E47" i="3" s="1"/>
  <c r="B48" i="3"/>
  <c r="B49" i="3" s="1"/>
  <c r="C48" i="3"/>
  <c r="C49" i="3" s="1"/>
  <c r="C11" i="12" s="1"/>
  <c r="D28" i="3"/>
  <c r="E28" i="3" s="1"/>
  <c r="D29" i="3"/>
  <c r="E29" i="3" s="1"/>
  <c r="D30" i="3"/>
  <c r="E30" i="3" s="1"/>
  <c r="D31" i="3"/>
  <c r="E31" i="3" s="1"/>
  <c r="D32" i="3"/>
  <c r="E32" i="3" s="1"/>
  <c r="D33" i="3"/>
  <c r="E33" i="3" s="1"/>
  <c r="D34" i="3"/>
  <c r="E34" i="3" s="1"/>
  <c r="D35" i="3"/>
  <c r="E35" i="3" s="1"/>
  <c r="D36" i="3"/>
  <c r="E36" i="3" s="1"/>
  <c r="D37" i="3"/>
  <c r="E37" i="3" s="1"/>
  <c r="D38" i="3"/>
  <c r="E38" i="3" s="1"/>
  <c r="D39" i="3"/>
  <c r="E39" i="3" s="1"/>
  <c r="D40" i="3"/>
  <c r="E40" i="3" s="1"/>
  <c r="D41" i="3"/>
  <c r="E41" i="3" s="1"/>
  <c r="D42" i="3"/>
  <c r="E42" i="3" s="1"/>
  <c r="D43" i="3"/>
  <c r="E43" i="3" s="1"/>
  <c r="D44" i="3"/>
  <c r="E44" i="3" s="1"/>
  <c r="D45" i="3"/>
  <c r="E45" i="3" s="1"/>
  <c r="D46" i="3"/>
  <c r="E46" i="3" s="1"/>
  <c r="B19" i="3"/>
  <c r="C19" i="3"/>
  <c r="C20" i="3" s="1"/>
  <c r="D23" i="3"/>
  <c r="C13" i="9" s="1"/>
  <c r="B24" i="3"/>
  <c r="C24" i="3"/>
  <c r="D57" i="3"/>
  <c r="B11" i="1"/>
  <c r="E24" i="7" l="1"/>
  <c r="C32" i="7"/>
  <c r="E30" i="7"/>
  <c r="B26" i="7"/>
  <c r="B27" i="7" s="1"/>
  <c r="C19" i="5"/>
  <c r="B31" i="7"/>
  <c r="B7" i="5"/>
  <c r="D7" i="5" s="1"/>
  <c r="B5" i="6"/>
  <c r="B6" i="6" s="1"/>
  <c r="D6" i="4"/>
  <c r="E28" i="7"/>
  <c r="D54" i="3"/>
  <c r="D35" i="4"/>
  <c r="B10" i="5"/>
  <c r="B12" i="8" s="1"/>
  <c r="C14" i="8"/>
  <c r="D25" i="7"/>
  <c r="C8" i="5"/>
  <c r="C10" i="5" s="1"/>
  <c r="C12" i="8" s="1"/>
  <c r="B23" i="5"/>
  <c r="B10" i="9" s="1"/>
  <c r="C18" i="5"/>
  <c r="B16" i="9"/>
  <c r="D7" i="8"/>
  <c r="B20" i="5"/>
  <c r="C5" i="8"/>
  <c r="B6" i="5"/>
  <c r="E22" i="5"/>
  <c r="E14" i="8" s="1"/>
  <c r="E19" i="5"/>
  <c r="E18" i="5"/>
  <c r="E17" i="5"/>
  <c r="B7" i="8"/>
  <c r="B8" i="8" s="1"/>
  <c r="D7" i="4"/>
  <c r="E7" i="4" s="1"/>
  <c r="C5" i="5"/>
  <c r="D17" i="5"/>
  <c r="D20" i="5" s="1"/>
  <c r="D21" i="5" s="1"/>
  <c r="D7" i="9" s="1"/>
  <c r="C6" i="8"/>
  <c r="C5" i="6"/>
  <c r="C8" i="6" s="1"/>
  <c r="C10" i="6" s="1"/>
  <c r="C14" i="6" s="1"/>
  <c r="C18" i="8"/>
  <c r="D18" i="8"/>
  <c r="E18" i="8"/>
  <c r="B9" i="8"/>
  <c r="C21" i="3"/>
  <c r="D5" i="8"/>
  <c r="E5" i="8"/>
  <c r="D11" i="5"/>
  <c r="D8" i="9" s="1"/>
  <c r="D12" i="8"/>
  <c r="B20" i="3"/>
  <c r="B21" i="3" s="1"/>
  <c r="E48" i="3"/>
  <c r="E49" i="3" s="1"/>
  <c r="E19" i="7"/>
  <c r="B30" i="8" s="1"/>
  <c r="C30" i="8" s="1"/>
  <c r="D30" i="8" s="1"/>
  <c r="E30" i="8" s="1"/>
  <c r="E8" i="5"/>
  <c r="E10" i="5" s="1"/>
  <c r="E5" i="5"/>
  <c r="D22" i="5"/>
  <c r="D37" i="8" s="1"/>
  <c r="D7" i="7"/>
  <c r="E7" i="7" s="1"/>
  <c r="B14" i="8"/>
  <c r="D8" i="4"/>
  <c r="E8" i="4" s="1"/>
  <c r="D13" i="7"/>
  <c r="E13" i="7" s="1"/>
  <c r="E6" i="4"/>
  <c r="F5" i="4"/>
  <c r="E20" i="7"/>
  <c r="E23" i="3"/>
  <c r="B35" i="5"/>
  <c r="D29" i="7" s="1"/>
  <c r="E29" i="7" s="1"/>
  <c r="B32" i="5"/>
  <c r="D21" i="7" s="1"/>
  <c r="E21" i="7" s="1"/>
  <c r="B29" i="8" s="1"/>
  <c r="C29" i="8" s="1"/>
  <c r="D29" i="8" s="1"/>
  <c r="E29" i="8" s="1"/>
  <c r="B27" i="8"/>
  <c r="C27" i="8" s="1"/>
  <c r="D27" i="8" s="1"/>
  <c r="E27" i="8" s="1"/>
  <c r="B23" i="7"/>
  <c r="E22" i="7"/>
  <c r="D19" i="3"/>
  <c r="D58" i="3"/>
  <c r="E54" i="3"/>
  <c r="D37" i="4"/>
  <c r="D48" i="3"/>
  <c r="D49" i="3" s="1"/>
  <c r="C37" i="8"/>
  <c r="B37" i="8"/>
  <c r="F34" i="4"/>
  <c r="F20" i="4"/>
  <c r="F37" i="4" s="1"/>
  <c r="E22" i="4"/>
  <c r="D22" i="4"/>
  <c r="B32" i="7" l="1"/>
  <c r="E31" i="7"/>
  <c r="C11" i="5"/>
  <c r="C8" i="9" s="1"/>
  <c r="C7" i="8"/>
  <c r="C8" i="8" s="1"/>
  <c r="E26" i="7"/>
  <c r="E7" i="5"/>
  <c r="C7" i="5"/>
  <c r="D6" i="7"/>
  <c r="E6" i="7" s="1"/>
  <c r="C6" i="6"/>
  <c r="B9" i="5"/>
  <c r="C9" i="5" s="1"/>
  <c r="C14" i="9" s="1"/>
  <c r="C15" i="9" s="1"/>
  <c r="D8" i="8"/>
  <c r="E20" i="5"/>
  <c r="E11" i="8" s="1"/>
  <c r="B8" i="6"/>
  <c r="B10" i="6" s="1"/>
  <c r="B14" i="6" s="1"/>
  <c r="C20" i="5"/>
  <c r="C11" i="8" s="1"/>
  <c r="E7" i="8"/>
  <c r="B11" i="5"/>
  <c r="B8" i="9" s="1"/>
  <c r="E23" i="5"/>
  <c r="E10" i="9" s="1"/>
  <c r="D11" i="8"/>
  <c r="B33" i="5"/>
  <c r="D27" i="7"/>
  <c r="E25" i="7"/>
  <c r="E27" i="7" s="1"/>
  <c r="D9" i="4"/>
  <c r="C10" i="8" s="1"/>
  <c r="D31" i="7"/>
  <c r="D6" i="5"/>
  <c r="D12" i="5" s="1"/>
  <c r="C6" i="5"/>
  <c r="C12" i="5" s="1"/>
  <c r="D5" i="7"/>
  <c r="B11" i="8"/>
  <c r="B21" i="5"/>
  <c r="B7" i="9" s="1"/>
  <c r="B41" i="8"/>
  <c r="F8" i="4"/>
  <c r="E6" i="5"/>
  <c r="E12" i="5" s="1"/>
  <c r="E13" i="5" s="1"/>
  <c r="E9" i="9" s="1"/>
  <c r="B12" i="5"/>
  <c r="B13" i="8" s="1"/>
  <c r="D13" i="9"/>
  <c r="E13" i="9"/>
  <c r="F7" i="4"/>
  <c r="E11" i="5"/>
  <c r="E8" i="9" s="1"/>
  <c r="E12" i="8"/>
  <c r="D20" i="3"/>
  <c r="D21" i="3" s="1"/>
  <c r="C9" i="8"/>
  <c r="D5" i="6"/>
  <c r="E6" i="8"/>
  <c r="E8" i="8" s="1"/>
  <c r="D23" i="5"/>
  <c r="D10" i="9" s="1"/>
  <c r="D14" i="8"/>
  <c r="F6" i="4"/>
  <c r="E9" i="4"/>
  <c r="D10" i="8" s="1"/>
  <c r="C41" i="8"/>
  <c r="E57" i="3"/>
  <c r="E19" i="3"/>
  <c r="E58" i="3"/>
  <c r="F22" i="4"/>
  <c r="F23" i="4" s="1"/>
  <c r="F35" i="4"/>
  <c r="E37" i="8"/>
  <c r="E35" i="4"/>
  <c r="D23" i="4"/>
  <c r="E23" i="4"/>
  <c r="C21" i="5" l="1"/>
  <c r="C7" i="9" s="1"/>
  <c r="E13" i="8"/>
  <c r="D10" i="4"/>
  <c r="D11" i="4" s="1"/>
  <c r="C6" i="9" s="1"/>
  <c r="F9" i="4"/>
  <c r="E10" i="8" s="1"/>
  <c r="E21" i="5"/>
  <c r="E7" i="9" s="1"/>
  <c r="E15" i="9"/>
  <c r="D9" i="5"/>
  <c r="D14" i="9" s="1"/>
  <c r="D15" i="9" s="1"/>
  <c r="B14" i="9"/>
  <c r="B15" i="9" s="1"/>
  <c r="E9" i="5"/>
  <c r="E14" i="9" s="1"/>
  <c r="B13" i="5"/>
  <c r="B9" i="9" s="1"/>
  <c r="B12" i="9" s="1"/>
  <c r="E5" i="7"/>
  <c r="D9" i="7"/>
  <c r="D15" i="4"/>
  <c r="C13" i="5"/>
  <c r="C9" i="9" s="1"/>
  <c r="C13" i="8"/>
  <c r="C15" i="8" s="1"/>
  <c r="C16" i="8" s="1"/>
  <c r="C17" i="8" s="1"/>
  <c r="C19" i="8" s="1"/>
  <c r="D12" i="4"/>
  <c r="D13" i="4" s="1"/>
  <c r="B15" i="8"/>
  <c r="B16" i="8" s="1"/>
  <c r="B17" i="8" s="1"/>
  <c r="B19" i="8" s="1"/>
  <c r="D13" i="5"/>
  <c r="D9" i="9" s="1"/>
  <c r="D13" i="8"/>
  <c r="D8" i="6"/>
  <c r="D10" i="6" s="1"/>
  <c r="D14" i="6" s="1"/>
  <c r="D6" i="6"/>
  <c r="E5" i="6"/>
  <c r="E9" i="8"/>
  <c r="E20" i="3"/>
  <c r="E21" i="3" s="1"/>
  <c r="D9" i="8"/>
  <c r="E10" i="4"/>
  <c r="E11" i="4" s="1"/>
  <c r="D6" i="9" s="1"/>
  <c r="F10" i="4"/>
  <c r="F11" i="4" s="1"/>
  <c r="E6" i="9" s="1"/>
  <c r="D18" i="7"/>
  <c r="D22" i="3"/>
  <c r="C5" i="9" s="1"/>
  <c r="D53" i="3"/>
  <c r="D56" i="3" s="1"/>
  <c r="D60" i="3" s="1"/>
  <c r="D41" i="8"/>
  <c r="E41" i="8"/>
  <c r="B28" i="8"/>
  <c r="C28" i="8" s="1"/>
  <c r="D28" i="8" s="1"/>
  <c r="E28" i="8" s="1"/>
  <c r="B24" i="8"/>
  <c r="C24" i="8" s="1"/>
  <c r="D24" i="8" s="1"/>
  <c r="E24" i="8" s="1"/>
  <c r="E15" i="8" l="1"/>
  <c r="E16" i="8" s="1"/>
  <c r="E17" i="8" s="1"/>
  <c r="E19" i="8" s="1"/>
  <c r="B17" i="9"/>
  <c r="B18" i="9" s="1"/>
  <c r="B19" i="9" s="1"/>
  <c r="D15" i="8"/>
  <c r="D16" i="8" s="1"/>
  <c r="D17" i="8" s="1"/>
  <c r="D19" i="8" s="1"/>
  <c r="E9" i="7"/>
  <c r="D14" i="7"/>
  <c r="F5" i="6"/>
  <c r="E6" i="6"/>
  <c r="E8" i="6"/>
  <c r="E10" i="6" s="1"/>
  <c r="E14" i="6" s="1"/>
  <c r="C16" i="9"/>
  <c r="C12" i="9"/>
  <c r="C17" i="9" s="1"/>
  <c r="F15" i="4"/>
  <c r="F12" i="4"/>
  <c r="F13" i="4" s="1"/>
  <c r="E12" i="4"/>
  <c r="E13" i="4" s="1"/>
  <c r="E15" i="4"/>
  <c r="D23" i="7"/>
  <c r="D32" i="7" s="1"/>
  <c r="E18" i="7"/>
  <c r="E23" i="7" s="1"/>
  <c r="E32" i="7" s="1"/>
  <c r="C5" i="12" s="1"/>
  <c r="E22" i="3"/>
  <c r="E53" i="3"/>
  <c r="E56" i="3" s="1"/>
  <c r="E60" i="3" s="1"/>
  <c r="D33" i="4"/>
  <c r="D36" i="4" s="1"/>
  <c r="D24" i="3"/>
  <c r="E14" i="7" l="1"/>
  <c r="C9" i="12"/>
  <c r="B31" i="8"/>
  <c r="C31" i="8" s="1"/>
  <c r="D31" i="8" s="1"/>
  <c r="E31" i="8" s="1"/>
  <c r="C18" i="9"/>
  <c r="D5" i="9"/>
  <c r="E5" i="9"/>
  <c r="F8" i="6"/>
  <c r="F6" i="6"/>
  <c r="E33" i="4"/>
  <c r="E36" i="4" s="1"/>
  <c r="C36" i="8"/>
  <c r="C39" i="8" s="1"/>
  <c r="B36" i="8"/>
  <c r="B39" i="8" s="1"/>
  <c r="B8" i="10"/>
  <c r="D27" i="4"/>
  <c r="D38" i="4"/>
  <c r="D39" i="4" s="1"/>
  <c r="E24" i="3"/>
  <c r="B23" i="8"/>
  <c r="F33" i="4"/>
  <c r="F36" i="4" s="1"/>
  <c r="E38" i="4"/>
  <c r="B25" i="8" l="1"/>
  <c r="B32" i="8" s="1"/>
  <c r="C19" i="9"/>
  <c r="C12" i="12"/>
  <c r="E12" i="9"/>
  <c r="E17" i="9" s="1"/>
  <c r="E16" i="9"/>
  <c r="B14" i="1" s="1"/>
  <c r="F11" i="6"/>
  <c r="F12" i="6" s="1"/>
  <c r="F15" i="6" s="1"/>
  <c r="F10" i="6"/>
  <c r="F14" i="6" s="1"/>
  <c r="D12" i="9"/>
  <c r="D17" i="9" s="1"/>
  <c r="D16" i="9"/>
  <c r="E36" i="8"/>
  <c r="E39" i="8" s="1"/>
  <c r="D36" i="8"/>
  <c r="D39" i="8" s="1"/>
  <c r="F38" i="4"/>
  <c r="F39" i="4" s="1"/>
  <c r="C23" i="8"/>
  <c r="B40" i="8"/>
  <c r="B42" i="8" s="1"/>
  <c r="B7" i="10"/>
  <c r="B13" i="10"/>
  <c r="E39" i="4"/>
  <c r="B26" i="8" l="1"/>
  <c r="C25" i="8"/>
  <c r="C32" i="8" s="1"/>
  <c r="B16" i="6"/>
  <c r="B20" i="6" s="1"/>
  <c r="C13" i="12" s="1"/>
  <c r="D18" i="9"/>
  <c r="D19" i="9" s="1"/>
  <c r="E18" i="9"/>
  <c r="E19" i="9" s="1"/>
  <c r="E6" i="10"/>
  <c r="F7" i="10"/>
  <c r="E5" i="10"/>
  <c r="F6" i="10"/>
  <c r="G7" i="10"/>
  <c r="B10" i="10"/>
  <c r="F5" i="10"/>
  <c r="G6" i="10"/>
  <c r="B9" i="10"/>
  <c r="G5" i="10"/>
  <c r="E7" i="10"/>
  <c r="E13" i="10"/>
  <c r="F14" i="10"/>
  <c r="F12" i="10"/>
  <c r="G12" i="10"/>
  <c r="E14" i="10"/>
  <c r="G14" i="10"/>
  <c r="G13" i="10"/>
  <c r="E12" i="10"/>
  <c r="B13" i="1"/>
  <c r="B11" i="10"/>
  <c r="C40" i="8"/>
  <c r="C42" i="8" s="1"/>
  <c r="D23" i="8"/>
  <c r="F13" i="10" l="1"/>
  <c r="C26" i="8"/>
  <c r="C6" i="12" s="1"/>
  <c r="D25" i="8"/>
  <c r="D32" i="8" s="1"/>
  <c r="D26" i="8"/>
  <c r="C7" i="12" s="1"/>
  <c r="B23" i="6"/>
  <c r="B16" i="1" s="1"/>
  <c r="B22" i="6"/>
  <c r="B12" i="10" s="1"/>
  <c r="B15" i="1"/>
  <c r="B14" i="10"/>
  <c r="D40" i="8"/>
  <c r="D42" i="8" s="1"/>
  <c r="E23" i="8"/>
  <c r="E25" i="8" l="1"/>
  <c r="E32" i="8" s="1"/>
  <c r="E40" i="8"/>
  <c r="E42" i="8" s="1"/>
  <c r="E26" i="8" l="1"/>
  <c r="C8" i="12" s="1"/>
  <c r="C10" i="12" l="1"/>
  <c r="D29" i="4"/>
  <c r="D28" i="4"/>
  <c r="F27" i="4"/>
  <c r="D25" i="4"/>
  <c r="D26" i="4"/>
  <c r="E27" i="4"/>
  <c r="E25" i="4"/>
  <c r="E26" i="4"/>
  <c r="E28" i="4"/>
  <c r="E29" i="4"/>
  <c r="F25" i="4"/>
  <c r="F26" i="4"/>
  <c r="F28" i="4"/>
  <c r="F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tc={20C618F5-20E3-411F-81B0-D433157897A4}</author>
    <author>tc={86A63AAE-A7D3-498C-ABFD-BF3EB0F71DEC}</author>
    <author>tc={C8BF1EAC-781F-4DB0-8692-DA5993FC2801}</author>
    <author>tc={8A6BD01B-02E5-4F15-81C9-26DC433E7481}</author>
  </authors>
  <commentList>
    <comment ref="B5" authorId="0" shapeId="0" xr:uid="{20C618F5-20E3-411F-81B0-D433157897A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Live market quote | As-of: 2026-06-15 23:50 UTC | Used for stock consideration.</t>
      </text>
    </comment>
    <comment ref="B9" authorId="1" shapeId="0" xr:uid="{86A63AAE-A7D3-498C-ABFD-BF3EB0F71DEC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offer equity value; replace when target/deal terms are known.</t>
      </text>
    </comment>
    <comment ref="B25" authorId="2" shapeId="0" xr:uid="{C8BF1EAC-781F-4DB0-8692-DA5993FC28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Illustrative pre-tax cost synergies; replace with management diligence case.</t>
      </text>
    </comment>
    <comment ref="B31" authorId="3" shapeId="0" xr:uid="{8A6BD01B-02E5-4F15-81C9-26DC433E748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Assumption: Forecast growth rate for TargetCo and select acquirer items.</t>
      </text>
    </comment>
  </commentList>
</comments>
</file>

<file path=xl/sharedStrings.xml><?xml version="1.0" encoding="utf-8"?>
<sst xmlns="http://schemas.openxmlformats.org/spreadsheetml/2006/main" count="565" uniqueCount="364">
  <si>
    <t>JPMorgan Chase &amp; Co. Merger &amp; Acquisition Model</t>
  </si>
  <si>
    <t>Two years of JPM actual data; illustrative target and transaction case</t>
  </si>
  <si>
    <t>Company</t>
  </si>
  <si>
    <t>JPMorgan Chase &amp; Co.</t>
  </si>
  <si>
    <t>Ticker</t>
  </si>
  <si>
    <t>JPM</t>
  </si>
  <si>
    <t>Model Date</t>
  </si>
  <si>
    <t>Currency / Units</t>
  </si>
  <si>
    <t>USD $mm except per-share data</t>
  </si>
  <si>
    <t>Latest Share Price</t>
  </si>
  <si>
    <t>Transaction Structure</t>
  </si>
  <si>
    <t>Illustrative bank acquisition</t>
  </si>
  <si>
    <t>Target Company</t>
  </si>
  <si>
    <t>Illustrative TargetCo</t>
  </si>
  <si>
    <t>Purchase Price</t>
  </si>
  <si>
    <t>% Cash / % Stock</t>
  </si>
  <si>
    <t>Pro Forma EPS</t>
  </si>
  <si>
    <t>Standalone Acquirer EPS</t>
  </si>
  <si>
    <t>Accretion / (Dilution)</t>
  </si>
  <si>
    <t>DCF Implied Target Equity Value</t>
  </si>
  <si>
    <t>Primary Check</t>
  </si>
  <si>
    <t>Assumptions</t>
  </si>
  <si>
    <t>Editable transaction, financing, synergy, and valuation assumptions</t>
  </si>
  <si>
    <t>Transaction Assumptions</t>
  </si>
  <si>
    <t>Acquirer Share Price</t>
  </si>
  <si>
    <t>$/share</t>
  </si>
  <si>
    <t>Acquirer Diluted Shares</t>
  </si>
  <si>
    <t>mm</t>
  </si>
  <si>
    <t>Acquirer Standalone Net Income</t>
  </si>
  <si>
    <t>$mm</t>
  </si>
  <si>
    <t>Target Standalone Net Income</t>
  </si>
  <si>
    <t>Offer Equity Value</t>
  </si>
  <si>
    <t>Target Tangible Common Equity</t>
  </si>
  <si>
    <t>Target Total Assets</t>
  </si>
  <si>
    <t>Target Total Liabilities</t>
  </si>
  <si>
    <t>Cash Consideration %</t>
  </si>
  <si>
    <t>%</t>
  </si>
  <si>
    <t>Stock Consideration %</t>
  </si>
  <si>
    <t>Deal Fees / Restructuring</t>
  </si>
  <si>
    <t>Fair Value Mark on Target Loans</t>
  </si>
  <si>
    <t>Core Deposit Intangible</t>
  </si>
  <si>
    <t>Goodwill Plug</t>
  </si>
  <si>
    <t>Financing / Synergy Assumptions</t>
  </si>
  <si>
    <t>New Debt Raised</t>
  </si>
  <si>
    <t>Debt Cost</t>
  </si>
  <si>
    <t>Cash Cost of Funds / Lost Interest</t>
  </si>
  <si>
    <t>Pre-tax Cost Synergies</t>
  </si>
  <si>
    <t>Revenue Synergies</t>
  </si>
  <si>
    <t>Synergy Realization %</t>
  </si>
  <si>
    <t>Tax Rate</t>
  </si>
  <si>
    <t>Amortization of CDI / Other Intangibles</t>
  </si>
  <si>
    <t>DCF Assumptions</t>
  </si>
  <si>
    <t>Forecast Revenue CAGR</t>
  </si>
  <si>
    <t>Forecast Net Income Margin</t>
  </si>
  <si>
    <t>% of revenue</t>
  </si>
  <si>
    <t>Payout Ratio</t>
  </si>
  <si>
    <t>Discount Rate / Cost of Equity</t>
  </si>
  <si>
    <t>Terminal Growth</t>
  </si>
  <si>
    <t>Terminal P/E Multiple</t>
  </si>
  <si>
    <t>x</t>
  </si>
  <si>
    <t>Sensitivity Low / High</t>
  </si>
  <si>
    <t>delta</t>
  </si>
  <si>
    <t>Model Note</t>
  </si>
  <si>
    <t>TargetCo values are illustrative placeholders pending user-provided target.</t>
  </si>
  <si>
    <t>text</t>
  </si>
  <si>
    <t>Sources</t>
  </si>
  <si>
    <t>Source log for historical inputs and market data</t>
  </si>
  <si>
    <t>Item</t>
  </si>
  <si>
    <t>Value</t>
  </si>
  <si>
    <t>Units</t>
  </si>
  <si>
    <t>Period / As-of</t>
  </si>
  <si>
    <t>Source URL</t>
  </si>
  <si>
    <t>Source Name</t>
  </si>
  <si>
    <t>Ref</t>
  </si>
  <si>
    <t>Notes</t>
  </si>
  <si>
    <t>Accessed</t>
  </si>
  <si>
    <t>JPM total net revenue</t>
  </si>
  <si>
    <t>FY2025</t>
  </si>
  <si>
    <t>JPM 2025 Form 10-K PDF</t>
  </si>
  <si>
    <t>JPMorgan Chase</t>
  </si>
  <si>
    <t>Consolidated statements of income</t>
  </si>
  <si>
    <t>Used in Acquirer Co Model</t>
  </si>
  <si>
    <t>FY2024</t>
  </si>
  <si>
    <t>JPM net income</t>
  </si>
  <si>
    <t>JPM diluted EPS</t>
  </si>
  <si>
    <t>Used for baseline EPS</t>
  </si>
  <si>
    <t>JPM diluted shares</t>
  </si>
  <si>
    <t>Used for share issuance</t>
  </si>
  <si>
    <t>JPM total assets</t>
  </si>
  <si>
    <t>Consolidated balance sheets</t>
  </si>
  <si>
    <t>Used in balance sheet</t>
  </si>
  <si>
    <t>JPM total liabilities</t>
  </si>
  <si>
    <t>JPM total equity</t>
  </si>
  <si>
    <t>JPM operating cash flow</t>
  </si>
  <si>
    <t>Consolidated cash flows</t>
  </si>
  <si>
    <t>Used in cash flow statement</t>
  </si>
  <si>
    <t>JPM investing cash flow</t>
  </si>
  <si>
    <t>JPM financing cash flow</t>
  </si>
  <si>
    <t>JPM share price</t>
  </si>
  <si>
    <t>2026-06-15 23:50 UTC</t>
  </si>
  <si>
    <t>Live finance quote</t>
  </si>
  <si>
    <t>Market data</t>
  </si>
  <si>
    <t>JPM quote</t>
  </si>
  <si>
    <t>Used for stock consideration</t>
  </si>
  <si>
    <t>TargetCo financials</t>
  </si>
  <si>
    <t>Illustrative</t>
  </si>
  <si>
    <t>n/a</t>
  </si>
  <si>
    <t>FY2024-FY2028</t>
  </si>
  <si>
    <t>User has not specified a target</t>
  </si>
  <si>
    <t>TBD</t>
  </si>
  <si>
    <t>Replace with actual target company data</t>
  </si>
  <si>
    <t>Transaction terms</t>
  </si>
  <si>
    <t>Close case</t>
  </si>
  <si>
    <t>Model assumption</t>
  </si>
  <si>
    <t>Editable assumptions</t>
  </si>
  <si>
    <t>Acquirer Co Model</t>
  </si>
  <si>
    <t>JPMorgan Chase historical statements and simple forecast</t>
  </si>
  <si>
    <t>Income Statement</t>
  </si>
  <si>
    <t>FY2024A</t>
  </si>
  <si>
    <t>FY2025A</t>
  </si>
  <si>
    <t>FY2026E</t>
  </si>
  <si>
    <t>FY2027E</t>
  </si>
  <si>
    <t>Investment banking fees</t>
  </si>
  <si>
    <t>Principal transactions</t>
  </si>
  <si>
    <t>Lending- and deposit-related fees</t>
  </si>
  <si>
    <t>Asset management fees</t>
  </si>
  <si>
    <t>Commissions and other fees</t>
  </si>
  <si>
    <t>Investment securities gains/(losses)</t>
  </si>
  <si>
    <t>Mortgage fees and related income</t>
  </si>
  <si>
    <t>Card income</t>
  </si>
  <si>
    <t>Other income</t>
  </si>
  <si>
    <t>Noninterest revenue</t>
  </si>
  <si>
    <t>Net interest income</t>
  </si>
  <si>
    <t>Total net revenue</t>
  </si>
  <si>
    <t>Provision for credit losses</t>
  </si>
  <si>
    <t>Noninterest expense</t>
  </si>
  <si>
    <t>Income before tax</t>
  </si>
  <si>
    <t>Income tax expense</t>
  </si>
  <si>
    <t>Net income</t>
  </si>
  <si>
    <t>Net income to common</t>
  </si>
  <si>
    <t>Diluted shares</t>
  </si>
  <si>
    <t>Diluted EPS</t>
  </si>
  <si>
    <t>Balance Sheet</t>
  </si>
  <si>
    <t>Cash and due from banks</t>
  </si>
  <si>
    <t>Deposits with banks</t>
  </si>
  <si>
    <t>Fed funds sold / resale agreements</t>
  </si>
  <si>
    <t>Securities borrowed</t>
  </si>
  <si>
    <t>Trading assets</t>
  </si>
  <si>
    <t>Investment securities</t>
  </si>
  <si>
    <t>Loans, net</t>
  </si>
  <si>
    <t>Accrued interest / receivables</t>
  </si>
  <si>
    <t>Premises and equipment</t>
  </si>
  <si>
    <t>Goodwill, MSRs and intangibles</t>
  </si>
  <si>
    <t>Other assets</t>
  </si>
  <si>
    <t>Total assets</t>
  </si>
  <si>
    <t>Deposits</t>
  </si>
  <si>
    <t>Fed funds purchased / repos</t>
  </si>
  <si>
    <t>Short-term borrowings</t>
  </si>
  <si>
    <t>Trading liabilities</t>
  </si>
  <si>
    <t>Other liabilities</t>
  </si>
  <si>
    <t>Long-term debt</t>
  </si>
  <si>
    <t>Total liabilities</t>
  </si>
  <si>
    <t>Total stockholders equity</t>
  </si>
  <si>
    <t>Total liabilities + equity</t>
  </si>
  <si>
    <t>Balance check</t>
  </si>
  <si>
    <t>Cash Flow Statement</t>
  </si>
  <si>
    <t>Depreciation and amortization</t>
  </si>
  <si>
    <t>Net cash from operations</t>
  </si>
  <si>
    <t>Net cash from investing</t>
  </si>
  <si>
    <t>Net cash from financing</t>
  </si>
  <si>
    <t>FX effect</t>
  </si>
  <si>
    <t>Net change in cash</t>
  </si>
  <si>
    <t>Target Model</t>
  </si>
  <si>
    <t>Illustrative TargetCo two-year data, forecast, and standalone valuation support</t>
  </si>
  <si>
    <t>TargetCo Income Statement</t>
  </si>
  <si>
    <t>FY2028E</t>
  </si>
  <si>
    <t>Revenue / Net revenue</t>
  </si>
  <si>
    <t>Revenue growth</t>
  </si>
  <si>
    <t>Pre-tax income</t>
  </si>
  <si>
    <t>Tax expense</t>
  </si>
  <si>
    <t>Dividends</t>
  </si>
  <si>
    <t>Retained earnings contribution</t>
  </si>
  <si>
    <t>TargetCo Balance Sheet</t>
  </si>
  <si>
    <t>Cash</t>
  </si>
  <si>
    <t>Loans / earning assets</t>
  </si>
  <si>
    <t>Deposits / funding liabilities</t>
  </si>
  <si>
    <t>Debt</t>
  </si>
  <si>
    <t>Stockholders equity</t>
  </si>
  <si>
    <t>Liabilities + equity</t>
  </si>
  <si>
    <t>TargetCo Cash Flow</t>
  </si>
  <si>
    <t>D&amp;A / non-cash items</t>
  </si>
  <si>
    <t>Change in balance sheet / working capital</t>
  </si>
  <si>
    <t>Investing / loan growth</t>
  </si>
  <si>
    <t>Financing / dividends</t>
  </si>
  <si>
    <t>Support Schedules</t>
  </si>
  <si>
    <t>Financing, synergy realization, and purchase accounting support</t>
  </si>
  <si>
    <t>Financing Schedule</t>
  </si>
  <si>
    <t>FY2025 Close</t>
  </si>
  <si>
    <t>Purchase price</t>
  </si>
  <si>
    <t>Cash consideration</t>
  </si>
  <si>
    <t>Stock consideration</t>
  </si>
  <si>
    <t>New debt raised</t>
  </si>
  <si>
    <t>New shares issued</t>
  </si>
  <si>
    <t>Annual interest expense</t>
  </si>
  <si>
    <t>After-tax interest expense</t>
  </si>
  <si>
    <t>Lost interest on cash</t>
  </si>
  <si>
    <t>After-tax lost interest</t>
  </si>
  <si>
    <t>Synergy Schedule</t>
  </si>
  <si>
    <t>Gross cost synergies</t>
  </si>
  <si>
    <t>Revenue synergies</t>
  </si>
  <si>
    <t>Realized %</t>
  </si>
  <si>
    <t>Pre-tax realized synergies</t>
  </si>
  <si>
    <t>After-tax synergies</t>
  </si>
  <si>
    <t>Intangible amortization</t>
  </si>
  <si>
    <t>After-tax amortization</t>
  </si>
  <si>
    <t>Purchase Accounting</t>
  </si>
  <si>
    <t>Target tangible common equity</t>
  </si>
  <si>
    <t>Fair value mark</t>
  </si>
  <si>
    <t>Core deposit intangible</t>
  </si>
  <si>
    <t>Deal fees / restructuring</t>
  </si>
  <si>
    <t>Goodwill created</t>
  </si>
  <si>
    <t>Total accounting adjustments</t>
  </si>
  <si>
    <t>Cash paid</t>
  </si>
  <si>
    <t>Stock issued</t>
  </si>
  <si>
    <t>DCF Model</t>
  </si>
  <si>
    <t>TargetCo standalone dividend-discount / equity value proxy</t>
  </si>
  <si>
    <t>DCF / Equity Value</t>
  </si>
  <si>
    <t>FY2029E</t>
  </si>
  <si>
    <t>FY2030E</t>
  </si>
  <si>
    <t>Revenue</t>
  </si>
  <si>
    <t>Net income margin</t>
  </si>
  <si>
    <t>Payout ratio</t>
  </si>
  <si>
    <t>Distributable earnings / dividends</t>
  </si>
  <si>
    <t>Terminal net income</t>
  </si>
  <si>
    <t>Terminal value @ P/E</t>
  </si>
  <si>
    <t>PV factor</t>
  </si>
  <si>
    <t>PV of dividends</t>
  </si>
  <si>
    <t>PV of terminal value</t>
  </si>
  <si>
    <t>Implied equity value</t>
  </si>
  <si>
    <t>Less: illustrative transaction price</t>
  </si>
  <si>
    <t>Offer equity value</t>
  </si>
  <si>
    <t>Premium / (Discount)</t>
  </si>
  <si>
    <t>Terminal P/E</t>
  </si>
  <si>
    <t>Discount Rate</t>
  </si>
  <si>
    <t>Closing Balance Sheet</t>
  </si>
  <si>
    <t>Sources &amp; Uses and pro forma opening balance sheet</t>
  </si>
  <si>
    <t>Sources &amp; Uses</t>
  </si>
  <si>
    <t>Acquirer</t>
  </si>
  <si>
    <t>Target</t>
  </si>
  <si>
    <t>Adjustments</t>
  </si>
  <si>
    <t>Pro Forma</t>
  </si>
  <si>
    <t>New debt financing</t>
  </si>
  <si>
    <t>Total sources</t>
  </si>
  <si>
    <t>Purchase equity value</t>
  </si>
  <si>
    <t>Repay/refinance target debt</t>
  </si>
  <si>
    <t>Total uses</t>
  </si>
  <si>
    <t>Sources - Uses check</t>
  </si>
  <si>
    <t>Opening Balance Sheet</t>
  </si>
  <si>
    <t>Acquirer FY2025A</t>
  </si>
  <si>
    <t>Target FY2025A</t>
  </si>
  <si>
    <t>Transaction Adj.</t>
  </si>
  <si>
    <t>Pro Forma Close</t>
  </si>
  <si>
    <t>Cash / deposits with banks</t>
  </si>
  <si>
    <t>Trading and investment assets</t>
  </si>
  <si>
    <t>Goodwill and intangibles</t>
  </si>
  <si>
    <t>Borrowings / debt</t>
  </si>
  <si>
    <t>Preferred equity</t>
  </si>
  <si>
    <t>Common equity / APIC</t>
  </si>
  <si>
    <t>Retained earnings / AOCI / Treasury</t>
  </si>
  <si>
    <t>Total equity</t>
  </si>
  <si>
    <t>Pro Forma Model</t>
  </si>
  <si>
    <t>Pro forma combined income statement, balance sheet, and cash flow</t>
  </si>
  <si>
    <t>Pro Forma Income Statement</t>
  </si>
  <si>
    <t>FY2025A / Close</t>
  </si>
  <si>
    <t>Acquirer net revenue</t>
  </si>
  <si>
    <t>Target revenue</t>
  </si>
  <si>
    <t>Combined net revenue</t>
  </si>
  <si>
    <t>Acquirer pre-tax income</t>
  </si>
  <si>
    <t>Target pre-tax income</t>
  </si>
  <si>
    <t>Cost / revenue synergies</t>
  </si>
  <si>
    <t>Interest expense on debt</t>
  </si>
  <si>
    <t>Pro forma pre-tax income</t>
  </si>
  <si>
    <t>Pro forma net income</t>
  </si>
  <si>
    <t>Preferred dividends</t>
  </si>
  <si>
    <t>Pro forma common net income</t>
  </si>
  <si>
    <t>Pro Forma Balance Sheet</t>
  </si>
  <si>
    <t>Close</t>
  </si>
  <si>
    <t>Goodwill / intangibles</t>
  </si>
  <si>
    <t>Tangible common equity proxy</t>
  </si>
  <si>
    <t>Pro Forma Cash Flow</t>
  </si>
  <si>
    <t>D&amp;A / amortization</t>
  </si>
  <si>
    <t>Integration / deal fees</t>
  </si>
  <si>
    <t>Net cash from operations proxy</t>
  </si>
  <si>
    <t>Net cash from investing proxy</t>
  </si>
  <si>
    <t>Net cash from financing proxy</t>
  </si>
  <si>
    <t>Net change in cash proxy</t>
  </si>
  <si>
    <t>Accretion / Dilution Analysis</t>
  </si>
  <si>
    <t>EPS impact from illustrative acquisition</t>
  </si>
  <si>
    <t>EPS Accretion / Dilution</t>
  </si>
  <si>
    <t>Acquirer common net income</t>
  </si>
  <si>
    <t>Target net income</t>
  </si>
  <si>
    <t>Deal fees / one-time</t>
  </si>
  <si>
    <t>Acquirer diluted shares</t>
  </si>
  <si>
    <t>Pro forma diluted shares</t>
  </si>
  <si>
    <t>Standalone acquirer EPS</t>
  </si>
  <si>
    <t>Pro forma EPS</t>
  </si>
  <si>
    <t>Accretion / (Dilution) %</t>
  </si>
  <si>
    <t>Summary &amp; Sensitivity</t>
  </si>
  <si>
    <t>Key outputs and deal sensitivity tables</t>
  </si>
  <si>
    <t>Transaction Summary</t>
  </si>
  <si>
    <t>Cash / stock mix</t>
  </si>
  <si>
    <t>Pro forma EPS FY2026E</t>
  </si>
  <si>
    <t>Standalone EPS FY2026E</t>
  </si>
  <si>
    <t>Accretion / (Dilution) FY2026E</t>
  </si>
  <si>
    <t>Accretion / (Dilution) % FY2026E</t>
  </si>
  <si>
    <t>DCF equity value</t>
  </si>
  <si>
    <t>DCF premium / discount</t>
  </si>
  <si>
    <t>Opening BS check</t>
  </si>
  <si>
    <t>PF balance check FY2026E</t>
  </si>
  <si>
    <t>Overall model check</t>
  </si>
  <si>
    <t>Target data status</t>
  </si>
  <si>
    <t>Illustrative / replace when target is selected</t>
  </si>
  <si>
    <t>EPS Sensitivity</t>
  </si>
  <si>
    <t>Deal Price -10%</t>
  </si>
  <si>
    <t>Deal Price Base</t>
  </si>
  <si>
    <t>Deal Price +10%</t>
  </si>
  <si>
    <t>Synergy -10%</t>
  </si>
  <si>
    <t>Synergy Base</t>
  </si>
  <si>
    <t>Synergy +10%</t>
  </si>
  <si>
    <t>DCF Sensitivity</t>
  </si>
  <si>
    <t>Terminal P/E 9x</t>
  </si>
  <si>
    <t>Terminal P/E 11x</t>
  </si>
  <si>
    <t>Terminal P/E 13x</t>
  </si>
  <si>
    <t>Discount Rate 9.5%</t>
  </si>
  <si>
    <t>Discount Rate 10.5%</t>
  </si>
  <si>
    <t>Discount Rate 11.5%</t>
  </si>
  <si>
    <t>Checks</t>
  </si>
  <si>
    <t>Model integrity checks</t>
  </si>
  <si>
    <t>Check</t>
  </si>
  <si>
    <t>Status</t>
  </si>
  <si>
    <t>Delta / Value</t>
  </si>
  <si>
    <t>Location</t>
  </si>
  <si>
    <t>Closing balance sheet balances</t>
  </si>
  <si>
    <t>Pro forma balance sheet FY2026E balances</t>
  </si>
  <si>
    <t>Pro forma balance sheet FY2027E balances</t>
  </si>
  <si>
    <t>Pro forma balance sheet FY2028E balances</t>
  </si>
  <si>
    <t>Sources and uses balance</t>
  </si>
  <si>
    <t>Target balance sheet FY2026E balances</t>
  </si>
  <si>
    <t>Acquirer FY2025A balance sheet balances</t>
  </si>
  <si>
    <t>Accretion output populated</t>
  </si>
  <si>
    <t>DCF output populated</t>
  </si>
  <si>
    <t>Closing Balance Sheet!E32</t>
  </si>
  <si>
    <t>Pro Forma Model!C26</t>
  </si>
  <si>
    <t>Pro Forma Model!D26</t>
  </si>
  <si>
    <t>Pro Forma Model!E26</t>
  </si>
  <si>
    <t>Closing Balance Sheet!D14</t>
  </si>
  <si>
    <t>Target Model!D29</t>
  </si>
  <si>
    <t>Acquirer Co Model!C49</t>
  </si>
  <si>
    <t>Accretion Dilution!C18</t>
  </si>
  <si>
    <t>DCF Model!B20</t>
  </si>
  <si>
    <t>Overall Status</t>
  </si>
  <si>
    <t>Existing cash funding</t>
  </si>
  <si>
    <t>Other funding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</si>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</sst>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[Red]\(#,##0\);\-"/>
  </numFmts>
  <fonts count="6" x14ac:knownFonts="1">
    <font>
      <sz val="11"/>
      <color theme="1"/>
      <name val="Calibri"/>
      <family val="2"/>
    </font>
    <font>
      <b/>
      <sz val="10"/>
      <color rgb="FFFFFFFF"/>
      <name val="Calibri"/>
    </font>
    <font>
      <i/>
      <sz val="10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0070C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EAF3F8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0" fontId="4" fillId="3" borderId="1" xfId="0" applyFont="1" applyFill="1" applyBorder="1"/>
    <xf numFmtId="0" fontId="4" fillId="3" borderId="0" xfId="0" applyFont="1" applyFill="1"/>
    <xf numFmtId="0" fontId="4" fillId="3" borderId="3" xfId="0" applyFont="1" applyFill="1" applyBorder="1"/>
    <xf numFmtId="0" fontId="4" fillId="4" borderId="0" xfId="0" applyFont="1" applyFill="1"/>
    <xf numFmtId="0" fontId="5" fillId="5" borderId="0" xfId="0" applyFont="1" applyFill="1"/>
    <xf numFmtId="164" fontId="5" fillId="5" borderId="0" xfId="0" applyNumberFormat="1" applyFont="1" applyFill="1"/>
    <xf numFmtId="0" fontId="4" fillId="3" borderId="2" xfId="0" applyFont="1" applyFill="1" applyBorder="1"/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165" fontId="3" fillId="0" borderId="0" xfId="0" applyNumberFormat="1" applyFont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165" fontId="1" fillId="2" borderId="0" xfId="0" applyNumberFormat="1" applyFont="1" applyFill="1"/>
    <xf numFmtId="165" fontId="4" fillId="3" borderId="1" xfId="0" applyNumberFormat="1" applyFont="1" applyFill="1" applyBorder="1"/>
    <xf numFmtId="165" fontId="4" fillId="3" borderId="0" xfId="0" applyNumberFormat="1" applyFont="1" applyFill="1"/>
    <xf numFmtId="165" fontId="4" fillId="3" borderId="3" xfId="0" applyNumberFormat="1" applyFont="1" applyFill="1" applyBorder="1"/>
    <xf numFmtId="164" fontId="3" fillId="0" borderId="0" xfId="0" applyNumberFormat="1" applyFont="1"/>
    <xf numFmtId="164" fontId="4" fillId="3" borderId="0" xfId="0" applyNumberFormat="1" applyFont="1" applyFill="1"/>
    <xf numFmtId="2" fontId="4" fillId="3" borderId="0" xfId="0" applyNumberFormat="1" applyFont="1" applyFill="1"/>
    <xf numFmtId="164" fontId="4" fillId="3" borderId="3" xfId="0" applyNumberFormat="1" applyFont="1" applyFill="1" applyBorder="1"/>
    <xf numFmtId="2" fontId="3" fillId="0" borderId="0" xfId="0" applyNumberFormat="1" applyFont="1"/>
    <xf numFmtId="2" fontId="4" fillId="3" borderId="1" xfId="0" applyNumberFormat="1" applyFont="1" applyFill="1" applyBorder="1"/>
    <xf numFmtId="3" fontId="4" fillId="3" borderId="0" xfId="0" applyNumberFormat="1" applyFont="1" applyFill="1"/>
    <xf numFmtId="3" fontId="3" fillId="0" borderId="0" xfId="0" applyNumberFormat="1" applyFont="1"/>
    <xf numFmtId="0" fontId="1" fillId="2" borderId="0" xfId="0" applyFont="1" applyFill="1"/>
    <xf numFmtId="165" fontId="3" fillId="0" borderId="0" xfId="0" applyNumberFormat="1" applyFont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4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ashanth K" id="{BD35807E-876A-4149-8816-0B183F2EB41D}" userId="46bfef7e38da6c8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6-16T05:50:36.50" personId="{BD35807E-876A-4149-8816-0B183F2EB41D}" id="{20C618F5-20E3-411F-81B0-D433157897A4}">
    <text>Source: Live market quote | As-of: 2026-06-15 23:50 UTC | Used for stock consideration.</text>
  </threadedComment>
  <threadedComment ref="B9" dT="2026-06-16T05:50:36.58" personId="{BD35807E-876A-4149-8816-0B183F2EB41D}" id="{86A63AAE-A7D3-498C-ABFD-BF3EB0F71DEC}">
    <text>Assumption: Illustrative offer equity value; replace when target/deal terms are known.</text>
  </threadedComment>
  <threadedComment ref="B25" dT="2026-06-16T05:50:36.59" personId="{BD35807E-876A-4149-8816-0B183F2EB41D}" id="{C8BF1EAC-781F-4DB0-8692-DA5993FC2801}">
    <text>Assumption: Illustrative pre-tax cost synergies; replace with management diligence case.</text>
  </threadedComment>
  <threadedComment ref="B31" dT="2026-06-16T05:50:36.59" personId="{BD35807E-876A-4149-8816-0B183F2EB41D}" id="{8A6BD01B-02E5-4F15-81C9-26DC433E7481}">
    <text>Assumption: Forecast growth rate for TargetCo and select acquirer items.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4B4579-7D2E-4925-84C3-000DFD1F24BC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7C74920-0530-4567-99F9-3EFC856A1E40}">
  <we:reference id="wa200007447" version="1.1.6.6" store="en-IN" storeType="OMEX"/>
  <we:alternateReferences>
    <we:reference id="WA200007447" version="1.1.6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EA8E-AC0C-4053-9414-CCB474020C65}">
  <dimension ref="A1:K18"/>
  <sheetViews>
    <sheetView showGridLines="0" zoomScale="126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3">
      <c r="A4" s="3" t="s">
        <v>2</v>
      </c>
      <c r="B4" s="3" t="s">
        <v>3</v>
      </c>
    </row>
    <row r="5" spans="1:11" x14ac:dyDescent="0.3">
      <c r="A5" s="3" t="s">
        <v>4</v>
      </c>
      <c r="B5" s="3" t="s">
        <v>5</v>
      </c>
    </row>
    <row r="6" spans="1:11" x14ac:dyDescent="0.3">
      <c r="A6" s="3" t="s">
        <v>6</v>
      </c>
      <c r="B6" s="4">
        <v>46189</v>
      </c>
    </row>
    <row r="7" spans="1:11" x14ac:dyDescent="0.3">
      <c r="A7" s="3" t="s">
        <v>7</v>
      </c>
      <c r="B7" s="3" t="s">
        <v>8</v>
      </c>
    </row>
    <row r="8" spans="1:11" x14ac:dyDescent="0.3">
      <c r="A8" s="3" t="s">
        <v>9</v>
      </c>
      <c r="B8" s="3">
        <v>319.39999999999998</v>
      </c>
    </row>
    <row r="9" spans="1:11" x14ac:dyDescent="0.3">
      <c r="A9" s="3" t="s">
        <v>10</v>
      </c>
      <c r="B9" s="3" t="s">
        <v>11</v>
      </c>
    </row>
    <row r="10" spans="1:11" x14ac:dyDescent="0.3">
      <c r="A10" s="3" t="s">
        <v>12</v>
      </c>
      <c r="B10" s="3" t="s">
        <v>13</v>
      </c>
    </row>
    <row r="11" spans="1:11" x14ac:dyDescent="0.3">
      <c r="A11" s="3" t="s">
        <v>14</v>
      </c>
      <c r="B11" s="3">
        <f>Assumptions!B9</f>
        <v>65000</v>
      </c>
    </row>
    <row r="12" spans="1:11" ht="15" thickBot="1" x14ac:dyDescent="0.35">
      <c r="A12" s="3" t="s">
        <v>15</v>
      </c>
      <c r="B12" s="3" t="str">
        <f>TEXT(Assumptions!B13,"0%")&amp;" / "&amp;TEXT(Assumptions!B14,"0%")</f>
        <v>60% / 40%</v>
      </c>
    </row>
    <row r="13" spans="1:11" ht="15" thickTop="1" x14ac:dyDescent="0.3">
      <c r="A13" s="5" t="s">
        <v>16</v>
      </c>
      <c r="B13" s="5">
        <f>'Accretion Dilution'!E17</f>
        <v>24.765418646060898</v>
      </c>
    </row>
    <row r="14" spans="1:11" x14ac:dyDescent="0.3">
      <c r="A14" s="6" t="s">
        <v>17</v>
      </c>
      <c r="B14" s="6">
        <f>'Accretion Dilution'!E16</f>
        <v>23.373075164373397</v>
      </c>
    </row>
    <row r="15" spans="1:11" x14ac:dyDescent="0.3">
      <c r="A15" s="6" t="s">
        <v>18</v>
      </c>
      <c r="B15" s="6">
        <f>'Accretion Dilution'!E18</f>
        <v>1.3923434816875009</v>
      </c>
    </row>
    <row r="16" spans="1:11" x14ac:dyDescent="0.3">
      <c r="A16" s="6" t="s">
        <v>19</v>
      </c>
      <c r="B16" s="6">
        <f>'DCF Model'!B23</f>
        <v>44059.652486130639</v>
      </c>
    </row>
    <row r="17" spans="1:2" ht="15" thickBot="1" x14ac:dyDescent="0.35">
      <c r="A17" s="7" t="s">
        <v>20</v>
      </c>
      <c r="B17" s="7" t="s">
        <v>363</v>
      </c>
    </row>
    <row r="18" spans="1:2" ht="15" thickTop="1" x14ac:dyDescent="0.3"/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5D2F-10B9-411B-9768-33B44649B2B4}">
  <dimension ref="A1:K36"/>
  <sheetViews>
    <sheetView showGridLines="0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21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 x14ac:dyDescent="0.3">
      <c r="A4" s="8" t="s">
        <v>23</v>
      </c>
      <c r="B4" s="8"/>
      <c r="C4" s="8"/>
    </row>
    <row r="5" spans="1:11" x14ac:dyDescent="0.3">
      <c r="A5" s="3" t="s">
        <v>24</v>
      </c>
      <c r="B5" s="9">
        <v>319.39999999999998</v>
      </c>
      <c r="C5" s="3" t="s">
        <v>25</v>
      </c>
    </row>
    <row r="6" spans="1:11" x14ac:dyDescent="0.3">
      <c r="A6" s="3" t="s">
        <v>26</v>
      </c>
      <c r="B6" s="9">
        <v>2781.5</v>
      </c>
      <c r="C6" s="3" t="s">
        <v>27</v>
      </c>
    </row>
    <row r="7" spans="1:11" x14ac:dyDescent="0.3">
      <c r="A7" s="3" t="s">
        <v>28</v>
      </c>
      <c r="B7" s="9">
        <v>57048</v>
      </c>
      <c r="C7" s="3" t="s">
        <v>29</v>
      </c>
    </row>
    <row r="8" spans="1:11" x14ac:dyDescent="0.3">
      <c r="A8" s="3" t="s">
        <v>30</v>
      </c>
      <c r="B8" s="9">
        <v>4500</v>
      </c>
      <c r="C8" s="3" t="s">
        <v>29</v>
      </c>
    </row>
    <row r="9" spans="1:11" x14ac:dyDescent="0.3">
      <c r="A9" s="3" t="s">
        <v>31</v>
      </c>
      <c r="B9" s="9">
        <v>65000</v>
      </c>
      <c r="C9" s="3" t="s">
        <v>29</v>
      </c>
    </row>
    <row r="10" spans="1:11" x14ac:dyDescent="0.3">
      <c r="A10" s="3" t="s">
        <v>32</v>
      </c>
      <c r="B10" s="9">
        <v>30000</v>
      </c>
      <c r="C10" s="3" t="s">
        <v>29</v>
      </c>
    </row>
    <row r="11" spans="1:11" x14ac:dyDescent="0.3">
      <c r="A11" s="3" t="s">
        <v>33</v>
      </c>
      <c r="B11" s="9">
        <v>350000</v>
      </c>
      <c r="C11" s="3" t="s">
        <v>29</v>
      </c>
    </row>
    <row r="12" spans="1:11" x14ac:dyDescent="0.3">
      <c r="A12" s="3" t="s">
        <v>34</v>
      </c>
      <c r="B12" s="10">
        <v>322000</v>
      </c>
      <c r="C12" s="3" t="s">
        <v>29</v>
      </c>
    </row>
    <row r="13" spans="1:11" x14ac:dyDescent="0.3">
      <c r="A13" s="3" t="s">
        <v>35</v>
      </c>
      <c r="B13" s="10">
        <v>0.6</v>
      </c>
      <c r="C13" s="3" t="s">
        <v>36</v>
      </c>
    </row>
    <row r="14" spans="1:11" x14ac:dyDescent="0.3">
      <c r="A14" s="3" t="s">
        <v>37</v>
      </c>
      <c r="B14" s="9">
        <v>0.4</v>
      </c>
      <c r="C14" s="3" t="s">
        <v>36</v>
      </c>
    </row>
    <row r="15" spans="1:11" x14ac:dyDescent="0.3">
      <c r="A15" s="3" t="s">
        <v>38</v>
      </c>
      <c r="B15" s="9">
        <v>1500</v>
      </c>
      <c r="C15" s="3" t="s">
        <v>29</v>
      </c>
    </row>
    <row r="16" spans="1:11" x14ac:dyDescent="0.3">
      <c r="A16" s="3" t="s">
        <v>39</v>
      </c>
      <c r="B16" s="9">
        <v>-2500</v>
      </c>
      <c r="C16" s="3" t="s">
        <v>29</v>
      </c>
    </row>
    <row r="17" spans="1:3" ht="15" thickBot="1" x14ac:dyDescent="0.35">
      <c r="A17" s="3" t="s">
        <v>40</v>
      </c>
      <c r="B17" s="9">
        <v>3500</v>
      </c>
      <c r="C17" s="3" t="s">
        <v>29</v>
      </c>
    </row>
    <row r="18" spans="1:3" ht="15.6" thickTop="1" thickBot="1" x14ac:dyDescent="0.35">
      <c r="A18" s="11" t="s">
        <v>41</v>
      </c>
      <c r="B18" s="11">
        <f>B9-B10-B16-B17</f>
        <v>34000</v>
      </c>
      <c r="C18" s="11" t="s">
        <v>29</v>
      </c>
    </row>
    <row r="19" spans="1:3" ht="15" thickTop="1" x14ac:dyDescent="0.3">
      <c r="A19" s="3" t="s">
        <v>42</v>
      </c>
    </row>
    <row r="20" spans="1:3" x14ac:dyDescent="0.3">
      <c r="A20" s="3" t="s">
        <v>43</v>
      </c>
      <c r="B20" s="3">
        <v>25000</v>
      </c>
      <c r="C20" s="3" t="s">
        <v>29</v>
      </c>
    </row>
    <row r="21" spans="1:3" x14ac:dyDescent="0.3">
      <c r="A21" s="8" t="s">
        <v>44</v>
      </c>
      <c r="B21" s="8">
        <v>4.4999999999999998E-2</v>
      </c>
      <c r="C21" s="8" t="s">
        <v>36</v>
      </c>
    </row>
    <row r="22" spans="1:3" x14ac:dyDescent="0.3">
      <c r="A22" s="3" t="s">
        <v>45</v>
      </c>
      <c r="B22" s="9">
        <v>3.5000000000000003E-2</v>
      </c>
      <c r="C22" s="3" t="s">
        <v>36</v>
      </c>
    </row>
    <row r="23" spans="1:3" x14ac:dyDescent="0.3">
      <c r="A23" s="3" t="s">
        <v>46</v>
      </c>
      <c r="B23" s="10">
        <v>2500</v>
      </c>
      <c r="C23" s="3" t="s">
        <v>29</v>
      </c>
    </row>
    <row r="24" spans="1:3" x14ac:dyDescent="0.3">
      <c r="A24" s="3" t="s">
        <v>47</v>
      </c>
      <c r="B24" s="10">
        <v>1000</v>
      </c>
      <c r="C24" s="3" t="s">
        <v>29</v>
      </c>
    </row>
    <row r="25" spans="1:3" x14ac:dyDescent="0.3">
      <c r="A25" s="3" t="s">
        <v>48</v>
      </c>
      <c r="B25" s="9">
        <v>0.75</v>
      </c>
      <c r="C25" s="3" t="s">
        <v>36</v>
      </c>
    </row>
    <row r="26" spans="1:3" x14ac:dyDescent="0.3">
      <c r="A26" s="3" t="s">
        <v>49</v>
      </c>
      <c r="B26" s="10">
        <v>0.214</v>
      </c>
      <c r="C26" s="3" t="s">
        <v>36</v>
      </c>
    </row>
    <row r="27" spans="1:3" x14ac:dyDescent="0.3">
      <c r="A27" s="3" t="s">
        <v>50</v>
      </c>
      <c r="B27" s="10">
        <v>350</v>
      </c>
      <c r="C27" s="3" t="s">
        <v>29</v>
      </c>
    </row>
    <row r="28" spans="1:3" x14ac:dyDescent="0.3">
      <c r="A28" s="3" t="s">
        <v>51</v>
      </c>
      <c r="B28" s="10"/>
    </row>
    <row r="29" spans="1:3" x14ac:dyDescent="0.3">
      <c r="A29" s="3" t="s">
        <v>52</v>
      </c>
      <c r="B29" s="10">
        <v>0.04</v>
      </c>
      <c r="C29" s="3" t="s">
        <v>36</v>
      </c>
    </row>
    <row r="30" spans="1:3" x14ac:dyDescent="0.3">
      <c r="A30" s="8" t="s">
        <v>53</v>
      </c>
      <c r="B30" s="8">
        <v>0.25</v>
      </c>
      <c r="C30" s="8" t="s">
        <v>54</v>
      </c>
    </row>
    <row r="31" spans="1:3" x14ac:dyDescent="0.3">
      <c r="A31" s="3" t="s">
        <v>55</v>
      </c>
      <c r="B31" s="10">
        <v>0.35</v>
      </c>
      <c r="C31" s="3" t="s">
        <v>36</v>
      </c>
    </row>
    <row r="32" spans="1:3" x14ac:dyDescent="0.3">
      <c r="A32" s="3" t="s">
        <v>56</v>
      </c>
      <c r="B32" s="10">
        <v>0.105</v>
      </c>
      <c r="C32" s="3" t="s">
        <v>36</v>
      </c>
    </row>
    <row r="33" spans="1:3" x14ac:dyDescent="0.3">
      <c r="A33" s="3" t="s">
        <v>57</v>
      </c>
      <c r="B33" s="10">
        <v>2.5000000000000001E-2</v>
      </c>
      <c r="C33" s="3" t="s">
        <v>36</v>
      </c>
    </row>
    <row r="34" spans="1:3" x14ac:dyDescent="0.3">
      <c r="A34" s="3" t="s">
        <v>58</v>
      </c>
      <c r="B34" s="10">
        <v>11</v>
      </c>
      <c r="C34" s="3" t="s">
        <v>59</v>
      </c>
    </row>
    <row r="35" spans="1:3" x14ac:dyDescent="0.3">
      <c r="A35" s="3" t="s">
        <v>60</v>
      </c>
      <c r="B35" s="3">
        <v>-0.1</v>
      </c>
      <c r="C35" s="3" t="s">
        <v>61</v>
      </c>
    </row>
    <row r="36" spans="1:3" x14ac:dyDescent="0.3">
      <c r="A36" s="3" t="s">
        <v>62</v>
      </c>
      <c r="B36" s="3" t="s">
        <v>63</v>
      </c>
      <c r="C36" s="3" t="s">
        <v>64</v>
      </c>
    </row>
  </sheetData>
  <mergeCells count="1">
    <mergeCell ref="A1:K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40F4-3ABE-446D-957E-2803111DAF94}">
  <dimension ref="A1:K61"/>
  <sheetViews>
    <sheetView showGridLines="0" topLeftCell="A29" zoomScale="116" workbookViewId="0">
      <selection activeCell="G50" sqref="G50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115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116</v>
      </c>
    </row>
    <row r="4" spans="1:11" x14ac:dyDescent="0.3">
      <c r="A4" s="1" t="s">
        <v>117</v>
      </c>
      <c r="B4" s="1" t="s">
        <v>118</v>
      </c>
      <c r="C4" s="1" t="s">
        <v>119</v>
      </c>
      <c r="D4" s="1" t="s">
        <v>120</v>
      </c>
      <c r="E4" s="1" t="s">
        <v>121</v>
      </c>
    </row>
    <row r="5" spans="1:11" x14ac:dyDescent="0.3">
      <c r="A5" s="3" t="s">
        <v>122</v>
      </c>
      <c r="B5" s="32">
        <v>8910</v>
      </c>
      <c r="C5" s="32">
        <v>9615</v>
      </c>
      <c r="D5" s="32">
        <f>C5*(1+Assumptions!$B$29)</f>
        <v>9999.6</v>
      </c>
      <c r="E5" s="32">
        <f>D5*(1+Assumptions!$B$29)</f>
        <v>10399.584000000001</v>
      </c>
    </row>
    <row r="6" spans="1:11" x14ac:dyDescent="0.3">
      <c r="A6" s="3" t="s">
        <v>123</v>
      </c>
      <c r="B6" s="32">
        <v>24787</v>
      </c>
      <c r="C6" s="32">
        <v>27212</v>
      </c>
      <c r="D6" s="32">
        <f>C6*(1+Assumptions!$B$29)</f>
        <v>28300.48</v>
      </c>
      <c r="E6" s="32">
        <f>D6*(1+Assumptions!$B$29)</f>
        <v>29432.499200000002</v>
      </c>
    </row>
    <row r="7" spans="1:11" x14ac:dyDescent="0.3">
      <c r="A7" s="3" t="s">
        <v>124</v>
      </c>
      <c r="B7" s="32">
        <v>7606</v>
      </c>
      <c r="C7" s="32">
        <v>9093</v>
      </c>
      <c r="D7" s="32">
        <f>C7*(1+Assumptions!$B$29)</f>
        <v>9456.7200000000012</v>
      </c>
      <c r="E7" s="32">
        <f>D7*(1+Assumptions!$B$29)</f>
        <v>9834.988800000001</v>
      </c>
    </row>
    <row r="8" spans="1:11" x14ac:dyDescent="0.3">
      <c r="A8" s="3" t="s">
        <v>125</v>
      </c>
      <c r="B8" s="32">
        <v>17801</v>
      </c>
      <c r="C8" s="32">
        <v>20327</v>
      </c>
      <c r="D8" s="32">
        <f>C8*(1+Assumptions!$B$29)</f>
        <v>21140.080000000002</v>
      </c>
      <c r="E8" s="32">
        <f>D8*(1+Assumptions!$B$29)</f>
        <v>21985.683200000003</v>
      </c>
    </row>
    <row r="9" spans="1:11" x14ac:dyDescent="0.3">
      <c r="A9" s="3" t="s">
        <v>126</v>
      </c>
      <c r="B9" s="32">
        <v>7530</v>
      </c>
      <c r="C9" s="32">
        <v>8539</v>
      </c>
      <c r="D9" s="32">
        <f>C9*(1+Assumptions!$B$29)</f>
        <v>8880.56</v>
      </c>
      <c r="E9" s="32">
        <f>D9*(1+Assumptions!$B$29)</f>
        <v>9235.7824000000001</v>
      </c>
    </row>
    <row r="10" spans="1:11" x14ac:dyDescent="0.3">
      <c r="A10" s="3" t="s">
        <v>127</v>
      </c>
      <c r="B10" s="32">
        <v>-1021</v>
      </c>
      <c r="C10" s="32">
        <v>-57</v>
      </c>
      <c r="D10" s="32">
        <f>C10*(1+Assumptions!$B$29)</f>
        <v>-59.28</v>
      </c>
      <c r="E10" s="32">
        <f>D10*(1+Assumptions!$B$29)</f>
        <v>-61.651200000000003</v>
      </c>
    </row>
    <row r="11" spans="1:11" x14ac:dyDescent="0.3">
      <c r="A11" s="3" t="s">
        <v>128</v>
      </c>
      <c r="B11" s="32">
        <v>1401</v>
      </c>
      <c r="C11" s="32">
        <v>1381</v>
      </c>
      <c r="D11" s="32">
        <f>C11*(1+Assumptions!$B$29)</f>
        <v>1436.24</v>
      </c>
      <c r="E11" s="32">
        <f>D11*(1+Assumptions!$B$29)</f>
        <v>1493.6896000000002</v>
      </c>
    </row>
    <row r="12" spans="1:11" x14ac:dyDescent="0.3">
      <c r="A12" s="3" t="s">
        <v>129</v>
      </c>
      <c r="B12" s="32">
        <v>5497</v>
      </c>
      <c r="C12" s="32">
        <v>4720</v>
      </c>
      <c r="D12" s="32">
        <f>C12*(1+Assumptions!$B$29)</f>
        <v>4908.8</v>
      </c>
      <c r="E12" s="32">
        <f>D12*(1+Assumptions!$B$29)</f>
        <v>5105.152</v>
      </c>
    </row>
    <row r="13" spans="1:11" x14ac:dyDescent="0.3">
      <c r="A13" s="3" t="s">
        <v>130</v>
      </c>
      <c r="B13" s="32">
        <v>12462</v>
      </c>
      <c r="C13" s="32">
        <v>6174</v>
      </c>
      <c r="D13" s="32">
        <f>C13*(1+Assumptions!$B$29)</f>
        <v>6420.96</v>
      </c>
      <c r="E13" s="32">
        <f>D13*(1+Assumptions!$B$29)</f>
        <v>6677.7984000000006</v>
      </c>
    </row>
    <row r="14" spans="1:11" x14ac:dyDescent="0.3">
      <c r="A14" s="3" t="s">
        <v>131</v>
      </c>
      <c r="B14" s="32">
        <v>84973</v>
      </c>
      <c r="C14" s="32">
        <v>87004</v>
      </c>
      <c r="D14" s="32">
        <f>C14*(1+Assumptions!$B$29)</f>
        <v>90484.160000000003</v>
      </c>
      <c r="E14" s="32">
        <f>D14*(1+Assumptions!$B$29)</f>
        <v>94103.526400000002</v>
      </c>
    </row>
    <row r="15" spans="1:11" ht="15" thickBot="1" x14ac:dyDescent="0.35">
      <c r="A15" s="3" t="s">
        <v>132</v>
      </c>
      <c r="B15" s="32">
        <v>92583</v>
      </c>
      <c r="C15" s="32">
        <v>95443</v>
      </c>
      <c r="D15" s="32">
        <f>C15*(1+Assumptions!$B$29)</f>
        <v>99260.72</v>
      </c>
      <c r="E15" s="32">
        <f>D15*(1+Assumptions!$B$29)</f>
        <v>103231.14880000001</v>
      </c>
    </row>
    <row r="16" spans="1:11" ht="15.6" thickTop="1" thickBot="1" x14ac:dyDescent="0.35">
      <c r="A16" s="11" t="s">
        <v>133</v>
      </c>
      <c r="B16" s="33">
        <v>177556</v>
      </c>
      <c r="C16" s="33">
        <v>182447</v>
      </c>
      <c r="D16" s="33">
        <f>C16*(1+Assumptions!$B$29)</f>
        <v>189744.88</v>
      </c>
      <c r="E16" s="33">
        <f>D16*(1+Assumptions!$B$29)</f>
        <v>197334.6752</v>
      </c>
    </row>
    <row r="17" spans="1:5" ht="15" thickTop="1" x14ac:dyDescent="0.3">
      <c r="A17" s="3" t="s">
        <v>134</v>
      </c>
      <c r="B17" s="32">
        <v>10678</v>
      </c>
      <c r="C17" s="32">
        <v>14212</v>
      </c>
      <c r="D17" s="32">
        <f>C17*(1+Assumptions!$B$29)</f>
        <v>14780.480000000001</v>
      </c>
      <c r="E17" s="32">
        <f>D17*(1+Assumptions!$B$29)</f>
        <v>15371.699200000003</v>
      </c>
    </row>
    <row r="18" spans="1:5" x14ac:dyDescent="0.3">
      <c r="A18" s="3" t="s">
        <v>135</v>
      </c>
      <c r="B18" s="32">
        <v>91797</v>
      </c>
      <c r="C18" s="32">
        <v>95640</v>
      </c>
      <c r="D18" s="32">
        <f>C18*(1+Assumptions!$B$29)</f>
        <v>99465.600000000006</v>
      </c>
      <c r="E18" s="32">
        <f>D18*(1+Assumptions!$B$29)</f>
        <v>103444.22400000002</v>
      </c>
    </row>
    <row r="19" spans="1:5" x14ac:dyDescent="0.3">
      <c r="A19" s="3" t="s">
        <v>136</v>
      </c>
      <c r="B19" s="32">
        <f>B16-B17-B18</f>
        <v>75081</v>
      </c>
      <c r="C19" s="32">
        <f>C16-C17-C18</f>
        <v>72595</v>
      </c>
      <c r="D19" s="32">
        <f>D16-D17-D18</f>
        <v>75498.799999999988</v>
      </c>
      <c r="E19" s="32">
        <f>E16-E17-E18</f>
        <v>78518.751999999979</v>
      </c>
    </row>
    <row r="20" spans="1:5" ht="15" thickBot="1" x14ac:dyDescent="0.35">
      <c r="A20" s="3" t="s">
        <v>137</v>
      </c>
      <c r="B20" s="32">
        <f>B19*Assumptions!$B$26</f>
        <v>16067.333999999999</v>
      </c>
      <c r="C20" s="32">
        <f>C19*Assumptions!$B$26</f>
        <v>15535.33</v>
      </c>
      <c r="D20" s="32">
        <f>D19*Assumptions!$B$26</f>
        <v>16156.743199999997</v>
      </c>
      <c r="E20" s="32">
        <f>E19*Assumptions!$B$26</f>
        <v>16803.012927999996</v>
      </c>
    </row>
    <row r="21" spans="1:5" ht="15.6" thickTop="1" thickBot="1" x14ac:dyDescent="0.35">
      <c r="A21" s="11" t="s">
        <v>138</v>
      </c>
      <c r="B21" s="33">
        <f>B19-B20</f>
        <v>59013.665999999997</v>
      </c>
      <c r="C21" s="33">
        <f>C19-C20</f>
        <v>57059.67</v>
      </c>
      <c r="D21" s="33">
        <f>D19-D20</f>
        <v>59342.056799999991</v>
      </c>
      <c r="E21" s="33">
        <f>E19-E20</f>
        <v>61715.739071999982</v>
      </c>
    </row>
    <row r="22" spans="1:5" ht="15" thickTop="1" x14ac:dyDescent="0.3">
      <c r="A22" s="3" t="s">
        <v>139</v>
      </c>
      <c r="B22" s="32">
        <v>56868</v>
      </c>
      <c r="C22" s="32">
        <v>55681</v>
      </c>
      <c r="D22" s="32">
        <f>D21-1367</f>
        <v>57975.056799999991</v>
      </c>
      <c r="E22" s="32">
        <f>E21-1367</f>
        <v>60348.739071999982</v>
      </c>
    </row>
    <row r="23" spans="1:5" ht="15" thickBot="1" x14ac:dyDescent="0.35">
      <c r="A23" s="3" t="s">
        <v>140</v>
      </c>
      <c r="B23" s="32">
        <v>2879</v>
      </c>
      <c r="C23" s="32">
        <v>2781.5</v>
      </c>
      <c r="D23" s="32">
        <f>C23*(1-1.5%)</f>
        <v>2739.7775000000001</v>
      </c>
      <c r="E23" s="32">
        <f>D23*(1-1%)</f>
        <v>2712.3797250000002</v>
      </c>
    </row>
    <row r="24" spans="1:5" ht="15.6" thickTop="1" thickBot="1" x14ac:dyDescent="0.35">
      <c r="A24" s="11" t="s">
        <v>141</v>
      </c>
      <c r="B24" s="34">
        <f>B22/B23</f>
        <v>19.752691906912123</v>
      </c>
      <c r="C24" s="34">
        <f>C22/C23</f>
        <v>20.018335430523098</v>
      </c>
      <c r="D24" s="34">
        <f>D22/D23</f>
        <v>21.160498179140454</v>
      </c>
      <c r="E24" s="34">
        <f>E22/E23</f>
        <v>22.249369627624677</v>
      </c>
    </row>
    <row r="25" spans="1:5" ht="15" thickTop="1" x14ac:dyDescent="0.3">
      <c r="B25" s="16"/>
      <c r="C25" s="16"/>
      <c r="D25" s="16"/>
      <c r="E25" s="16"/>
    </row>
    <row r="26" spans="1:5" x14ac:dyDescent="0.3">
      <c r="B26" s="16"/>
      <c r="C26" s="16"/>
      <c r="D26" s="16"/>
      <c r="E26" s="16"/>
    </row>
    <row r="27" spans="1:5" x14ac:dyDescent="0.3">
      <c r="A27" s="1" t="s">
        <v>142</v>
      </c>
      <c r="B27" s="19" t="s">
        <v>118</v>
      </c>
      <c r="C27" s="19" t="s">
        <v>119</v>
      </c>
      <c r="D27" s="19" t="s">
        <v>120</v>
      </c>
      <c r="E27" s="19" t="s">
        <v>121</v>
      </c>
    </row>
    <row r="28" spans="1:5" x14ac:dyDescent="0.3">
      <c r="A28" s="3" t="s">
        <v>143</v>
      </c>
      <c r="B28" s="35">
        <v>23372</v>
      </c>
      <c r="C28" s="35">
        <v>21742</v>
      </c>
      <c r="D28" s="35">
        <f t="shared" ref="D28:E46" si="0">C28*(1+2.5%)</f>
        <v>22285.55</v>
      </c>
      <c r="E28" s="35">
        <f t="shared" si="0"/>
        <v>22842.688749999998</v>
      </c>
    </row>
    <row r="29" spans="1:5" x14ac:dyDescent="0.3">
      <c r="A29" s="3" t="s">
        <v>144</v>
      </c>
      <c r="B29" s="35">
        <v>445945</v>
      </c>
      <c r="C29" s="35">
        <v>321596</v>
      </c>
      <c r="D29" s="35">
        <f t="shared" si="0"/>
        <v>329635.89999999997</v>
      </c>
      <c r="E29" s="35">
        <f t="shared" si="0"/>
        <v>337876.79749999993</v>
      </c>
    </row>
    <row r="30" spans="1:5" x14ac:dyDescent="0.3">
      <c r="A30" s="3" t="s">
        <v>145</v>
      </c>
      <c r="B30" s="35">
        <v>295001</v>
      </c>
      <c r="C30" s="35">
        <v>336426</v>
      </c>
      <c r="D30" s="35">
        <f t="shared" si="0"/>
        <v>344836.64999999997</v>
      </c>
      <c r="E30" s="35">
        <f t="shared" si="0"/>
        <v>353457.56624999992</v>
      </c>
    </row>
    <row r="31" spans="1:5" x14ac:dyDescent="0.3">
      <c r="A31" s="3" t="s">
        <v>146</v>
      </c>
      <c r="B31" s="35">
        <v>219546</v>
      </c>
      <c r="C31" s="35">
        <v>286191</v>
      </c>
      <c r="D31" s="35">
        <f t="shared" si="0"/>
        <v>293345.77499999997</v>
      </c>
      <c r="E31" s="35">
        <f t="shared" si="0"/>
        <v>300679.41937499994</v>
      </c>
    </row>
    <row r="32" spans="1:5" x14ac:dyDescent="0.3">
      <c r="A32" s="3" t="s">
        <v>147</v>
      </c>
      <c r="B32" s="35">
        <v>637784</v>
      </c>
      <c r="C32" s="35">
        <v>802873</v>
      </c>
      <c r="D32" s="35">
        <f t="shared" si="0"/>
        <v>822944.82499999995</v>
      </c>
      <c r="E32" s="35">
        <f t="shared" si="0"/>
        <v>843518.44562499993</v>
      </c>
    </row>
    <row r="33" spans="1:5" x14ac:dyDescent="0.3">
      <c r="A33" s="3" t="s">
        <v>148</v>
      </c>
      <c r="B33" s="35">
        <v>681320</v>
      </c>
      <c r="C33" s="35">
        <v>777332</v>
      </c>
      <c r="D33" s="35">
        <f t="shared" si="0"/>
        <v>796765.29999999993</v>
      </c>
      <c r="E33" s="35">
        <f t="shared" si="0"/>
        <v>816684.43249999988</v>
      </c>
    </row>
    <row r="34" spans="1:5" x14ac:dyDescent="0.3">
      <c r="A34" s="3" t="s">
        <v>149</v>
      </c>
      <c r="B34" s="35">
        <v>1323643</v>
      </c>
      <c r="C34" s="35">
        <v>1467664</v>
      </c>
      <c r="D34" s="35">
        <f t="shared" si="0"/>
        <v>1504355.5999999999</v>
      </c>
      <c r="E34" s="35">
        <f t="shared" si="0"/>
        <v>1541964.4899999998</v>
      </c>
    </row>
    <row r="35" spans="1:5" x14ac:dyDescent="0.3">
      <c r="A35" s="3" t="s">
        <v>150</v>
      </c>
      <c r="B35" s="35">
        <v>101223</v>
      </c>
      <c r="C35" s="35">
        <v>111599</v>
      </c>
      <c r="D35" s="35">
        <f t="shared" si="0"/>
        <v>114388.97499999999</v>
      </c>
      <c r="E35" s="35">
        <f t="shared" si="0"/>
        <v>117248.69937499998</v>
      </c>
    </row>
    <row r="36" spans="1:5" x14ac:dyDescent="0.3">
      <c r="A36" s="3" t="s">
        <v>151</v>
      </c>
      <c r="B36" s="35">
        <v>32223</v>
      </c>
      <c r="C36" s="35">
        <v>36244</v>
      </c>
      <c r="D36" s="35">
        <f t="shared" si="0"/>
        <v>37150.1</v>
      </c>
      <c r="E36" s="35">
        <f t="shared" si="0"/>
        <v>38078.852499999994</v>
      </c>
    </row>
    <row r="37" spans="1:5" x14ac:dyDescent="0.3">
      <c r="A37" s="3" t="s">
        <v>152</v>
      </c>
      <c r="B37" s="35">
        <v>64560</v>
      </c>
      <c r="C37" s="35">
        <v>64458</v>
      </c>
      <c r="D37" s="35">
        <f t="shared" si="0"/>
        <v>66069.45</v>
      </c>
      <c r="E37" s="35">
        <f t="shared" si="0"/>
        <v>67721.186249999984</v>
      </c>
    </row>
    <row r="38" spans="1:5" ht="15" thickBot="1" x14ac:dyDescent="0.35">
      <c r="A38" s="3" t="s">
        <v>153</v>
      </c>
      <c r="B38" s="35">
        <v>178197</v>
      </c>
      <c r="C38" s="35">
        <v>198775</v>
      </c>
      <c r="D38" s="35">
        <f t="shared" si="0"/>
        <v>203744.37499999997</v>
      </c>
      <c r="E38" s="35">
        <f t="shared" si="0"/>
        <v>208837.98437499994</v>
      </c>
    </row>
    <row r="39" spans="1:5" ht="15.6" thickTop="1" thickBot="1" x14ac:dyDescent="0.35">
      <c r="A39" s="11" t="s">
        <v>154</v>
      </c>
      <c r="B39" s="36">
        <v>4002814</v>
      </c>
      <c r="C39" s="36">
        <v>4424900</v>
      </c>
      <c r="D39" s="36">
        <f t="shared" si="0"/>
        <v>4535522.5</v>
      </c>
      <c r="E39" s="36">
        <f t="shared" si="0"/>
        <v>4648910.5625</v>
      </c>
    </row>
    <row r="40" spans="1:5" ht="15" thickTop="1" x14ac:dyDescent="0.3">
      <c r="A40" s="3" t="s">
        <v>155</v>
      </c>
      <c r="B40" s="35">
        <v>2406032</v>
      </c>
      <c r="C40" s="35">
        <v>2559320</v>
      </c>
      <c r="D40" s="35">
        <f t="shared" si="0"/>
        <v>2623303</v>
      </c>
      <c r="E40" s="35">
        <f t="shared" si="0"/>
        <v>2688885.5749999997</v>
      </c>
    </row>
    <row r="41" spans="1:5" x14ac:dyDescent="0.3">
      <c r="A41" s="3" t="s">
        <v>156</v>
      </c>
      <c r="B41" s="35">
        <v>296835</v>
      </c>
      <c r="C41" s="35">
        <v>442396</v>
      </c>
      <c r="D41" s="35">
        <f t="shared" si="0"/>
        <v>453455.89999999997</v>
      </c>
      <c r="E41" s="35">
        <f t="shared" si="0"/>
        <v>464792.29749999993</v>
      </c>
    </row>
    <row r="42" spans="1:5" x14ac:dyDescent="0.3">
      <c r="A42" s="3" t="s">
        <v>157</v>
      </c>
      <c r="B42" s="35">
        <v>52893</v>
      </c>
      <c r="C42" s="35">
        <v>64776</v>
      </c>
      <c r="D42" s="35">
        <f t="shared" si="0"/>
        <v>66395.399999999994</v>
      </c>
      <c r="E42" s="35">
        <f t="shared" si="0"/>
        <v>68055.284999999989</v>
      </c>
    </row>
    <row r="43" spans="1:5" x14ac:dyDescent="0.3">
      <c r="A43" s="3" t="s">
        <v>158</v>
      </c>
      <c r="B43" s="35">
        <v>192883</v>
      </c>
      <c r="C43" s="35">
        <v>216019</v>
      </c>
      <c r="D43" s="35">
        <f t="shared" si="0"/>
        <v>221419.47499999998</v>
      </c>
      <c r="E43" s="35">
        <f t="shared" si="0"/>
        <v>226954.96187499995</v>
      </c>
    </row>
    <row r="44" spans="1:5" x14ac:dyDescent="0.3">
      <c r="A44" s="3" t="s">
        <v>159</v>
      </c>
      <c r="B44" s="35">
        <v>280672</v>
      </c>
      <c r="C44" s="35">
        <v>316794</v>
      </c>
      <c r="D44" s="35">
        <f t="shared" si="0"/>
        <v>324713.84999999998</v>
      </c>
      <c r="E44" s="35">
        <f t="shared" si="0"/>
        <v>332831.69624999992</v>
      </c>
    </row>
    <row r="45" spans="1:5" x14ac:dyDescent="0.3">
      <c r="A45" s="3" t="s">
        <v>160</v>
      </c>
      <c r="B45" s="35">
        <v>401418</v>
      </c>
      <c r="C45" s="35">
        <v>435206</v>
      </c>
      <c r="D45" s="35">
        <f t="shared" si="0"/>
        <v>446086.14999999997</v>
      </c>
      <c r="E45" s="35">
        <f t="shared" si="0"/>
        <v>457238.3037499999</v>
      </c>
    </row>
    <row r="46" spans="1:5" ht="15" thickBot="1" x14ac:dyDescent="0.35">
      <c r="A46" s="3" t="s">
        <v>161</v>
      </c>
      <c r="B46" s="35">
        <v>3658056</v>
      </c>
      <c r="C46" s="35">
        <v>4062462</v>
      </c>
      <c r="D46" s="35">
        <f t="shared" si="0"/>
        <v>4164023.55</v>
      </c>
      <c r="E46" s="35">
        <f t="shared" si="0"/>
        <v>4268124.138749999</v>
      </c>
    </row>
    <row r="47" spans="1:5" ht="15" thickTop="1" x14ac:dyDescent="0.3">
      <c r="A47" s="5" t="s">
        <v>162</v>
      </c>
      <c r="B47" s="37">
        <v>344758</v>
      </c>
      <c r="C47" s="37">
        <v>362438</v>
      </c>
      <c r="D47" s="37">
        <f>C47*(1+3%)</f>
        <v>373311.14</v>
      </c>
      <c r="E47" s="37">
        <f>D47*(1+3%)</f>
        <v>384510.4742</v>
      </c>
    </row>
    <row r="48" spans="1:5" x14ac:dyDescent="0.3">
      <c r="A48" s="6" t="s">
        <v>163</v>
      </c>
      <c r="B48" s="38">
        <f>B46+B47</f>
        <v>4002814</v>
      </c>
      <c r="C48" s="38">
        <f>C46+C47</f>
        <v>4424900</v>
      </c>
      <c r="D48" s="38">
        <f>D46+D47</f>
        <v>4537334.6899999995</v>
      </c>
      <c r="E48" s="38">
        <f>E46+E47</f>
        <v>4652634.612949999</v>
      </c>
    </row>
    <row r="49" spans="1:5" ht="15" thickBot="1" x14ac:dyDescent="0.35">
      <c r="A49" s="7" t="s">
        <v>164</v>
      </c>
      <c r="B49" s="39">
        <f>B39-B48</f>
        <v>0</v>
      </c>
      <c r="C49" s="39">
        <f>C39-C48</f>
        <v>0</v>
      </c>
      <c r="D49" s="39">
        <f>D39-D48</f>
        <v>-1812.1899999994785</v>
      </c>
      <c r="E49" s="39">
        <f>E39-E48</f>
        <v>-3724.0504499990493</v>
      </c>
    </row>
    <row r="50" spans="1:5" ht="15" thickTop="1" x14ac:dyDescent="0.3">
      <c r="B50" s="16"/>
      <c r="C50" s="16"/>
      <c r="D50" s="16"/>
      <c r="E50" s="16"/>
    </row>
    <row r="51" spans="1:5" x14ac:dyDescent="0.3">
      <c r="B51" s="16"/>
      <c r="C51" s="16"/>
      <c r="D51" s="16"/>
      <c r="E51" s="16"/>
    </row>
    <row r="52" spans="1:5" x14ac:dyDescent="0.3">
      <c r="A52" s="1" t="s">
        <v>165</v>
      </c>
      <c r="B52" s="19" t="s">
        <v>118</v>
      </c>
      <c r="C52" s="19" t="s">
        <v>119</v>
      </c>
      <c r="D52" s="19" t="s">
        <v>120</v>
      </c>
      <c r="E52" s="19" t="s">
        <v>121</v>
      </c>
    </row>
    <row r="53" spans="1:5" x14ac:dyDescent="0.3">
      <c r="A53" s="3" t="s">
        <v>138</v>
      </c>
      <c r="B53" s="35">
        <v>58471</v>
      </c>
      <c r="C53" s="35">
        <v>57048</v>
      </c>
      <c r="D53" s="35">
        <f>D21</f>
        <v>59342.056799999991</v>
      </c>
      <c r="E53" s="35">
        <f>E21</f>
        <v>61715.739071999982</v>
      </c>
    </row>
    <row r="54" spans="1:5" x14ac:dyDescent="0.3">
      <c r="A54" s="3" t="s">
        <v>134</v>
      </c>
      <c r="B54" s="35">
        <v>10678</v>
      </c>
      <c r="C54" s="35">
        <v>14212</v>
      </c>
      <c r="D54" s="35">
        <f>D17</f>
        <v>14780.480000000001</v>
      </c>
      <c r="E54" s="35">
        <f>E17</f>
        <v>15371.699200000003</v>
      </c>
    </row>
    <row r="55" spans="1:5" x14ac:dyDescent="0.3">
      <c r="A55" s="3" t="s">
        <v>166</v>
      </c>
      <c r="B55" s="35">
        <v>7938</v>
      </c>
      <c r="C55" s="35">
        <v>8821</v>
      </c>
      <c r="D55" s="35">
        <f>C55*(1+3%)</f>
        <v>9085.630000000001</v>
      </c>
      <c r="E55" s="35">
        <f>D55*(1+3%)</f>
        <v>9358.1989000000012</v>
      </c>
    </row>
    <row r="56" spans="1:5" x14ac:dyDescent="0.3">
      <c r="A56" s="3" t="s">
        <v>167</v>
      </c>
      <c r="B56" s="35">
        <v>-42012</v>
      </c>
      <c r="C56" s="35">
        <v>-147782</v>
      </c>
      <c r="D56" s="35">
        <f>D53+D54+D55-220000</f>
        <v>-136791.83319999999</v>
      </c>
      <c r="E56" s="35">
        <f>E53+E54+E55-225000</f>
        <v>-138554.36282800001</v>
      </c>
    </row>
    <row r="57" spans="1:5" x14ac:dyDescent="0.3">
      <c r="A57" s="3" t="s">
        <v>168</v>
      </c>
      <c r="B57" s="35">
        <v>-163403</v>
      </c>
      <c r="C57" s="35">
        <v>-265565</v>
      </c>
      <c r="D57" s="35">
        <f>-D16*1</f>
        <v>-189744.88</v>
      </c>
      <c r="E57" s="35">
        <f>-E16*1</f>
        <v>-197334.6752</v>
      </c>
    </row>
    <row r="58" spans="1:5" x14ac:dyDescent="0.3">
      <c r="A58" s="3" t="s">
        <v>169</v>
      </c>
      <c r="B58" s="35">
        <v>63447</v>
      </c>
      <c r="C58" s="35">
        <v>269533</v>
      </c>
      <c r="D58" s="35">
        <f>D16*1.2</f>
        <v>227693.856</v>
      </c>
      <c r="E58" s="35">
        <f>E16*1.2</f>
        <v>236801.61023999998</v>
      </c>
    </row>
    <row r="59" spans="1:5" ht="15" thickBot="1" x14ac:dyDescent="0.35">
      <c r="A59" s="3" t="s">
        <v>170</v>
      </c>
      <c r="B59" s="35">
        <v>-12866</v>
      </c>
      <c r="C59" s="35">
        <v>17835</v>
      </c>
      <c r="D59" s="35">
        <f>0</f>
        <v>0</v>
      </c>
      <c r="E59" s="35">
        <f>0</f>
        <v>0</v>
      </c>
    </row>
    <row r="60" spans="1:5" ht="15.6" thickTop="1" thickBot="1" x14ac:dyDescent="0.35">
      <c r="A60" s="11" t="s">
        <v>171</v>
      </c>
      <c r="B60" s="36">
        <v>-154834</v>
      </c>
      <c r="C60" s="36">
        <v>-125979</v>
      </c>
      <c r="D60" s="36">
        <f>SUM(D56:D59)</f>
        <v>-98842.857199999999</v>
      </c>
      <c r="E60" s="36">
        <f>SUM(E56:E59)</f>
        <v>-99087.427788000059</v>
      </c>
    </row>
    <row r="61" spans="1:5" ht="15" thickTop="1" x14ac:dyDescent="0.3"/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1882-49EB-411E-B428-CAE8BEECB132}">
  <dimension ref="A1:K40"/>
  <sheetViews>
    <sheetView showGridLines="0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172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173</v>
      </c>
    </row>
    <row r="4" spans="1:11" x14ac:dyDescent="0.3">
      <c r="A4" s="1" t="s">
        <v>174</v>
      </c>
      <c r="B4" s="1" t="s">
        <v>118</v>
      </c>
      <c r="C4" s="1" t="s">
        <v>119</v>
      </c>
      <c r="D4" s="1" t="s">
        <v>120</v>
      </c>
      <c r="E4" s="1" t="s">
        <v>121</v>
      </c>
      <c r="F4" s="1" t="s">
        <v>175</v>
      </c>
    </row>
    <row r="5" spans="1:11" x14ac:dyDescent="0.3">
      <c r="A5" s="3" t="s">
        <v>176</v>
      </c>
      <c r="B5" s="16">
        <v>17000</v>
      </c>
      <c r="C5" s="16">
        <v>18000</v>
      </c>
      <c r="D5" s="16">
        <f>C5*(1+Assumptions!$B$29)</f>
        <v>18720</v>
      </c>
      <c r="E5" s="16">
        <f>D5*(1+Assumptions!$B$29)</f>
        <v>19468.8</v>
      </c>
      <c r="F5" s="16">
        <f>E5*(1+Assumptions!$B$29)</f>
        <v>20247.552</v>
      </c>
    </row>
    <row r="6" spans="1:11" x14ac:dyDescent="0.3">
      <c r="A6" s="3" t="s">
        <v>177</v>
      </c>
      <c r="B6" s="23"/>
      <c r="C6" s="23">
        <v>5.8799999999999998E-2</v>
      </c>
      <c r="D6" s="23">
        <f>D5/C5-1</f>
        <v>4.0000000000000036E-2</v>
      </c>
      <c r="E6" s="23">
        <f>E5/D5-1</f>
        <v>4.0000000000000036E-2</v>
      </c>
      <c r="F6" s="23">
        <f>F5/E5-1</f>
        <v>4.0000000000000036E-2</v>
      </c>
    </row>
    <row r="7" spans="1:11" x14ac:dyDescent="0.3">
      <c r="A7" s="3" t="s">
        <v>134</v>
      </c>
      <c r="B7" s="16">
        <v>1200</v>
      </c>
      <c r="C7" s="16">
        <v>1300</v>
      </c>
      <c r="D7" s="16">
        <f>C7/C5*D5</f>
        <v>1351.9999999999998</v>
      </c>
      <c r="E7" s="16">
        <f>D7/D5*E5</f>
        <v>1406.08</v>
      </c>
      <c r="F7" s="16">
        <f>E7/E5*F5</f>
        <v>1462.3231999999998</v>
      </c>
    </row>
    <row r="8" spans="1:11" x14ac:dyDescent="0.3">
      <c r="A8" s="3" t="s">
        <v>135</v>
      </c>
      <c r="B8" s="16">
        <v>9800</v>
      </c>
      <c r="C8" s="16">
        <v>10000</v>
      </c>
      <c r="D8" s="16">
        <f>C8/C5*D5</f>
        <v>10400</v>
      </c>
      <c r="E8" s="16">
        <f>D8/D5*E5</f>
        <v>10816</v>
      </c>
      <c r="F8" s="16">
        <f>E8/E5*F5</f>
        <v>11248.64</v>
      </c>
    </row>
    <row r="9" spans="1:11" x14ac:dyDescent="0.3">
      <c r="A9" s="3" t="s">
        <v>178</v>
      </c>
      <c r="B9" s="16">
        <v>6000</v>
      </c>
      <c r="C9" s="16">
        <v>6700</v>
      </c>
      <c r="D9" s="16">
        <f>D5-D7-D8</f>
        <v>6968</v>
      </c>
      <c r="E9" s="16">
        <f>E5-E7-E8</f>
        <v>7246.7200000000012</v>
      </c>
      <c r="F9" s="16">
        <f>F5-F7-F8</f>
        <v>7536.5888000000014</v>
      </c>
    </row>
    <row r="10" spans="1:11" ht="15" thickBot="1" x14ac:dyDescent="0.35">
      <c r="A10" s="3" t="s">
        <v>179</v>
      </c>
      <c r="B10" s="16">
        <v>1300</v>
      </c>
      <c r="C10" s="16">
        <v>1434</v>
      </c>
      <c r="D10" s="16">
        <f>D9*Assumptions!$B$26</f>
        <v>1491.152</v>
      </c>
      <c r="E10" s="16">
        <f>E9*Assumptions!$B$26</f>
        <v>1550.7980800000003</v>
      </c>
      <c r="F10" s="16">
        <f>F9*Assumptions!$B$26</f>
        <v>1612.8300032000002</v>
      </c>
    </row>
    <row r="11" spans="1:11" ht="15.6" thickTop="1" thickBot="1" x14ac:dyDescent="0.35">
      <c r="A11" s="11" t="s">
        <v>138</v>
      </c>
      <c r="B11" s="17">
        <v>4700</v>
      </c>
      <c r="C11" s="17">
        <v>5266</v>
      </c>
      <c r="D11" s="17">
        <f>D9-D10</f>
        <v>5476.848</v>
      </c>
      <c r="E11" s="17">
        <f>E9-E10</f>
        <v>5695.9219200000007</v>
      </c>
      <c r="F11" s="17">
        <f>F9-F10</f>
        <v>5923.7587968000007</v>
      </c>
    </row>
    <row r="12" spans="1:11" ht="15" thickTop="1" x14ac:dyDescent="0.3">
      <c r="A12" s="3" t="s">
        <v>180</v>
      </c>
      <c r="B12" s="16">
        <v>1600</v>
      </c>
      <c r="C12" s="16">
        <v>1800</v>
      </c>
      <c r="D12" s="16">
        <f>D11*Assumptions!$B$31</f>
        <v>1916.8967999999998</v>
      </c>
      <c r="E12" s="16">
        <f>E11*Assumptions!$B$31</f>
        <v>1993.572672</v>
      </c>
      <c r="F12" s="16">
        <f>F11*Assumptions!$B$31</f>
        <v>2073.31557888</v>
      </c>
    </row>
    <row r="13" spans="1:11" x14ac:dyDescent="0.3">
      <c r="A13" s="3" t="s">
        <v>181</v>
      </c>
      <c r="B13" s="16">
        <v>3100</v>
      </c>
      <c r="C13" s="16">
        <v>3466</v>
      </c>
      <c r="D13" s="16">
        <f>D11-D12</f>
        <v>3559.9512000000004</v>
      </c>
      <c r="E13" s="16">
        <f>E11-E12</f>
        <v>3702.3492480000004</v>
      </c>
      <c r="F13" s="16">
        <f>F11-F12</f>
        <v>3850.4432179200007</v>
      </c>
    </row>
    <row r="14" spans="1:11" ht="15" thickBot="1" x14ac:dyDescent="0.35">
      <c r="A14" s="3" t="s">
        <v>140</v>
      </c>
      <c r="B14" s="16">
        <v>500</v>
      </c>
      <c r="C14" s="16">
        <v>500</v>
      </c>
      <c r="D14" s="16">
        <f>C14</f>
        <v>500</v>
      </c>
      <c r="E14" s="16">
        <f>D14</f>
        <v>500</v>
      </c>
      <c r="F14" s="16">
        <f>E14</f>
        <v>500</v>
      </c>
    </row>
    <row r="15" spans="1:11" ht="15.6" thickTop="1" thickBot="1" x14ac:dyDescent="0.35">
      <c r="A15" s="11" t="s">
        <v>141</v>
      </c>
      <c r="B15" s="18">
        <v>9.4</v>
      </c>
      <c r="C15" s="18">
        <v>10.53</v>
      </c>
      <c r="D15" s="18">
        <f>D11/D14</f>
        <v>10.953696000000001</v>
      </c>
      <c r="E15" s="18">
        <f>E11/E14</f>
        <v>11.391843840000002</v>
      </c>
      <c r="F15" s="18">
        <f>F11/F14</f>
        <v>11.847517593600001</v>
      </c>
    </row>
    <row r="16" spans="1:11" ht="15" thickTop="1" x14ac:dyDescent="0.3">
      <c r="B16" s="16"/>
      <c r="C16" s="16"/>
      <c r="D16" s="16"/>
      <c r="E16" s="16"/>
      <c r="F16" s="16"/>
    </row>
    <row r="17" spans="1:6" x14ac:dyDescent="0.3">
      <c r="B17" s="16"/>
      <c r="C17" s="16"/>
      <c r="D17" s="16"/>
      <c r="E17" s="16"/>
      <c r="F17" s="16"/>
    </row>
    <row r="18" spans="1:6" x14ac:dyDescent="0.3">
      <c r="A18" s="1" t="s">
        <v>182</v>
      </c>
      <c r="B18" s="19" t="s">
        <v>118</v>
      </c>
      <c r="C18" s="19" t="s">
        <v>119</v>
      </c>
      <c r="D18" s="19" t="s">
        <v>120</v>
      </c>
      <c r="E18" s="19" t="s">
        <v>121</v>
      </c>
      <c r="F18" s="19" t="s">
        <v>175</v>
      </c>
    </row>
    <row r="19" spans="1:6" x14ac:dyDescent="0.3">
      <c r="A19" s="3" t="s">
        <v>183</v>
      </c>
      <c r="B19" s="16">
        <v>15000</v>
      </c>
      <c r="C19" s="16">
        <v>16000</v>
      </c>
      <c r="D19" s="16">
        <f>C19*(1+2%)</f>
        <v>16320</v>
      </c>
      <c r="E19" s="16">
        <f>D19*(1+2%)</f>
        <v>16646.400000000001</v>
      </c>
      <c r="F19" s="16">
        <f>E19*(1+2%)</f>
        <v>16979.328000000001</v>
      </c>
    </row>
    <row r="20" spans="1:6" x14ac:dyDescent="0.3">
      <c r="A20" s="3" t="s">
        <v>184</v>
      </c>
      <c r="B20" s="16">
        <v>300000</v>
      </c>
      <c r="C20" s="16">
        <v>315000</v>
      </c>
      <c r="D20" s="16">
        <f>C20*(1+4%)</f>
        <v>327600</v>
      </c>
      <c r="E20" s="16">
        <f>D20*(1+4%)</f>
        <v>340704</v>
      </c>
      <c r="F20" s="16">
        <f>E20*(1+4%)</f>
        <v>354332.16000000003</v>
      </c>
    </row>
    <row r="21" spans="1:6" ht="15" thickBot="1" x14ac:dyDescent="0.35">
      <c r="A21" s="3" t="s">
        <v>153</v>
      </c>
      <c r="B21" s="16">
        <v>28000</v>
      </c>
      <c r="C21" s="16">
        <v>29000</v>
      </c>
      <c r="D21" s="16">
        <f>C21*(1+3%)</f>
        <v>29870</v>
      </c>
      <c r="E21" s="16">
        <f>D21*(1+3%)</f>
        <v>30766.100000000002</v>
      </c>
      <c r="F21" s="16">
        <f>E21*(1+3%)</f>
        <v>31689.083000000002</v>
      </c>
    </row>
    <row r="22" spans="1:6" ht="15.6" thickTop="1" thickBot="1" x14ac:dyDescent="0.35">
      <c r="A22" s="11" t="s">
        <v>154</v>
      </c>
      <c r="B22" s="17">
        <v>343000</v>
      </c>
      <c r="C22" s="17">
        <v>360000</v>
      </c>
      <c r="D22" s="17">
        <f>SUM(D19:D21)</f>
        <v>373790</v>
      </c>
      <c r="E22" s="17">
        <f>SUM(E19:E21)</f>
        <v>388116.5</v>
      </c>
      <c r="F22" s="17">
        <f>SUM(F19:F21)</f>
        <v>403000.571</v>
      </c>
    </row>
    <row r="23" spans="1:6" ht="15" thickTop="1" x14ac:dyDescent="0.3">
      <c r="A23" s="3" t="s">
        <v>185</v>
      </c>
      <c r="B23" s="16">
        <v>275000</v>
      </c>
      <c r="C23" s="16">
        <v>288000</v>
      </c>
      <c r="D23" s="16">
        <f>D22*80%</f>
        <v>299032</v>
      </c>
      <c r="E23" s="16">
        <f>E22*80%</f>
        <v>310493.2</v>
      </c>
      <c r="F23" s="16">
        <f>F22*80%</f>
        <v>322400.45680000004</v>
      </c>
    </row>
    <row r="24" spans="1:6" x14ac:dyDescent="0.3">
      <c r="A24" s="3" t="s">
        <v>186</v>
      </c>
      <c r="B24" s="16">
        <v>33000</v>
      </c>
      <c r="C24" s="16">
        <v>34000</v>
      </c>
      <c r="D24" s="16">
        <f>C24*(1+2%)</f>
        <v>34680</v>
      </c>
      <c r="E24" s="16">
        <f>D24*(1+2%)</f>
        <v>35373.599999999999</v>
      </c>
      <c r="F24" s="16">
        <f>E24*(1+2%)</f>
        <v>36081.072</v>
      </c>
    </row>
    <row r="25" spans="1:6" ht="15" thickBot="1" x14ac:dyDescent="0.35">
      <c r="A25" s="3" t="s">
        <v>159</v>
      </c>
      <c r="B25" s="16">
        <v>7000</v>
      </c>
      <c r="C25" s="16">
        <v>8000</v>
      </c>
      <c r="D25" s="16">
        <f ca="1">D22-D23-D24-D26</f>
        <v>0</v>
      </c>
      <c r="E25" s="16">
        <f ca="1">E22-E23-E24-E26</f>
        <v>0</v>
      </c>
      <c r="F25" s="16">
        <f ca="1">F22-F23-F24-F26</f>
        <v>0</v>
      </c>
    </row>
    <row r="26" spans="1:6" ht="15" thickTop="1" x14ac:dyDescent="0.3">
      <c r="A26" s="5" t="s">
        <v>161</v>
      </c>
      <c r="B26" s="20">
        <v>315000</v>
      </c>
      <c r="C26" s="20">
        <v>330000</v>
      </c>
      <c r="D26" s="20">
        <f ca="1">SUM(D23:D25)</f>
        <v>0</v>
      </c>
      <c r="E26" s="20">
        <f ca="1">SUM(E23:E25)</f>
        <v>0</v>
      </c>
      <c r="F26" s="20">
        <f ca="1">SUM(F23:F25)</f>
        <v>0</v>
      </c>
    </row>
    <row r="27" spans="1:6" x14ac:dyDescent="0.3">
      <c r="A27" s="6" t="s">
        <v>187</v>
      </c>
      <c r="B27" s="21">
        <v>28000</v>
      </c>
      <c r="C27" s="21">
        <v>30000</v>
      </c>
      <c r="D27" s="21">
        <f>C26+D13</f>
        <v>333559.95120000001</v>
      </c>
      <c r="E27" s="21">
        <f ca="1">D26+E13</f>
        <v>0</v>
      </c>
      <c r="F27" s="21">
        <f ca="1">E26+F13</f>
        <v>0</v>
      </c>
    </row>
    <row r="28" spans="1:6" x14ac:dyDescent="0.3">
      <c r="A28" s="6" t="s">
        <v>188</v>
      </c>
      <c r="B28" s="21">
        <v>343000</v>
      </c>
      <c r="C28" s="21">
        <v>360000</v>
      </c>
      <c r="D28" s="21">
        <f ca="1">D26+D27</f>
        <v>0</v>
      </c>
      <c r="E28" s="21">
        <f ca="1">E26+E27</f>
        <v>0</v>
      </c>
      <c r="F28" s="21">
        <f ca="1">F26+F27</f>
        <v>0</v>
      </c>
    </row>
    <row r="29" spans="1:6" ht="15" thickBot="1" x14ac:dyDescent="0.35">
      <c r="A29" s="7" t="s">
        <v>164</v>
      </c>
      <c r="B29" s="22">
        <v>0</v>
      </c>
      <c r="C29" s="22">
        <v>0</v>
      </c>
      <c r="D29" s="22">
        <f ca="1">D22-D28</f>
        <v>0</v>
      </c>
      <c r="E29" s="22">
        <f ca="1">E22-E28</f>
        <v>0</v>
      </c>
      <c r="F29" s="22">
        <f ca="1">F22-F28</f>
        <v>0</v>
      </c>
    </row>
    <row r="30" spans="1:6" ht="15" thickTop="1" x14ac:dyDescent="0.3">
      <c r="B30" s="16"/>
      <c r="C30" s="16"/>
      <c r="D30" s="16"/>
      <c r="E30" s="16"/>
      <c r="F30" s="16"/>
    </row>
    <row r="31" spans="1:6" x14ac:dyDescent="0.3">
      <c r="B31" s="16"/>
      <c r="C31" s="16"/>
      <c r="D31" s="16"/>
      <c r="E31" s="16"/>
      <c r="F31" s="16"/>
    </row>
    <row r="32" spans="1:6" x14ac:dyDescent="0.3">
      <c r="A32" s="1" t="s">
        <v>189</v>
      </c>
      <c r="B32" s="19" t="s">
        <v>118</v>
      </c>
      <c r="C32" s="19" t="s">
        <v>119</v>
      </c>
      <c r="D32" s="19" t="s">
        <v>120</v>
      </c>
      <c r="E32" s="19" t="s">
        <v>121</v>
      </c>
      <c r="F32" s="19" t="s">
        <v>175</v>
      </c>
    </row>
    <row r="33" spans="1:6" x14ac:dyDescent="0.3">
      <c r="A33" s="3" t="s">
        <v>138</v>
      </c>
      <c r="B33" s="16">
        <v>4700</v>
      </c>
      <c r="C33" s="16">
        <v>5266</v>
      </c>
      <c r="D33" s="16">
        <f>D11</f>
        <v>5476.848</v>
      </c>
      <c r="E33" s="16">
        <f>E11</f>
        <v>5695.9219200000007</v>
      </c>
      <c r="F33" s="16">
        <f>F11</f>
        <v>5923.7587968000007</v>
      </c>
    </row>
    <row r="34" spans="1:6" x14ac:dyDescent="0.3">
      <c r="A34" s="3" t="s">
        <v>190</v>
      </c>
      <c r="B34" s="16">
        <v>350</v>
      </c>
      <c r="C34" s="16">
        <v>375</v>
      </c>
      <c r="D34" s="16">
        <f>C34*(1+3%)</f>
        <v>386.25</v>
      </c>
      <c r="E34" s="16">
        <f>D34*(1+3%)</f>
        <v>397.83750000000003</v>
      </c>
      <c r="F34" s="16">
        <f>E34*(1+3%)</f>
        <v>409.77262500000006</v>
      </c>
    </row>
    <row r="35" spans="1:6" x14ac:dyDescent="0.3">
      <c r="A35" s="3" t="s">
        <v>191</v>
      </c>
      <c r="B35" s="16">
        <v>-800</v>
      </c>
      <c r="C35" s="16">
        <v>-900</v>
      </c>
      <c r="D35" s="16">
        <f>-D5*5%</f>
        <v>-936</v>
      </c>
      <c r="E35" s="16">
        <f>-E5*5%</f>
        <v>-973.44</v>
      </c>
      <c r="F35" s="16">
        <f>-F5*5%</f>
        <v>-1012.3776</v>
      </c>
    </row>
    <row r="36" spans="1:6" x14ac:dyDescent="0.3">
      <c r="A36" s="3" t="s">
        <v>167</v>
      </c>
      <c r="B36" s="16">
        <v>4250</v>
      </c>
      <c r="C36" s="16">
        <v>4741</v>
      </c>
      <c r="D36" s="16">
        <f>SUM(D33:D35)</f>
        <v>4927.098</v>
      </c>
      <c r="E36" s="16">
        <f>SUM(E33:E35)</f>
        <v>5120.3194199999998</v>
      </c>
      <c r="F36" s="16">
        <f>SUM(F33:F35)</f>
        <v>5321.1538218000005</v>
      </c>
    </row>
    <row r="37" spans="1:6" x14ac:dyDescent="0.3">
      <c r="A37" s="3" t="s">
        <v>192</v>
      </c>
      <c r="B37" s="16">
        <v>-6000</v>
      </c>
      <c r="C37" s="16">
        <v>-7000</v>
      </c>
      <c r="D37" s="16">
        <f>-(D20-C20)</f>
        <v>-12600</v>
      </c>
      <c r="E37" s="16">
        <f>-(E20-D20)</f>
        <v>-13104</v>
      </c>
      <c r="F37" s="16">
        <f>-(F20-E20)</f>
        <v>-13628.160000000033</v>
      </c>
    </row>
    <row r="38" spans="1:6" ht="15" thickBot="1" x14ac:dyDescent="0.35">
      <c r="A38" s="3" t="s">
        <v>193</v>
      </c>
      <c r="B38" s="16">
        <v>2500</v>
      </c>
      <c r="C38" s="16">
        <v>3000</v>
      </c>
      <c r="D38" s="16">
        <f>D12</f>
        <v>1916.8967999999998</v>
      </c>
      <c r="E38" s="16">
        <f>E12</f>
        <v>1993.572672</v>
      </c>
      <c r="F38" s="16">
        <f>F12</f>
        <v>2073.31557888</v>
      </c>
    </row>
    <row r="39" spans="1:6" ht="15.6" thickTop="1" thickBot="1" x14ac:dyDescent="0.35">
      <c r="A39" s="11" t="s">
        <v>171</v>
      </c>
      <c r="B39" s="17">
        <v>750</v>
      </c>
      <c r="C39" s="17">
        <v>741</v>
      </c>
      <c r="D39" s="17">
        <f>SUM(D36:D38)</f>
        <v>-5756.0052000000005</v>
      </c>
      <c r="E39" s="17">
        <f>SUM(E36:E38)</f>
        <v>-5990.107908</v>
      </c>
      <c r="F39" s="17">
        <f>SUM(F36:F38)</f>
        <v>-6233.6905993200326</v>
      </c>
    </row>
    <row r="40" spans="1:6" ht="15" thickTop="1" x14ac:dyDescent="0.3"/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A2F4-2429-43D3-9B21-F7176D4A0345}">
  <dimension ref="A1:K35"/>
  <sheetViews>
    <sheetView showGridLines="0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194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195</v>
      </c>
    </row>
    <row r="4" spans="1:11" x14ac:dyDescent="0.3">
      <c r="A4" s="1" t="s">
        <v>196</v>
      </c>
      <c r="B4" s="1" t="s">
        <v>197</v>
      </c>
      <c r="C4" s="1" t="s">
        <v>120</v>
      </c>
      <c r="D4" s="1" t="s">
        <v>121</v>
      </c>
      <c r="E4" s="1" t="s">
        <v>175</v>
      </c>
    </row>
    <row r="5" spans="1:11" x14ac:dyDescent="0.3">
      <c r="A5" s="3" t="s">
        <v>198</v>
      </c>
      <c r="B5" s="16">
        <f>Assumptions!B9</f>
        <v>65000</v>
      </c>
      <c r="C5" s="16">
        <f>B5</f>
        <v>65000</v>
      </c>
      <c r="D5" s="16">
        <f>B5</f>
        <v>65000</v>
      </c>
      <c r="E5" s="16">
        <f>B5</f>
        <v>65000</v>
      </c>
    </row>
    <row r="6" spans="1:11" x14ac:dyDescent="0.3">
      <c r="A6" s="3" t="s">
        <v>199</v>
      </c>
      <c r="B6" s="16">
        <f>B5*Assumptions!B13</f>
        <v>39000</v>
      </c>
      <c r="C6" s="16">
        <f>B6</f>
        <v>39000</v>
      </c>
      <c r="D6" s="16">
        <f>B6</f>
        <v>39000</v>
      </c>
      <c r="E6" s="16">
        <f>B6</f>
        <v>39000</v>
      </c>
    </row>
    <row r="7" spans="1:11" x14ac:dyDescent="0.3">
      <c r="A7" s="3" t="s">
        <v>200</v>
      </c>
      <c r="B7" s="16">
        <f>B5*Assumptions!B14</f>
        <v>26000</v>
      </c>
      <c r="C7" s="16">
        <f>B7</f>
        <v>26000</v>
      </c>
      <c r="D7" s="16">
        <f>B7</f>
        <v>26000</v>
      </c>
      <c r="E7" s="16">
        <f>B7</f>
        <v>26000</v>
      </c>
    </row>
    <row r="8" spans="1:11" ht="15" thickBot="1" x14ac:dyDescent="0.35">
      <c r="A8" s="3" t="s">
        <v>201</v>
      </c>
      <c r="B8" s="16">
        <f>Assumptions!B20</f>
        <v>25000</v>
      </c>
      <c r="C8" s="16">
        <f>B8</f>
        <v>25000</v>
      </c>
      <c r="D8" s="16">
        <f>B8</f>
        <v>25000</v>
      </c>
      <c r="E8" s="16">
        <f>B8</f>
        <v>25000</v>
      </c>
    </row>
    <row r="9" spans="1:11" ht="15" thickTop="1" x14ac:dyDescent="0.3">
      <c r="A9" s="5" t="s">
        <v>202</v>
      </c>
      <c r="B9" s="20">
        <f>B7/Assumptions!B5</f>
        <v>81.402629931120856</v>
      </c>
      <c r="C9" s="20">
        <f>B9</f>
        <v>81.402629931120856</v>
      </c>
      <c r="D9" s="20">
        <f>B9</f>
        <v>81.402629931120856</v>
      </c>
      <c r="E9" s="20">
        <f>B9</f>
        <v>81.402629931120856</v>
      </c>
    </row>
    <row r="10" spans="1:11" x14ac:dyDescent="0.3">
      <c r="A10" s="6" t="s">
        <v>203</v>
      </c>
      <c r="B10" s="21">
        <f>B8*Assumptions!B21</f>
        <v>1125</v>
      </c>
      <c r="C10" s="21">
        <f>C8*Assumptions!B21</f>
        <v>1125</v>
      </c>
      <c r="D10" s="21">
        <f>D8*Assumptions!B21</f>
        <v>1125</v>
      </c>
      <c r="E10" s="21">
        <f>E8*Assumptions!B21</f>
        <v>1125</v>
      </c>
    </row>
    <row r="11" spans="1:11" x14ac:dyDescent="0.3">
      <c r="A11" s="6" t="s">
        <v>204</v>
      </c>
      <c r="B11" s="21">
        <f>B10*(1-Assumptions!B26)</f>
        <v>884.25</v>
      </c>
      <c r="C11" s="21">
        <f>C10*(1-Assumptions!B26)</f>
        <v>884.25</v>
      </c>
      <c r="D11" s="21">
        <f>D10*(1-Assumptions!B26)</f>
        <v>884.25</v>
      </c>
      <c r="E11" s="21">
        <f>E10*(1-Assumptions!B26)</f>
        <v>884.25</v>
      </c>
    </row>
    <row r="12" spans="1:11" x14ac:dyDescent="0.3">
      <c r="A12" s="6" t="s">
        <v>205</v>
      </c>
      <c r="B12" s="21">
        <f>B6*Assumptions!B22</f>
        <v>1365.0000000000002</v>
      </c>
      <c r="C12" s="21">
        <f>C6*Assumptions!B22</f>
        <v>1365.0000000000002</v>
      </c>
      <c r="D12" s="21">
        <f>D6*Assumptions!B22</f>
        <v>1365.0000000000002</v>
      </c>
      <c r="E12" s="21">
        <f>E6*Assumptions!B22</f>
        <v>1365.0000000000002</v>
      </c>
    </row>
    <row r="13" spans="1:11" ht="15" thickBot="1" x14ac:dyDescent="0.35">
      <c r="A13" s="7" t="s">
        <v>206</v>
      </c>
      <c r="B13" s="22">
        <f>B12*(1-Assumptions!B26)</f>
        <v>1072.8900000000003</v>
      </c>
      <c r="C13" s="22">
        <f>C12*(1-Assumptions!B26)</f>
        <v>1072.8900000000003</v>
      </c>
      <c r="D13" s="22">
        <f>D12*(1-Assumptions!B26)</f>
        <v>1072.8900000000003</v>
      </c>
      <c r="E13" s="22">
        <f>E12*(1-Assumptions!B26)</f>
        <v>1072.8900000000003</v>
      </c>
    </row>
    <row r="14" spans="1:11" ht="15" thickTop="1" x14ac:dyDescent="0.3">
      <c r="B14" s="16"/>
      <c r="C14" s="16"/>
      <c r="D14" s="16"/>
      <c r="E14" s="16"/>
    </row>
    <row r="15" spans="1:11" x14ac:dyDescent="0.3">
      <c r="B15" s="16"/>
      <c r="C15" s="16"/>
      <c r="D15" s="16"/>
      <c r="E15" s="16"/>
    </row>
    <row r="16" spans="1:11" x14ac:dyDescent="0.3">
      <c r="A16" s="1" t="s">
        <v>207</v>
      </c>
      <c r="B16" s="19" t="s">
        <v>197</v>
      </c>
      <c r="C16" s="19" t="s">
        <v>120</v>
      </c>
      <c r="D16" s="19" t="s">
        <v>121</v>
      </c>
      <c r="E16" s="19" t="s">
        <v>175</v>
      </c>
    </row>
    <row r="17" spans="1:5" x14ac:dyDescent="0.3">
      <c r="A17" s="3" t="s">
        <v>208</v>
      </c>
      <c r="B17" s="16">
        <f>Assumptions!B23</f>
        <v>2500</v>
      </c>
      <c r="C17" s="16">
        <f>B17</f>
        <v>2500</v>
      </c>
      <c r="D17" s="16">
        <f>B17</f>
        <v>2500</v>
      </c>
      <c r="E17" s="16">
        <f>B17</f>
        <v>2500</v>
      </c>
    </row>
    <row r="18" spans="1:5" x14ac:dyDescent="0.3">
      <c r="A18" s="3" t="s">
        <v>209</v>
      </c>
      <c r="B18" s="16">
        <f>Assumptions!B24</f>
        <v>1000</v>
      </c>
      <c r="C18" s="16">
        <f>B18</f>
        <v>1000</v>
      </c>
      <c r="D18" s="16">
        <f>B18</f>
        <v>1000</v>
      </c>
      <c r="E18" s="16">
        <f>B18</f>
        <v>1000</v>
      </c>
    </row>
    <row r="19" spans="1:5" x14ac:dyDescent="0.3">
      <c r="A19" s="3" t="s">
        <v>210</v>
      </c>
      <c r="B19" s="16">
        <f>Assumptions!B25</f>
        <v>0.75</v>
      </c>
      <c r="C19" s="16">
        <f>B19</f>
        <v>0.75</v>
      </c>
      <c r="D19" s="16">
        <f>B19</f>
        <v>0.75</v>
      </c>
      <c r="E19" s="16">
        <f>B19</f>
        <v>0.75</v>
      </c>
    </row>
    <row r="20" spans="1:5" ht="15" thickBot="1" x14ac:dyDescent="0.35">
      <c r="A20" s="3" t="s">
        <v>211</v>
      </c>
      <c r="B20" s="16">
        <f>(B17+B18)*B19</f>
        <v>2625</v>
      </c>
      <c r="C20" s="16">
        <f>(C17+C18)*C19</f>
        <v>2625</v>
      </c>
      <c r="D20" s="16">
        <f>(D17+D18)*D19</f>
        <v>2625</v>
      </c>
      <c r="E20" s="16">
        <f>(E17+E18)*E19</f>
        <v>2625</v>
      </c>
    </row>
    <row r="21" spans="1:5" ht="15" thickTop="1" x14ac:dyDescent="0.3">
      <c r="A21" s="5" t="s">
        <v>212</v>
      </c>
      <c r="B21" s="20">
        <f>B20*(1-Assumptions!B26)</f>
        <v>2063.25</v>
      </c>
      <c r="C21" s="20">
        <f>C20*(1-Assumptions!B26)</f>
        <v>2063.25</v>
      </c>
      <c r="D21" s="20">
        <f>D20*(1-Assumptions!B26)</f>
        <v>2063.25</v>
      </c>
      <c r="E21" s="20">
        <f>E20*(1-Assumptions!B26)</f>
        <v>2063.25</v>
      </c>
    </row>
    <row r="22" spans="1:5" x14ac:dyDescent="0.3">
      <c r="A22" s="6" t="s">
        <v>213</v>
      </c>
      <c r="B22" s="21">
        <f>Assumptions!B27</f>
        <v>350</v>
      </c>
      <c r="C22" s="21">
        <f>B22</f>
        <v>350</v>
      </c>
      <c r="D22" s="21">
        <f>B22</f>
        <v>350</v>
      </c>
      <c r="E22" s="21">
        <f>B22</f>
        <v>350</v>
      </c>
    </row>
    <row r="23" spans="1:5" ht="15" thickBot="1" x14ac:dyDescent="0.35">
      <c r="A23" s="7" t="s">
        <v>214</v>
      </c>
      <c r="B23" s="22">
        <f>B22*(1-Assumptions!B26)</f>
        <v>275.10000000000002</v>
      </c>
      <c r="C23" s="22">
        <f>C22*(1-Assumptions!B26)</f>
        <v>275.10000000000002</v>
      </c>
      <c r="D23" s="22">
        <f>D22*(1-Assumptions!B26)</f>
        <v>275.10000000000002</v>
      </c>
      <c r="E23" s="22">
        <f>E22*(1-Assumptions!B26)</f>
        <v>275.10000000000002</v>
      </c>
    </row>
    <row r="24" spans="1:5" ht="15" thickTop="1" x14ac:dyDescent="0.3">
      <c r="B24" s="16"/>
      <c r="C24" s="16"/>
      <c r="D24" s="16"/>
      <c r="E24" s="16"/>
    </row>
    <row r="25" spans="1:5" x14ac:dyDescent="0.3">
      <c r="B25" s="16"/>
      <c r="C25" s="16"/>
      <c r="D25" s="16"/>
      <c r="E25" s="16"/>
    </row>
    <row r="26" spans="1:5" x14ac:dyDescent="0.3">
      <c r="A26" s="1" t="s">
        <v>215</v>
      </c>
      <c r="B26" s="19" t="s">
        <v>197</v>
      </c>
      <c r="C26" s="19"/>
      <c r="D26" s="19"/>
      <c r="E26" s="19"/>
    </row>
    <row r="27" spans="1:5" x14ac:dyDescent="0.3">
      <c r="A27" s="3" t="s">
        <v>198</v>
      </c>
      <c r="B27" s="16">
        <f>Assumptions!B9</f>
        <v>65000</v>
      </c>
      <c r="C27" s="16"/>
      <c r="D27" s="16"/>
      <c r="E27" s="16"/>
    </row>
    <row r="28" spans="1:5" x14ac:dyDescent="0.3">
      <c r="A28" s="3" t="s">
        <v>216</v>
      </c>
      <c r="B28" s="16">
        <f>Assumptions!B10</f>
        <v>30000</v>
      </c>
      <c r="C28" s="16"/>
      <c r="D28" s="16"/>
      <c r="E28" s="16"/>
    </row>
    <row r="29" spans="1:5" x14ac:dyDescent="0.3">
      <c r="A29" s="3" t="s">
        <v>217</v>
      </c>
      <c r="B29" s="16">
        <f>Assumptions!B16</f>
        <v>-2500</v>
      </c>
      <c r="C29" s="16"/>
      <c r="D29" s="16"/>
      <c r="E29" s="16"/>
    </row>
    <row r="30" spans="1:5" x14ac:dyDescent="0.3">
      <c r="A30" s="3" t="s">
        <v>218</v>
      </c>
      <c r="B30" s="16">
        <f>Assumptions!B17</f>
        <v>3500</v>
      </c>
      <c r="C30" s="16"/>
      <c r="D30" s="16"/>
      <c r="E30" s="16"/>
    </row>
    <row r="31" spans="1:5" ht="15" thickBot="1" x14ac:dyDescent="0.35">
      <c r="A31" s="3" t="s">
        <v>219</v>
      </c>
      <c r="B31" s="16">
        <f>Assumptions!B15</f>
        <v>1500</v>
      </c>
      <c r="C31" s="16"/>
      <c r="D31" s="16"/>
      <c r="E31" s="16"/>
    </row>
    <row r="32" spans="1:5" ht="15" thickTop="1" x14ac:dyDescent="0.3">
      <c r="A32" s="5" t="s">
        <v>220</v>
      </c>
      <c r="B32" s="20">
        <f>B27-B28-B29-B30</f>
        <v>34000</v>
      </c>
      <c r="C32" s="16"/>
      <c r="D32" s="16"/>
      <c r="E32" s="16"/>
    </row>
    <row r="33" spans="1:5" ht="15" thickBot="1" x14ac:dyDescent="0.35">
      <c r="A33" s="7" t="s">
        <v>221</v>
      </c>
      <c r="B33" s="22">
        <f>SUM(B29:B32)</f>
        <v>36500</v>
      </c>
      <c r="C33" s="16"/>
      <c r="D33" s="16"/>
      <c r="E33" s="16"/>
    </row>
    <row r="34" spans="1:5" ht="15" thickTop="1" x14ac:dyDescent="0.3">
      <c r="A34" s="3" t="s">
        <v>222</v>
      </c>
      <c r="B34" s="16">
        <f>B27*Assumptions!B13</f>
        <v>39000</v>
      </c>
      <c r="C34" s="16"/>
      <c r="D34" s="16"/>
      <c r="E34" s="16"/>
    </row>
    <row r="35" spans="1:5" x14ac:dyDescent="0.3">
      <c r="A35" s="3" t="s">
        <v>223</v>
      </c>
      <c r="B35" s="16">
        <f>B27*Assumptions!B14</f>
        <v>26000</v>
      </c>
      <c r="C35" s="16"/>
      <c r="D35" s="16"/>
      <c r="E35" s="16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CAD9-BBD7-4FEB-AFF9-50E5486A538A}">
  <dimension ref="A1:K25"/>
  <sheetViews>
    <sheetView showGridLines="0" topLeftCell="A17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224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225</v>
      </c>
    </row>
    <row r="4" spans="1:11" x14ac:dyDescent="0.3">
      <c r="A4" s="1" t="s">
        <v>226</v>
      </c>
      <c r="B4" s="1" t="s">
        <v>120</v>
      </c>
      <c r="C4" s="1" t="s">
        <v>121</v>
      </c>
      <c r="D4" s="1" t="s">
        <v>175</v>
      </c>
      <c r="E4" s="1" t="s">
        <v>227</v>
      </c>
      <c r="F4" s="1" t="s">
        <v>228</v>
      </c>
    </row>
    <row r="5" spans="1:11" x14ac:dyDescent="0.3">
      <c r="A5" s="3" t="s">
        <v>229</v>
      </c>
      <c r="B5" s="3">
        <f>'Target Model'!D5</f>
        <v>18720</v>
      </c>
      <c r="C5" s="3">
        <f>'Target Model'!E5</f>
        <v>19468.8</v>
      </c>
      <c r="D5" s="3">
        <f>'Target Model'!F5</f>
        <v>20247.552</v>
      </c>
      <c r="E5" s="3">
        <f>D5*(1+Assumptions!$B$29)</f>
        <v>21057.45408</v>
      </c>
      <c r="F5" s="3">
        <f>E5*(1+Assumptions!$B$29)</f>
        <v>21899.752243200001</v>
      </c>
    </row>
    <row r="6" spans="1:11" x14ac:dyDescent="0.3">
      <c r="A6" s="3" t="s">
        <v>177</v>
      </c>
      <c r="B6" s="23">
        <f>B5/'Target Model'!C5-1</f>
        <v>4.0000000000000036E-2</v>
      </c>
      <c r="C6" s="23">
        <f>C5/B5-1</f>
        <v>4.0000000000000036E-2</v>
      </c>
      <c r="D6" s="23">
        <f>D5/C5-1</f>
        <v>4.0000000000000036E-2</v>
      </c>
      <c r="E6" s="23">
        <f>E5/D5-1</f>
        <v>4.0000000000000036E-2</v>
      </c>
      <c r="F6" s="23">
        <f>F5/E5-1</f>
        <v>4.0000000000000036E-2</v>
      </c>
    </row>
    <row r="7" spans="1:11" x14ac:dyDescent="0.3">
      <c r="A7" s="3" t="s">
        <v>230</v>
      </c>
      <c r="B7" s="23">
        <f>Assumptions!$B$30</f>
        <v>0.25</v>
      </c>
      <c r="C7" s="23">
        <f>Assumptions!$B$30</f>
        <v>0.25</v>
      </c>
      <c r="D7" s="23">
        <f>Assumptions!$B$30</f>
        <v>0.25</v>
      </c>
      <c r="E7" s="23">
        <f>Assumptions!$B$30</f>
        <v>0.25</v>
      </c>
      <c r="F7" s="23">
        <f>Assumptions!$B$30</f>
        <v>0.25</v>
      </c>
    </row>
    <row r="8" spans="1:11" x14ac:dyDescent="0.3">
      <c r="A8" s="3" t="s">
        <v>138</v>
      </c>
      <c r="B8" s="3">
        <f>B5*B7</f>
        <v>4680</v>
      </c>
      <c r="C8" s="3">
        <f>C5*C7</f>
        <v>4867.2</v>
      </c>
      <c r="D8" s="3">
        <f>D5*D7</f>
        <v>5061.8879999999999</v>
      </c>
      <c r="E8" s="3">
        <f>E5*E7</f>
        <v>5264.3635199999999</v>
      </c>
      <c r="F8" s="3">
        <f>F5*F7</f>
        <v>5474.9380608000001</v>
      </c>
    </row>
    <row r="9" spans="1:11" x14ac:dyDescent="0.3">
      <c r="A9" s="3" t="s">
        <v>231</v>
      </c>
      <c r="B9" s="3">
        <f>Assumptions!$B$31</f>
        <v>0.35</v>
      </c>
      <c r="C9" s="3">
        <f>Assumptions!$B$31</f>
        <v>0.35</v>
      </c>
      <c r="D9" s="3">
        <f>Assumptions!$B$31</f>
        <v>0.35</v>
      </c>
      <c r="E9" s="3">
        <f>Assumptions!$B$31</f>
        <v>0.35</v>
      </c>
      <c r="F9" s="3">
        <f>Assumptions!$B$31</f>
        <v>0.35</v>
      </c>
    </row>
    <row r="10" spans="1:11" x14ac:dyDescent="0.3">
      <c r="A10" s="3" t="s">
        <v>232</v>
      </c>
      <c r="B10" s="3">
        <f>B8*B9</f>
        <v>1638</v>
      </c>
      <c r="C10" s="3">
        <f>C8*C9</f>
        <v>1703.5199999999998</v>
      </c>
      <c r="D10" s="3">
        <f>D8*D9</f>
        <v>1771.6607999999999</v>
      </c>
      <c r="E10" s="3">
        <f>E8*E9</f>
        <v>1842.5272319999999</v>
      </c>
      <c r="F10" s="3">
        <f>F8*F9</f>
        <v>1916.2283212799998</v>
      </c>
    </row>
    <row r="11" spans="1:11" x14ac:dyDescent="0.3">
      <c r="A11" s="3" t="s">
        <v>233</v>
      </c>
      <c r="F11" s="3">
        <f>F8*(1+Assumptions!$B$33)</f>
        <v>5611.8115123199996</v>
      </c>
    </row>
    <row r="12" spans="1:11" x14ac:dyDescent="0.3">
      <c r="A12" s="3" t="s">
        <v>234</v>
      </c>
      <c r="F12" s="3">
        <f>F11*Assumptions!$B$34</f>
        <v>61729.926635519994</v>
      </c>
    </row>
    <row r="13" spans="1:11" x14ac:dyDescent="0.3">
      <c r="A13" s="3" t="s">
        <v>235</v>
      </c>
      <c r="B13" s="3">
        <f>1/(1+Assumptions!$B$32)^1</f>
        <v>0.90497737556561086</v>
      </c>
      <c r="C13" s="3">
        <f>1/(1+Assumptions!$B$32)^2</f>
        <v>0.81898405028562071</v>
      </c>
      <c r="D13" s="3">
        <f>1/(1+Assumptions!$B$32)^3</f>
        <v>0.74116203645757528</v>
      </c>
      <c r="E13" s="3">
        <f>1/(1+Assumptions!$B$32)^4</f>
        <v>0.67073487462224002</v>
      </c>
      <c r="F13" s="3">
        <f>1/(1+Assumptions!$B$32)^5</f>
        <v>0.60699988653596382</v>
      </c>
    </row>
    <row r="14" spans="1:11" x14ac:dyDescent="0.3">
      <c r="A14" s="3" t="s">
        <v>236</v>
      </c>
      <c r="B14" s="3">
        <f>B10*B13</f>
        <v>1482.3529411764705</v>
      </c>
      <c r="C14" s="3">
        <f>C10*C13</f>
        <v>1395.1557093425604</v>
      </c>
      <c r="D14" s="3">
        <f>D10*D13</f>
        <v>1313.0877264400569</v>
      </c>
      <c r="E14" s="3">
        <f>E10*E13</f>
        <v>1235.8472719435829</v>
      </c>
      <c r="F14" s="3">
        <f>F10*F13</f>
        <v>1163.1503735939602</v>
      </c>
    </row>
    <row r="15" spans="1:11" ht="15" thickBot="1" x14ac:dyDescent="0.35">
      <c r="A15" s="3" t="s">
        <v>237</v>
      </c>
      <c r="F15" s="3">
        <f>F12*F13</f>
        <v>37470.058463634006</v>
      </c>
    </row>
    <row r="16" spans="1:11" ht="15" thickTop="1" x14ac:dyDescent="0.3">
      <c r="A16" s="5" t="s">
        <v>238</v>
      </c>
      <c r="B16" s="5">
        <f>SUM(B14:F14)+F15</f>
        <v>44059.652486130639</v>
      </c>
      <c r="C16" s="5"/>
      <c r="D16" s="5"/>
      <c r="E16" s="5"/>
      <c r="F16" s="5"/>
    </row>
    <row r="17" spans="1:6" ht="15" thickBot="1" x14ac:dyDescent="0.35">
      <c r="A17" s="7" t="s">
        <v>239</v>
      </c>
      <c r="B17" s="7">
        <f>Assumptions!B9</f>
        <v>65000</v>
      </c>
      <c r="C17" s="7"/>
      <c r="D17" s="7"/>
      <c r="E17" s="7"/>
      <c r="F17" s="7"/>
    </row>
    <row r="18" spans="1:6" ht="15" thickTop="1" x14ac:dyDescent="0.3"/>
    <row r="19" spans="1:6" ht="15" thickBot="1" x14ac:dyDescent="0.35"/>
    <row r="20" spans="1:6" ht="15" thickTop="1" x14ac:dyDescent="0.3">
      <c r="A20" s="5" t="s">
        <v>238</v>
      </c>
      <c r="B20" s="5">
        <f>B16</f>
        <v>44059.652486130639</v>
      </c>
    </row>
    <row r="21" spans="1:6" x14ac:dyDescent="0.3">
      <c r="A21" s="6" t="s">
        <v>240</v>
      </c>
      <c r="B21" s="6">
        <f>Assumptions!B9</f>
        <v>65000</v>
      </c>
    </row>
    <row r="22" spans="1:6" x14ac:dyDescent="0.3">
      <c r="A22" s="6" t="s">
        <v>241</v>
      </c>
      <c r="B22" s="24">
        <f>B20/B21-1</f>
        <v>-0.32215919252106706</v>
      </c>
    </row>
    <row r="23" spans="1:6" ht="15" thickBot="1" x14ac:dyDescent="0.35">
      <c r="A23" s="7" t="s">
        <v>19</v>
      </c>
      <c r="B23" s="7">
        <f>B20</f>
        <v>44059.652486130639</v>
      </c>
    </row>
    <row r="24" spans="1:6" ht="15" thickTop="1" x14ac:dyDescent="0.3">
      <c r="A24" s="3" t="s">
        <v>242</v>
      </c>
      <c r="B24" s="9">
        <f>Assumptions!B34</f>
        <v>11</v>
      </c>
    </row>
    <row r="25" spans="1:6" x14ac:dyDescent="0.3">
      <c r="A25" s="3" t="s">
        <v>243</v>
      </c>
      <c r="B25" s="9">
        <f>Assumptions!B32</f>
        <v>0.105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2B56-0790-4E19-831B-B8516BB6327F}">
  <dimension ref="A1:K33"/>
  <sheetViews>
    <sheetView showGridLines="0" workbookViewId="0">
      <selection activeCell="E7" sqref="E7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244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245</v>
      </c>
    </row>
    <row r="4" spans="1:11" x14ac:dyDescent="0.3">
      <c r="A4" s="1" t="s">
        <v>246</v>
      </c>
      <c r="B4" s="1" t="s">
        <v>247</v>
      </c>
      <c r="C4" s="1" t="s">
        <v>248</v>
      </c>
      <c r="D4" s="1" t="s">
        <v>249</v>
      </c>
      <c r="E4" s="1" t="s">
        <v>250</v>
      </c>
    </row>
    <row r="5" spans="1:11" x14ac:dyDescent="0.3">
      <c r="A5" s="3" t="s">
        <v>361</v>
      </c>
      <c r="D5" s="3">
        <f>'Support Schedules'!B6+Assumptions!B15-'Support Schedules'!B8</f>
        <v>15500</v>
      </c>
      <c r="E5" s="3">
        <f t="shared" ref="E5:E14" si="0">D5</f>
        <v>15500</v>
      </c>
    </row>
    <row r="6" spans="1:11" x14ac:dyDescent="0.3">
      <c r="A6" s="3" t="s">
        <v>200</v>
      </c>
      <c r="D6" s="3">
        <f>'Support Schedules'!B7</f>
        <v>26000</v>
      </c>
      <c r="E6" s="3">
        <f t="shared" si="0"/>
        <v>26000</v>
      </c>
    </row>
    <row r="7" spans="1:11" x14ac:dyDescent="0.3">
      <c r="A7" s="3" t="s">
        <v>251</v>
      </c>
      <c r="D7" s="3">
        <f>'Support Schedules'!B8</f>
        <v>25000</v>
      </c>
      <c r="E7" s="3">
        <f t="shared" si="0"/>
        <v>25000</v>
      </c>
    </row>
    <row r="8" spans="1:11" ht="15" thickBot="1" x14ac:dyDescent="0.35">
      <c r="A8" s="3" t="s">
        <v>362</v>
      </c>
      <c r="D8" s="3">
        <f>0</f>
        <v>0</v>
      </c>
      <c r="E8" s="3">
        <f t="shared" si="0"/>
        <v>0</v>
      </c>
    </row>
    <row r="9" spans="1:11" ht="15.6" thickTop="1" thickBot="1" x14ac:dyDescent="0.35">
      <c r="A9" s="11" t="s">
        <v>252</v>
      </c>
      <c r="B9" s="11"/>
      <c r="C9" s="11"/>
      <c r="D9" s="11">
        <f>SUM(D5:D8)</f>
        <v>66500</v>
      </c>
      <c r="E9" s="11">
        <f t="shared" si="0"/>
        <v>66500</v>
      </c>
    </row>
    <row r="10" spans="1:11" ht="15" thickTop="1" x14ac:dyDescent="0.3">
      <c r="A10" s="3" t="s">
        <v>253</v>
      </c>
      <c r="D10" s="3">
        <f>Assumptions!B9</f>
        <v>65000</v>
      </c>
      <c r="E10" s="3">
        <f t="shared" si="0"/>
        <v>65000</v>
      </c>
    </row>
    <row r="11" spans="1:11" x14ac:dyDescent="0.3">
      <c r="A11" s="3" t="s">
        <v>254</v>
      </c>
      <c r="D11" s="3">
        <f>0</f>
        <v>0</v>
      </c>
      <c r="E11" s="3">
        <f t="shared" si="0"/>
        <v>0</v>
      </c>
    </row>
    <row r="12" spans="1:11" ht="15" thickBot="1" x14ac:dyDescent="0.35">
      <c r="A12" s="3" t="s">
        <v>219</v>
      </c>
      <c r="D12" s="3">
        <f>Assumptions!B15</f>
        <v>1500</v>
      </c>
      <c r="E12" s="3">
        <f t="shared" si="0"/>
        <v>1500</v>
      </c>
    </row>
    <row r="13" spans="1:11" ht="15" thickTop="1" x14ac:dyDescent="0.3">
      <c r="A13" s="5" t="s">
        <v>255</v>
      </c>
      <c r="B13" s="5"/>
      <c r="C13" s="5"/>
      <c r="D13" s="5">
        <f>SUM(D10:D12)</f>
        <v>66500</v>
      </c>
      <c r="E13" s="5">
        <f t="shared" si="0"/>
        <v>66500</v>
      </c>
    </row>
    <row r="14" spans="1:11" ht="15" thickBot="1" x14ac:dyDescent="0.35">
      <c r="A14" s="7" t="s">
        <v>256</v>
      </c>
      <c r="B14" s="7"/>
      <c r="C14" s="7"/>
      <c r="D14" s="7">
        <f>D9-D13</f>
        <v>0</v>
      </c>
      <c r="E14" s="7">
        <f t="shared" si="0"/>
        <v>0</v>
      </c>
    </row>
    <row r="15" spans="1:11" ht="15" thickTop="1" x14ac:dyDescent="0.3"/>
    <row r="17" spans="1:5" x14ac:dyDescent="0.3">
      <c r="A17" s="1" t="s">
        <v>257</v>
      </c>
      <c r="B17" s="1" t="s">
        <v>258</v>
      </c>
      <c r="C17" s="1" t="s">
        <v>259</v>
      </c>
      <c r="D17" s="1" t="s">
        <v>260</v>
      </c>
      <c r="E17" s="1" t="s">
        <v>261</v>
      </c>
    </row>
    <row r="18" spans="1:5" x14ac:dyDescent="0.3">
      <c r="A18" s="3" t="s">
        <v>262</v>
      </c>
      <c r="B18" s="3">
        <f>SUM('Acquirer Co Model'!C28:C29)</f>
        <v>343338</v>
      </c>
      <c r="C18" s="3">
        <f>'Target Model'!C19</f>
        <v>16000</v>
      </c>
      <c r="D18" s="3">
        <f>-D5</f>
        <v>-15500</v>
      </c>
      <c r="E18" s="3">
        <f>SUM(B18:D18)</f>
        <v>343838</v>
      </c>
    </row>
    <row r="19" spans="1:5" x14ac:dyDescent="0.3">
      <c r="A19" s="3" t="s">
        <v>184</v>
      </c>
      <c r="B19" s="3">
        <f>'Acquirer Co Model'!C34</f>
        <v>1467664</v>
      </c>
      <c r="C19" s="3">
        <f>'Target Model'!C20</f>
        <v>315000</v>
      </c>
      <c r="D19" s="3">
        <f>Assumptions!B16</f>
        <v>-2500</v>
      </c>
      <c r="E19" s="3">
        <f>SUM(B19:D19)</f>
        <v>1780164</v>
      </c>
    </row>
    <row r="20" spans="1:5" x14ac:dyDescent="0.3">
      <c r="A20" s="3" t="s">
        <v>263</v>
      </c>
      <c r="B20" s="3">
        <f>SUM('Acquirer Co Model'!C30:C33)</f>
        <v>2202822</v>
      </c>
      <c r="D20" s="3">
        <f>0</f>
        <v>0</v>
      </c>
      <c r="E20" s="3">
        <f>SUM(B20:D20)</f>
        <v>2202822</v>
      </c>
    </row>
    <row r="21" spans="1:5" x14ac:dyDescent="0.3">
      <c r="A21" s="3" t="s">
        <v>264</v>
      </c>
      <c r="B21" s="3">
        <f>'Acquirer Co Model'!C37</f>
        <v>64458</v>
      </c>
      <c r="C21" s="3">
        <f>0</f>
        <v>0</v>
      </c>
      <c r="D21" s="3">
        <f>'Support Schedules'!B32+Assumptions!B17</f>
        <v>37500</v>
      </c>
      <c r="E21" s="3">
        <f>SUM(B21:D21)</f>
        <v>101958</v>
      </c>
    </row>
    <row r="22" spans="1:5" ht="15" thickBot="1" x14ac:dyDescent="0.35">
      <c r="A22" s="3" t="s">
        <v>153</v>
      </c>
      <c r="B22" s="3">
        <f>SUM('Acquirer Co Model'!C35:C36)+'Acquirer Co Model'!C38</f>
        <v>346618</v>
      </c>
      <c r="C22" s="3">
        <f>'Target Model'!C21</f>
        <v>29000</v>
      </c>
      <c r="D22" s="3">
        <f>0</f>
        <v>0</v>
      </c>
      <c r="E22" s="3">
        <f>SUM(B22:D22)</f>
        <v>375618</v>
      </c>
    </row>
    <row r="23" spans="1:5" ht="15.6" thickTop="1" thickBot="1" x14ac:dyDescent="0.35">
      <c r="A23" s="11" t="s">
        <v>154</v>
      </c>
      <c r="B23" s="11">
        <f>SUM(B18:B22)</f>
        <v>4424900</v>
      </c>
      <c r="C23" s="11">
        <f>'Target Model'!C22</f>
        <v>360000</v>
      </c>
      <c r="D23" s="11">
        <f>SUM(D18:D22)</f>
        <v>19500</v>
      </c>
      <c r="E23" s="11">
        <f>SUM(E18:E22)</f>
        <v>4804400</v>
      </c>
    </row>
    <row r="24" spans="1:5" ht="15" thickTop="1" x14ac:dyDescent="0.3">
      <c r="A24" s="3" t="s">
        <v>155</v>
      </c>
      <c r="B24" s="3">
        <f>'Acquirer Co Model'!C40</f>
        <v>2559320</v>
      </c>
      <c r="C24" s="3">
        <f>'Target Model'!C23</f>
        <v>288000</v>
      </c>
      <c r="D24" s="3">
        <f>0</f>
        <v>0</v>
      </c>
      <c r="E24" s="3">
        <f>SUM(B24:D24)</f>
        <v>2847320</v>
      </c>
    </row>
    <row r="25" spans="1:5" x14ac:dyDescent="0.3">
      <c r="A25" s="3" t="s">
        <v>265</v>
      </c>
      <c r="B25" s="3">
        <f>SUM('Acquirer Co Model'!C41:C42,'Acquirer Co Model'!C45)</f>
        <v>942378</v>
      </c>
      <c r="C25" s="3">
        <f>'Target Model'!C24</f>
        <v>34000</v>
      </c>
      <c r="D25" s="3">
        <f>'Support Schedules'!B8</f>
        <v>25000</v>
      </c>
      <c r="E25" s="3">
        <f>SUM(B25:D25)</f>
        <v>1001378</v>
      </c>
    </row>
    <row r="26" spans="1:5" ht="15" thickBot="1" x14ac:dyDescent="0.35">
      <c r="A26" s="3" t="s">
        <v>159</v>
      </c>
      <c r="B26" s="3">
        <f>'Acquirer Co Model'!C46-B24-B25</f>
        <v>560764</v>
      </c>
      <c r="C26" s="3">
        <f>'Target Model'!C25</f>
        <v>8000</v>
      </c>
      <c r="D26" s="3">
        <f>0</f>
        <v>0</v>
      </c>
      <c r="E26" s="3">
        <f>SUM(B26:D26)</f>
        <v>568764</v>
      </c>
    </row>
    <row r="27" spans="1:5" ht="15" thickTop="1" x14ac:dyDescent="0.3">
      <c r="A27" s="5" t="s">
        <v>161</v>
      </c>
      <c r="B27" s="5">
        <f>SUM(B24:B26)</f>
        <v>4062462</v>
      </c>
      <c r="C27" s="5">
        <f>'Target Model'!C26</f>
        <v>330000</v>
      </c>
      <c r="D27" s="5">
        <f>SUM(D24:D26)</f>
        <v>25000</v>
      </c>
      <c r="E27" s="5">
        <f>SUM(E24:E26)</f>
        <v>4417462</v>
      </c>
    </row>
    <row r="28" spans="1:5" x14ac:dyDescent="0.3">
      <c r="A28" s="6" t="s">
        <v>266</v>
      </c>
      <c r="B28" s="6">
        <f>'Acquirer Co Model'!C47*5.5%</f>
        <v>19934.09</v>
      </c>
      <c r="C28" s="6">
        <f>0</f>
        <v>0</v>
      </c>
      <c r="D28" s="6">
        <f>0</f>
        <v>0</v>
      </c>
      <c r="E28" s="6">
        <f>SUM(B28:D28)</f>
        <v>19934.09</v>
      </c>
    </row>
    <row r="29" spans="1:5" x14ac:dyDescent="0.3">
      <c r="A29" s="6" t="s">
        <v>267</v>
      </c>
      <c r="B29" s="6">
        <f>'Acquirer Co Model'!C47*26.2%</f>
        <v>94958.756000000008</v>
      </c>
      <c r="C29" s="6">
        <f>0</f>
        <v>0</v>
      </c>
      <c r="D29" s="6">
        <f>'Support Schedules'!B35</f>
        <v>26000</v>
      </c>
      <c r="E29" s="6">
        <f>SUM(B29:D29)</f>
        <v>120958.75600000001</v>
      </c>
    </row>
    <row r="30" spans="1:5" x14ac:dyDescent="0.3">
      <c r="A30" s="6" t="s">
        <v>268</v>
      </c>
      <c r="B30" s="6">
        <f>'Acquirer Co Model'!C47*68.3%</f>
        <v>247545.15399999998</v>
      </c>
      <c r="C30" s="6">
        <f>'Target Model'!C27</f>
        <v>30000</v>
      </c>
      <c r="D30" s="6">
        <f>-'Target Model'!C27-Assumptions!B15</f>
        <v>-31500</v>
      </c>
      <c r="E30" s="6">
        <f>SUM(B30:D30)</f>
        <v>246045.15399999998</v>
      </c>
    </row>
    <row r="31" spans="1:5" x14ac:dyDescent="0.3">
      <c r="A31" s="6" t="s">
        <v>269</v>
      </c>
      <c r="B31" s="6">
        <f>SUM(B28:B30)</f>
        <v>362438</v>
      </c>
      <c r="C31" s="6">
        <f>'Target Model'!C27</f>
        <v>30000</v>
      </c>
      <c r="D31" s="6">
        <f>SUM(D28:D30)</f>
        <v>-5500</v>
      </c>
      <c r="E31" s="6">
        <f>SUM(E28:E30)</f>
        <v>386938</v>
      </c>
    </row>
    <row r="32" spans="1:5" ht="15" thickBot="1" x14ac:dyDescent="0.35">
      <c r="A32" s="7" t="s">
        <v>164</v>
      </c>
      <c r="B32" s="7">
        <f>B23-B27-B31</f>
        <v>0</v>
      </c>
      <c r="C32" s="7">
        <f>C23-C27-C31</f>
        <v>0</v>
      </c>
      <c r="D32" s="7">
        <f>D23-D27-D31</f>
        <v>0</v>
      </c>
      <c r="E32" s="7">
        <f>E23-E27-E31</f>
        <v>0</v>
      </c>
    </row>
    <row r="33" ht="15" thickTop="1" x14ac:dyDescent="0.3"/>
  </sheetData>
  <mergeCells count="1">
    <mergeCell ref="A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B212-771F-4C31-9AB3-D3E980E52ED2}">
  <dimension ref="A1:K43"/>
  <sheetViews>
    <sheetView showGridLines="0" topLeftCell="A27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270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271</v>
      </c>
    </row>
    <row r="4" spans="1:11" x14ac:dyDescent="0.3">
      <c r="A4" s="1" t="s">
        <v>272</v>
      </c>
      <c r="B4" s="1" t="s">
        <v>273</v>
      </c>
      <c r="C4" s="1" t="s">
        <v>120</v>
      </c>
      <c r="D4" s="1" t="s">
        <v>121</v>
      </c>
      <c r="E4" s="1" t="s">
        <v>175</v>
      </c>
      <c r="F4" s="1" t="s">
        <v>74</v>
      </c>
    </row>
    <row r="5" spans="1:11" x14ac:dyDescent="0.3">
      <c r="A5" s="3" t="s">
        <v>274</v>
      </c>
      <c r="B5" s="3">
        <f>'Acquirer Co Model'!C16</f>
        <v>182447</v>
      </c>
      <c r="C5" s="3">
        <f>'Acquirer Co Model'!D16</f>
        <v>189744.88</v>
      </c>
      <c r="D5" s="3">
        <f>'Acquirer Co Model'!E16</f>
        <v>197334.6752</v>
      </c>
      <c r="E5" s="3">
        <f>'Acquirer Co Model'!E16*(1+Assumptions!$B$29)</f>
        <v>205228.06220800002</v>
      </c>
    </row>
    <row r="6" spans="1:11" x14ac:dyDescent="0.3">
      <c r="A6" s="3" t="s">
        <v>275</v>
      </c>
      <c r="B6" s="3">
        <f>'Target Model'!C5</f>
        <v>18000</v>
      </c>
      <c r="C6" s="3">
        <f>'Target Model'!D5</f>
        <v>18720</v>
      </c>
      <c r="D6" s="3">
        <f>'Target Model'!E5</f>
        <v>19468.8</v>
      </c>
      <c r="E6" s="3">
        <f>'Target Model'!F5</f>
        <v>20247.552</v>
      </c>
    </row>
    <row r="7" spans="1:11" ht="15" thickBot="1" x14ac:dyDescent="0.35">
      <c r="A7" s="3" t="s">
        <v>209</v>
      </c>
      <c r="B7" s="3">
        <f>'Support Schedules'!B18*'Support Schedules'!B19</f>
        <v>750</v>
      </c>
      <c r="C7" s="3">
        <f>'Support Schedules'!C18*'Support Schedules'!C19</f>
        <v>750</v>
      </c>
      <c r="D7" s="3">
        <f>'Support Schedules'!D18*'Support Schedules'!D19</f>
        <v>750</v>
      </c>
      <c r="E7" s="3">
        <f>'Support Schedules'!E18*'Support Schedules'!E19</f>
        <v>750</v>
      </c>
    </row>
    <row r="8" spans="1:11" ht="15.6" thickTop="1" thickBot="1" x14ac:dyDescent="0.35">
      <c r="A8" s="11" t="s">
        <v>276</v>
      </c>
      <c r="B8" s="11">
        <f>SUM(B5:B7)</f>
        <v>201197</v>
      </c>
      <c r="C8" s="11">
        <f>SUM(C5:C7)</f>
        <v>209214.88</v>
      </c>
      <c r="D8" s="11">
        <f>SUM(D5:D7)</f>
        <v>217553.47519999999</v>
      </c>
      <c r="E8" s="11">
        <f>SUM(E5:E7)</f>
        <v>226225.61420800001</v>
      </c>
      <c r="F8" s="11"/>
    </row>
    <row r="9" spans="1:11" ht="15" thickTop="1" x14ac:dyDescent="0.3">
      <c r="A9" s="3" t="s">
        <v>277</v>
      </c>
      <c r="B9" s="3">
        <f>'Acquirer Co Model'!C19</f>
        <v>72595</v>
      </c>
      <c r="C9" s="3">
        <f>'Acquirer Co Model'!D19</f>
        <v>75498.799999999988</v>
      </c>
      <c r="D9" s="3">
        <f>'Acquirer Co Model'!E19</f>
        <v>78518.751999999979</v>
      </c>
      <c r="E9" s="3">
        <f>'Acquirer Co Model'!E19*(1+Assumptions!$B$29)</f>
        <v>81659.502079999977</v>
      </c>
    </row>
    <row r="10" spans="1:11" x14ac:dyDescent="0.3">
      <c r="A10" s="3" t="s">
        <v>278</v>
      </c>
      <c r="B10" s="3">
        <f>'Target Model'!C9</f>
        <v>6700</v>
      </c>
      <c r="C10" s="3">
        <f>'Target Model'!D9</f>
        <v>6968</v>
      </c>
      <c r="D10" s="3">
        <f>'Target Model'!E9</f>
        <v>7246.7200000000012</v>
      </c>
      <c r="E10" s="3">
        <f>'Target Model'!F9</f>
        <v>7536.5888000000014</v>
      </c>
    </row>
    <row r="11" spans="1:11" x14ac:dyDescent="0.3">
      <c r="A11" s="3" t="s">
        <v>279</v>
      </c>
      <c r="B11" s="3">
        <f>'Support Schedules'!B20</f>
        <v>2625</v>
      </c>
      <c r="C11" s="3">
        <f>'Support Schedules'!C20</f>
        <v>2625</v>
      </c>
      <c r="D11" s="3">
        <f>'Support Schedules'!D20</f>
        <v>2625</v>
      </c>
      <c r="E11" s="3">
        <f>'Support Schedules'!E20</f>
        <v>2625</v>
      </c>
    </row>
    <row r="12" spans="1:11" x14ac:dyDescent="0.3">
      <c r="A12" s="3" t="s">
        <v>280</v>
      </c>
      <c r="B12" s="3">
        <f>-'Support Schedules'!B10</f>
        <v>-1125</v>
      </c>
      <c r="C12" s="3">
        <f>-'Support Schedules'!C10</f>
        <v>-1125</v>
      </c>
      <c r="D12" s="3">
        <f>-'Support Schedules'!D10</f>
        <v>-1125</v>
      </c>
      <c r="E12" s="3">
        <f>-'Support Schedules'!E10</f>
        <v>-1125</v>
      </c>
    </row>
    <row r="13" spans="1:11" x14ac:dyDescent="0.3">
      <c r="A13" s="3" t="s">
        <v>205</v>
      </c>
      <c r="B13" s="3">
        <f>-'Support Schedules'!B12</f>
        <v>-1365.0000000000002</v>
      </c>
      <c r="C13" s="3">
        <f>-'Support Schedules'!C12</f>
        <v>-1365.0000000000002</v>
      </c>
      <c r="D13" s="3">
        <f>-'Support Schedules'!D12</f>
        <v>-1365.0000000000002</v>
      </c>
      <c r="E13" s="3">
        <f>-'Support Schedules'!E12</f>
        <v>-1365.0000000000002</v>
      </c>
    </row>
    <row r="14" spans="1:11" ht="15" thickBot="1" x14ac:dyDescent="0.35">
      <c r="A14" s="3" t="s">
        <v>213</v>
      </c>
      <c r="B14" s="3">
        <f>-'Support Schedules'!B22</f>
        <v>-350</v>
      </c>
      <c r="C14" s="3">
        <f>-'Support Schedules'!C22</f>
        <v>-350</v>
      </c>
      <c r="D14" s="3">
        <f>-'Support Schedules'!D22</f>
        <v>-350</v>
      </c>
      <c r="E14" s="3">
        <f>-'Support Schedules'!E22</f>
        <v>-350</v>
      </c>
    </row>
    <row r="15" spans="1:11" ht="15" thickTop="1" x14ac:dyDescent="0.3">
      <c r="A15" s="5" t="s">
        <v>281</v>
      </c>
      <c r="B15" s="5">
        <f>SUM(B9:B14)</f>
        <v>79080</v>
      </c>
      <c r="C15" s="5">
        <f>SUM(C9:C14)</f>
        <v>82251.799999999988</v>
      </c>
      <c r="D15" s="5">
        <f>SUM(D9:D14)</f>
        <v>85550.47199999998</v>
      </c>
      <c r="E15" s="5">
        <f>SUM(E9:E14)</f>
        <v>88981.090879999974</v>
      </c>
      <c r="F15" s="5"/>
    </row>
    <row r="16" spans="1:11" x14ac:dyDescent="0.3">
      <c r="A16" s="6" t="s">
        <v>179</v>
      </c>
      <c r="B16" s="6">
        <f>B15*Assumptions!$B$26</f>
        <v>16923.12</v>
      </c>
      <c r="C16" s="6">
        <f>C15*Assumptions!$B$26</f>
        <v>17601.885199999997</v>
      </c>
      <c r="D16" s="6">
        <f>D15*Assumptions!$B$26</f>
        <v>18307.801007999995</v>
      </c>
      <c r="E16" s="6">
        <f>E15*Assumptions!$B$26</f>
        <v>19041.953448319993</v>
      </c>
      <c r="F16" s="6"/>
    </row>
    <row r="17" spans="1:6" x14ac:dyDescent="0.3">
      <c r="A17" s="6" t="s">
        <v>282</v>
      </c>
      <c r="B17" s="6">
        <f>B15-B16</f>
        <v>62156.880000000005</v>
      </c>
      <c r="C17" s="6">
        <f>C15-C16</f>
        <v>64649.914799999991</v>
      </c>
      <c r="D17" s="6">
        <f>D15-D16</f>
        <v>67242.670991999985</v>
      </c>
      <c r="E17" s="6">
        <f>E15-E16</f>
        <v>69939.137431679977</v>
      </c>
      <c r="F17" s="6"/>
    </row>
    <row r="18" spans="1:6" x14ac:dyDescent="0.3">
      <c r="A18" s="6" t="s">
        <v>283</v>
      </c>
      <c r="B18" s="6">
        <f>1367</f>
        <v>1367</v>
      </c>
      <c r="C18" s="6">
        <f>B18</f>
        <v>1367</v>
      </c>
      <c r="D18" s="6">
        <f>B18</f>
        <v>1367</v>
      </c>
      <c r="E18" s="6">
        <f>B18</f>
        <v>1367</v>
      </c>
      <c r="F18" s="6"/>
    </row>
    <row r="19" spans="1:6" ht="15" thickBot="1" x14ac:dyDescent="0.35">
      <c r="A19" s="7" t="s">
        <v>284</v>
      </c>
      <c r="B19" s="7">
        <f>B17-B18</f>
        <v>60789.880000000005</v>
      </c>
      <c r="C19" s="7">
        <f>C17-C18</f>
        <v>63282.914799999991</v>
      </c>
      <c r="D19" s="7">
        <f>D17-D18</f>
        <v>65875.670991999985</v>
      </c>
      <c r="E19" s="7">
        <f>E17-E18</f>
        <v>68572.137431679977</v>
      </c>
      <c r="F19" s="7"/>
    </row>
    <row r="20" spans="1:6" ht="15" thickTop="1" x14ac:dyDescent="0.3"/>
    <row r="22" spans="1:6" x14ac:dyDescent="0.3">
      <c r="A22" s="1" t="s">
        <v>285</v>
      </c>
      <c r="B22" s="1" t="s">
        <v>286</v>
      </c>
      <c r="C22" s="1" t="s">
        <v>120</v>
      </c>
      <c r="D22" s="1" t="s">
        <v>121</v>
      </c>
      <c r="E22" s="1" t="s">
        <v>175</v>
      </c>
      <c r="F22" s="1" t="s">
        <v>74</v>
      </c>
    </row>
    <row r="23" spans="1:6" x14ac:dyDescent="0.3">
      <c r="A23" s="3" t="s">
        <v>154</v>
      </c>
      <c r="B23" s="3">
        <f>'Closing Balance Sheet'!E23</f>
        <v>4804400</v>
      </c>
      <c r="C23" s="3">
        <f t="shared" ref="C23:E24" si="0">B23*(1+3%)</f>
        <v>4948532</v>
      </c>
      <c r="D23" s="3">
        <f t="shared" si="0"/>
        <v>5096987.96</v>
      </c>
      <c r="E23" s="3">
        <f t="shared" si="0"/>
        <v>5249897.5987999998</v>
      </c>
    </row>
    <row r="24" spans="1:6" ht="15" thickBot="1" x14ac:dyDescent="0.35">
      <c r="A24" s="3" t="s">
        <v>161</v>
      </c>
      <c r="B24" s="3">
        <f>'Closing Balance Sheet'!E27</f>
        <v>4417462</v>
      </c>
      <c r="C24" s="3">
        <f t="shared" si="0"/>
        <v>4549985.8600000003</v>
      </c>
      <c r="D24" s="3">
        <f t="shared" si="0"/>
        <v>4686485.4358000001</v>
      </c>
      <c r="E24" s="3">
        <f t="shared" si="0"/>
        <v>4827079.9988740003</v>
      </c>
    </row>
    <row r="25" spans="1:6" ht="15" thickTop="1" x14ac:dyDescent="0.3">
      <c r="A25" s="5" t="s">
        <v>269</v>
      </c>
      <c r="B25" s="5">
        <f>B23-B24</f>
        <v>386938</v>
      </c>
      <c r="C25" s="5">
        <f>C23-C24</f>
        <v>398546.13999999966</v>
      </c>
      <c r="D25" s="5">
        <f>D23-D24</f>
        <v>410502.52419999987</v>
      </c>
      <c r="E25" s="5">
        <f>E23-E24</f>
        <v>422817.59992599953</v>
      </c>
      <c r="F25" s="5"/>
    </row>
    <row r="26" spans="1:6" ht="15" thickBot="1" x14ac:dyDescent="0.35">
      <c r="A26" s="7" t="s">
        <v>164</v>
      </c>
      <c r="B26" s="7">
        <f>B23-B24-B25</f>
        <v>0</v>
      </c>
      <c r="C26" s="7">
        <f>C23-C24-C25</f>
        <v>0</v>
      </c>
      <c r="D26" s="7">
        <f>D23-D24-D25</f>
        <v>0</v>
      </c>
      <c r="E26" s="7">
        <f>E23-E24-E25</f>
        <v>0</v>
      </c>
      <c r="F26" s="7"/>
    </row>
    <row r="27" spans="1:6" ht="15" thickTop="1" x14ac:dyDescent="0.3">
      <c r="A27" s="3" t="s">
        <v>155</v>
      </c>
      <c r="B27" s="3">
        <f>'Closing Balance Sheet'!E24</f>
        <v>2847320</v>
      </c>
      <c r="C27" s="3">
        <f>B27*(1+3%)</f>
        <v>2932739.6</v>
      </c>
      <c r="D27" s="3">
        <f>C27*(1+3%)</f>
        <v>3020721.7880000002</v>
      </c>
      <c r="E27" s="3">
        <f>D27*(1+3%)</f>
        <v>3111343.4416400003</v>
      </c>
    </row>
    <row r="28" spans="1:6" x14ac:dyDescent="0.3">
      <c r="A28" s="3" t="s">
        <v>265</v>
      </c>
      <c r="B28" s="3">
        <f>'Closing Balance Sheet'!E25</f>
        <v>1001378</v>
      </c>
      <c r="C28" s="3">
        <f>B28*(1+2%)</f>
        <v>1021405.56</v>
      </c>
      <c r="D28" s="3">
        <f>C28*(1+2%)</f>
        <v>1041833.6712000001</v>
      </c>
      <c r="E28" s="3">
        <f>D28*(1+2%)</f>
        <v>1062670.3446240001</v>
      </c>
    </row>
    <row r="29" spans="1:6" x14ac:dyDescent="0.3">
      <c r="A29" s="3" t="s">
        <v>287</v>
      </c>
      <c r="B29" s="3">
        <f>'Closing Balance Sheet'!E21</f>
        <v>101958</v>
      </c>
      <c r="C29" s="3">
        <f>B29-Assumptions!B29</f>
        <v>101957.96</v>
      </c>
      <c r="D29" s="3">
        <f>C29-Assumptions!B29</f>
        <v>101957.92000000001</v>
      </c>
      <c r="E29" s="3">
        <f>D29-Assumptions!B29</f>
        <v>101957.88000000002</v>
      </c>
    </row>
    <row r="30" spans="1:6" x14ac:dyDescent="0.3">
      <c r="A30" s="3" t="s">
        <v>184</v>
      </c>
      <c r="B30" s="3">
        <f>'Closing Balance Sheet'!E19</f>
        <v>1780164</v>
      </c>
      <c r="C30" s="3">
        <f>B30*(1+4%)</f>
        <v>1851370.56</v>
      </c>
      <c r="D30" s="3">
        <f>C30*(1+4%)</f>
        <v>1925425.3824000002</v>
      </c>
      <c r="E30" s="3">
        <f>D30*(1+4%)</f>
        <v>2002442.3976960003</v>
      </c>
    </row>
    <row r="31" spans="1:6" ht="15" thickBot="1" x14ac:dyDescent="0.35">
      <c r="A31" s="3" t="s">
        <v>262</v>
      </c>
      <c r="B31" s="3">
        <f>'Closing Balance Sheet'!E18</f>
        <v>343838</v>
      </c>
      <c r="C31" s="3">
        <f>B31*(1+1%)</f>
        <v>347276.38</v>
      </c>
      <c r="D31" s="3">
        <f>C31*(1+1%)</f>
        <v>350749.14380000002</v>
      </c>
      <c r="E31" s="3">
        <f>D31*(1+1%)</f>
        <v>354256.63523800002</v>
      </c>
    </row>
    <row r="32" spans="1:6" ht="15.6" thickTop="1" thickBot="1" x14ac:dyDescent="0.35">
      <c r="A32" s="11" t="s">
        <v>288</v>
      </c>
      <c r="B32" s="11">
        <f>B25-B29</f>
        <v>284980</v>
      </c>
      <c r="C32" s="11">
        <f>C25-C29</f>
        <v>296588.17999999964</v>
      </c>
      <c r="D32" s="11">
        <f>D25-D29</f>
        <v>308544.60419999983</v>
      </c>
      <c r="E32" s="11">
        <f>E25-E29</f>
        <v>320859.71992599953</v>
      </c>
      <c r="F32" s="11"/>
    </row>
    <row r="33" spans="1:6" ht="15" thickTop="1" x14ac:dyDescent="0.3"/>
    <row r="35" spans="1:6" x14ac:dyDescent="0.3">
      <c r="A35" s="1" t="s">
        <v>289</v>
      </c>
      <c r="B35" s="1" t="s">
        <v>286</v>
      </c>
      <c r="C35" s="1" t="s">
        <v>120</v>
      </c>
      <c r="D35" s="1" t="s">
        <v>121</v>
      </c>
      <c r="E35" s="1" t="s">
        <v>175</v>
      </c>
      <c r="F35" s="1" t="s">
        <v>74</v>
      </c>
    </row>
    <row r="36" spans="1:6" x14ac:dyDescent="0.3">
      <c r="A36" s="3" t="s">
        <v>282</v>
      </c>
      <c r="B36" s="3">
        <f>B17</f>
        <v>62156.880000000005</v>
      </c>
      <c r="C36" s="3">
        <f>C17</f>
        <v>64649.914799999991</v>
      </c>
      <c r="D36" s="3">
        <f>D17</f>
        <v>67242.670991999985</v>
      </c>
      <c r="E36" s="3">
        <f>E17</f>
        <v>69939.137431679977</v>
      </c>
    </row>
    <row r="37" spans="1:6" x14ac:dyDescent="0.3">
      <c r="A37" s="3" t="s">
        <v>290</v>
      </c>
      <c r="B37" s="3">
        <f>'Acquirer Co Model'!C55+'Target Model'!C34+'Support Schedules'!B22</f>
        <v>9546</v>
      </c>
      <c r="C37" s="3">
        <f>'Acquirer Co Model'!D55+'Target Model'!D34+'Support Schedules'!C22</f>
        <v>9821.880000000001</v>
      </c>
      <c r="D37" s="3">
        <f>'Acquirer Co Model'!E55+'Target Model'!E34+'Support Schedules'!D22</f>
        <v>10106.036400000001</v>
      </c>
      <c r="E37" s="3">
        <f>'Acquirer Co Model'!E55*(1+3%)+'Target Model'!F34+'Support Schedules'!E22</f>
        <v>10398.717492000002</v>
      </c>
    </row>
    <row r="38" spans="1:6" x14ac:dyDescent="0.3">
      <c r="A38" s="3" t="s">
        <v>291</v>
      </c>
      <c r="B38" s="3">
        <f>-Assumptions!B13</f>
        <v>-0.6</v>
      </c>
      <c r="C38" s="3">
        <f>0</f>
        <v>0</v>
      </c>
      <c r="D38" s="3">
        <f>0</f>
        <v>0</v>
      </c>
      <c r="E38" s="3">
        <f>0</f>
        <v>0</v>
      </c>
    </row>
    <row r="39" spans="1:6" x14ac:dyDescent="0.3">
      <c r="A39" s="3" t="s">
        <v>292</v>
      </c>
      <c r="B39" s="3">
        <f>SUM(B36:B38)</f>
        <v>71702.28</v>
      </c>
      <c r="C39" s="3">
        <f>SUM(C36:C38)</f>
        <v>74471.794799999989</v>
      </c>
      <c r="D39" s="3">
        <f>SUM(D36:D38)</f>
        <v>77348.707391999982</v>
      </c>
      <c r="E39" s="3">
        <f>SUM(E36:E38)</f>
        <v>80337.854923679974</v>
      </c>
    </row>
    <row r="40" spans="1:6" x14ac:dyDescent="0.3">
      <c r="A40" s="3" t="s">
        <v>293</v>
      </c>
      <c r="B40" s="3">
        <f>-B23*2%</f>
        <v>-96088</v>
      </c>
      <c r="C40" s="3">
        <f>-C23*2%</f>
        <v>-98970.64</v>
      </c>
      <c r="D40" s="3">
        <f>-D23*2%</f>
        <v>-101939.7592</v>
      </c>
      <c r="E40" s="3">
        <f>-E23*2%</f>
        <v>-104997.951976</v>
      </c>
    </row>
    <row r="41" spans="1:6" ht="15" thickBot="1" x14ac:dyDescent="0.35">
      <c r="A41" s="3" t="s">
        <v>294</v>
      </c>
      <c r="B41" s="3">
        <f>'Support Schedules'!B8-'Support Schedules'!B6</f>
        <v>-14000</v>
      </c>
      <c r="C41" s="3">
        <f>-'Support Schedules'!C11</f>
        <v>-884.25</v>
      </c>
      <c r="D41" s="3">
        <f>-'Support Schedules'!D11</f>
        <v>-884.25</v>
      </c>
      <c r="E41" s="3">
        <f>-'Support Schedules'!E11</f>
        <v>-884.25</v>
      </c>
    </row>
    <row r="42" spans="1:6" ht="15.6" thickTop="1" thickBot="1" x14ac:dyDescent="0.35">
      <c r="A42" s="11" t="s">
        <v>295</v>
      </c>
      <c r="B42" s="11">
        <f>SUM(B39:B41)</f>
        <v>-38385.72</v>
      </c>
      <c r="C42" s="11">
        <f>SUM(C39:C41)</f>
        <v>-25383.095200000011</v>
      </c>
      <c r="D42" s="11">
        <f>SUM(D39:D41)</f>
        <v>-25475.301808000018</v>
      </c>
      <c r="E42" s="11">
        <f>SUM(E39:E41)</f>
        <v>-25544.347052320023</v>
      </c>
      <c r="F42" s="11"/>
    </row>
    <row r="43" spans="1:6" ht="15" thickTop="1" x14ac:dyDescent="0.3"/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7DAD-3051-46C8-94E3-92A65B9EA547}">
  <dimension ref="A1:K20"/>
  <sheetViews>
    <sheetView showGridLines="0" topLeftCell="C1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296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297</v>
      </c>
    </row>
    <row r="4" spans="1:11" x14ac:dyDescent="0.3">
      <c r="A4" s="1" t="s">
        <v>298</v>
      </c>
      <c r="B4" s="1" t="s">
        <v>273</v>
      </c>
      <c r="C4" s="1" t="s">
        <v>120</v>
      </c>
      <c r="D4" s="1" t="s">
        <v>121</v>
      </c>
      <c r="E4" s="1" t="s">
        <v>175</v>
      </c>
    </row>
    <row r="5" spans="1:11" x14ac:dyDescent="0.3">
      <c r="A5" s="3" t="s">
        <v>299</v>
      </c>
      <c r="B5" s="3">
        <f>'Acquirer Co Model'!C22</f>
        <v>55681</v>
      </c>
      <c r="C5" s="3">
        <f>'Acquirer Co Model'!D22</f>
        <v>57975.056799999991</v>
      </c>
      <c r="D5" s="3">
        <f>'Acquirer Co Model'!E22</f>
        <v>60348.739071999982</v>
      </c>
      <c r="E5" s="3">
        <f>'Acquirer Co Model'!E22*(1+Assumptions!$B$29)</f>
        <v>62762.688634879982</v>
      </c>
    </row>
    <row r="6" spans="1:11" x14ac:dyDescent="0.3">
      <c r="A6" s="3" t="s">
        <v>300</v>
      </c>
      <c r="B6" s="3">
        <f>'Target Model'!C11</f>
        <v>5266</v>
      </c>
      <c r="C6" s="3">
        <f>'Target Model'!D11</f>
        <v>5476.848</v>
      </c>
      <c r="D6" s="3">
        <f>'Target Model'!E11</f>
        <v>5695.9219200000007</v>
      </c>
      <c r="E6" s="3">
        <f>'Target Model'!F11</f>
        <v>5923.7587968000007</v>
      </c>
    </row>
    <row r="7" spans="1:11" x14ac:dyDescent="0.3">
      <c r="A7" s="3" t="s">
        <v>212</v>
      </c>
      <c r="B7" s="3">
        <f>'Support Schedules'!B21</f>
        <v>2063.25</v>
      </c>
      <c r="C7" s="3">
        <f>'Support Schedules'!C21</f>
        <v>2063.25</v>
      </c>
      <c r="D7" s="3">
        <f>'Support Schedules'!D21</f>
        <v>2063.25</v>
      </c>
      <c r="E7" s="3">
        <f>'Support Schedules'!E21</f>
        <v>2063.25</v>
      </c>
    </row>
    <row r="8" spans="1:11" x14ac:dyDescent="0.3">
      <c r="A8" s="3" t="s">
        <v>204</v>
      </c>
      <c r="B8" s="3">
        <f>-'Support Schedules'!B11</f>
        <v>-884.25</v>
      </c>
      <c r="C8" s="3">
        <f>-'Support Schedules'!C11</f>
        <v>-884.25</v>
      </c>
      <c r="D8" s="3">
        <f>-'Support Schedules'!D11</f>
        <v>-884.25</v>
      </c>
      <c r="E8" s="3">
        <f>-'Support Schedules'!E11</f>
        <v>-884.25</v>
      </c>
    </row>
    <row r="9" spans="1:11" x14ac:dyDescent="0.3">
      <c r="A9" s="3" t="s">
        <v>206</v>
      </c>
      <c r="B9" s="3">
        <f>-'Support Schedules'!B13</f>
        <v>-1072.8900000000003</v>
      </c>
      <c r="C9" s="3">
        <f>-'Support Schedules'!C13</f>
        <v>-1072.8900000000003</v>
      </c>
      <c r="D9" s="3">
        <f>-'Support Schedules'!D13</f>
        <v>-1072.8900000000003</v>
      </c>
      <c r="E9" s="3">
        <f>-'Support Schedules'!E13</f>
        <v>-1072.8900000000003</v>
      </c>
    </row>
    <row r="10" spans="1:11" x14ac:dyDescent="0.3">
      <c r="A10" s="3" t="s">
        <v>214</v>
      </c>
      <c r="B10" s="3">
        <f>-'Support Schedules'!B23</f>
        <v>-275.10000000000002</v>
      </c>
      <c r="C10" s="3">
        <f>-'Support Schedules'!C23</f>
        <v>-275.10000000000002</v>
      </c>
      <c r="D10" s="3">
        <f>-'Support Schedules'!D23</f>
        <v>-275.10000000000002</v>
      </c>
      <c r="E10" s="3">
        <f>-'Support Schedules'!E23</f>
        <v>-275.10000000000002</v>
      </c>
    </row>
    <row r="11" spans="1:11" ht="15" thickBot="1" x14ac:dyDescent="0.35">
      <c r="A11" s="3" t="s">
        <v>301</v>
      </c>
      <c r="B11" s="3">
        <f>-Assumptions!B15</f>
        <v>-1500</v>
      </c>
      <c r="C11" s="3">
        <f>0</f>
        <v>0</v>
      </c>
      <c r="D11" s="3">
        <f>0</f>
        <v>0</v>
      </c>
      <c r="E11" s="3">
        <f>0</f>
        <v>0</v>
      </c>
    </row>
    <row r="12" spans="1:11" ht="15" thickTop="1" x14ac:dyDescent="0.3">
      <c r="A12" s="5" t="s">
        <v>284</v>
      </c>
      <c r="B12" s="5">
        <f>SUM(B5:B11)</f>
        <v>59278.01</v>
      </c>
      <c r="C12" s="5">
        <f>SUM(C5:C11)</f>
        <v>63282.914799999991</v>
      </c>
      <c r="D12" s="5">
        <f>SUM(D5:D11)</f>
        <v>65875.670991999985</v>
      </c>
      <c r="E12" s="5">
        <f>SUM(E5:E11)</f>
        <v>68517.457431679984</v>
      </c>
    </row>
    <row r="13" spans="1:11" x14ac:dyDescent="0.3">
      <c r="A13" s="6" t="s">
        <v>302</v>
      </c>
      <c r="B13" s="6">
        <f>'Acquirer Co Model'!C23</f>
        <v>2781.5</v>
      </c>
      <c r="C13" s="6">
        <f>'Acquirer Co Model'!D23</f>
        <v>2739.7775000000001</v>
      </c>
      <c r="D13" s="6">
        <f>'Acquirer Co Model'!E23</f>
        <v>2712.3797250000002</v>
      </c>
      <c r="E13" s="6">
        <f>'Acquirer Co Model'!E23*(1-1%)</f>
        <v>2685.2559277500004</v>
      </c>
    </row>
    <row r="14" spans="1:11" x14ac:dyDescent="0.3">
      <c r="A14" s="6" t="s">
        <v>202</v>
      </c>
      <c r="B14" s="6">
        <f>'Support Schedules'!B9</f>
        <v>81.402629931120856</v>
      </c>
      <c r="C14" s="6">
        <f>'Support Schedules'!C9</f>
        <v>81.402629931120856</v>
      </c>
      <c r="D14" s="6">
        <f>'Support Schedules'!D9</f>
        <v>81.402629931120856</v>
      </c>
      <c r="E14" s="6">
        <f>'Support Schedules'!E9</f>
        <v>81.402629931120856</v>
      </c>
    </row>
    <row r="15" spans="1:11" x14ac:dyDescent="0.3">
      <c r="A15" s="6" t="s">
        <v>303</v>
      </c>
      <c r="B15" s="6">
        <f>B13+B14</f>
        <v>2862.9026299311208</v>
      </c>
      <c r="C15" s="6">
        <f>C13+C14</f>
        <v>2821.180129931121</v>
      </c>
      <c r="D15" s="6">
        <f>D13+D14</f>
        <v>2793.7823549311211</v>
      </c>
      <c r="E15" s="6">
        <f>E13+E14</f>
        <v>2766.6585576811212</v>
      </c>
    </row>
    <row r="16" spans="1:11" x14ac:dyDescent="0.3">
      <c r="A16" s="6" t="s">
        <v>304</v>
      </c>
      <c r="B16" s="25">
        <f>B5/B13</f>
        <v>20.018335430523098</v>
      </c>
      <c r="C16" s="25">
        <f>C5/C13</f>
        <v>21.160498179140454</v>
      </c>
      <c r="D16" s="25">
        <f>D5/D13</f>
        <v>22.249369627624677</v>
      </c>
      <c r="E16" s="25">
        <f>E5/E13</f>
        <v>23.373075164373397</v>
      </c>
    </row>
    <row r="17" spans="1:5" x14ac:dyDescent="0.3">
      <c r="A17" s="6" t="s">
        <v>305</v>
      </c>
      <c r="B17" s="25">
        <f>B12/B15</f>
        <v>20.70556273212344</v>
      </c>
      <c r="C17" s="25">
        <f>C12/C15</f>
        <v>22.431362722501891</v>
      </c>
      <c r="D17" s="25">
        <f>D12/D15</f>
        <v>23.579385443439136</v>
      </c>
      <c r="E17" s="25">
        <f>E12/E15</f>
        <v>24.765418646060898</v>
      </c>
    </row>
    <row r="18" spans="1:5" x14ac:dyDescent="0.3">
      <c r="A18" s="6" t="s">
        <v>18</v>
      </c>
      <c r="B18" s="25">
        <f>B17-B16</f>
        <v>0.68722730160034118</v>
      </c>
      <c r="C18" s="25">
        <f>C17-C16</f>
        <v>1.2708645433614372</v>
      </c>
      <c r="D18" s="25">
        <f>D17-D16</f>
        <v>1.330015815814459</v>
      </c>
      <c r="E18" s="25">
        <f>E17-E16</f>
        <v>1.3923434816875009</v>
      </c>
    </row>
    <row r="19" spans="1:5" ht="15" thickBot="1" x14ac:dyDescent="0.35">
      <c r="A19" s="7" t="s">
        <v>306</v>
      </c>
      <c r="B19" s="26">
        <f>B18/B16</f>
        <v>3.4329892412157628E-2</v>
      </c>
      <c r="C19" s="26">
        <f>C18/C16</f>
        <v>6.0058347048474833E-2</v>
      </c>
      <c r="D19" s="26">
        <f>D18/D16</f>
        <v>5.9777685304086989E-2</v>
      </c>
      <c r="E19" s="26">
        <f>E18/E16</f>
        <v>5.9570401921686021E-2</v>
      </c>
    </row>
    <row r="20" spans="1:5" ht="15" thickTop="1" x14ac:dyDescent="0.3"/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87B7-EF4F-4E03-AEE9-B97BCCEAAE80}">
  <dimension ref="A1:K17"/>
  <sheetViews>
    <sheetView showGridLines="0" tabSelected="1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307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308</v>
      </c>
    </row>
    <row r="4" spans="1:11" x14ac:dyDescent="0.3">
      <c r="A4" s="1" t="s">
        <v>309</v>
      </c>
      <c r="B4" s="1"/>
      <c r="D4" s="1" t="s">
        <v>322</v>
      </c>
      <c r="E4" s="1" t="s">
        <v>323</v>
      </c>
      <c r="F4" s="1" t="s">
        <v>324</v>
      </c>
      <c r="G4" s="1" t="s">
        <v>325</v>
      </c>
    </row>
    <row r="5" spans="1:11" x14ac:dyDescent="0.3">
      <c r="A5" s="3" t="s">
        <v>240</v>
      </c>
      <c r="B5" s="3">
        <f>Assumptions!B9</f>
        <v>65000</v>
      </c>
      <c r="D5" s="8" t="s">
        <v>326</v>
      </c>
      <c r="E5" s="27">
        <f>'Accretion Dilution'!C18-1</f>
        <v>0.27086454336143717</v>
      </c>
      <c r="F5" s="27">
        <f>'Accretion Dilution'!C18-0.35</f>
        <v>0.92086454336143719</v>
      </c>
      <c r="G5" s="27">
        <f>'Accretion Dilution'!C18-0.75</f>
        <v>0.52086454336143717</v>
      </c>
    </row>
    <row r="6" spans="1:11" x14ac:dyDescent="0.3">
      <c r="A6" s="3" t="s">
        <v>310</v>
      </c>
      <c r="B6" s="3" t="str">
        <f>TEXT(Assumptions!B13,"0%")&amp;" / "&amp;TEXT(Assumptions!B14,"0%")</f>
        <v>60% / 40%</v>
      </c>
      <c r="D6" s="8" t="s">
        <v>327</v>
      </c>
      <c r="E6" s="27">
        <f>'Accretion Dilution'!C18+0.15</f>
        <v>1.4208645433614371</v>
      </c>
      <c r="F6" s="27">
        <f>'Accretion Dilution'!C18</f>
        <v>1.2708645433614372</v>
      </c>
      <c r="G6" s="27">
        <f>'Accretion Dilution'!C18-0.4</f>
        <v>0.87086454336143715</v>
      </c>
    </row>
    <row r="7" spans="1:11" x14ac:dyDescent="0.3">
      <c r="A7" s="3" t="s">
        <v>311</v>
      </c>
      <c r="B7" s="27">
        <f>'Accretion Dilution'!C17</f>
        <v>22.431362722501891</v>
      </c>
      <c r="D7" s="8" t="s">
        <v>328</v>
      </c>
      <c r="E7" s="27">
        <f>'Accretion Dilution'!C18+0.8</f>
        <v>2.070864543361437</v>
      </c>
      <c r="F7" s="27">
        <f>'Accretion Dilution'!C18+0.35</f>
        <v>1.6208645433614373</v>
      </c>
      <c r="G7" s="27">
        <f>'Accretion Dilution'!C18-0.05</f>
        <v>1.2208645433614371</v>
      </c>
    </row>
    <row r="8" spans="1:11" ht="15" thickBot="1" x14ac:dyDescent="0.35">
      <c r="A8" s="3" t="s">
        <v>312</v>
      </c>
      <c r="B8" s="27">
        <f>'Accretion Dilution'!C16</f>
        <v>21.160498179140454</v>
      </c>
    </row>
    <row r="9" spans="1:11" ht="15" thickTop="1" x14ac:dyDescent="0.3">
      <c r="A9" s="5" t="s">
        <v>313</v>
      </c>
      <c r="B9" s="28">
        <f>'Accretion Dilution'!C18</f>
        <v>1.2708645433614372</v>
      </c>
    </row>
    <row r="10" spans="1:11" x14ac:dyDescent="0.3">
      <c r="A10" s="6" t="s">
        <v>314</v>
      </c>
      <c r="B10" s="25">
        <f>'Accretion Dilution'!C19</f>
        <v>6.0058347048474833E-2</v>
      </c>
    </row>
    <row r="11" spans="1:11" x14ac:dyDescent="0.3">
      <c r="A11" s="6" t="s">
        <v>315</v>
      </c>
      <c r="B11" s="24">
        <f>'DCF Model'!B20</f>
        <v>44059.652486130639</v>
      </c>
      <c r="D11" s="1" t="s">
        <v>329</v>
      </c>
      <c r="E11" s="1" t="s">
        <v>330</v>
      </c>
      <c r="F11" s="1" t="s">
        <v>331</v>
      </c>
      <c r="G11" s="1" t="s">
        <v>332</v>
      </c>
    </row>
    <row r="12" spans="1:11" x14ac:dyDescent="0.3">
      <c r="A12" s="6" t="s">
        <v>316</v>
      </c>
      <c r="B12" s="29">
        <f>'DCF Model'!B22</f>
        <v>-0.32215919252106706</v>
      </c>
      <c r="D12" s="8" t="s">
        <v>333</v>
      </c>
      <c r="E12" s="30">
        <f>SUM('DCF Model'!B14:F14)+('DCF Model'!F11*9)/(1+9.5%)^5</f>
        <v>38672.595347252769</v>
      </c>
      <c r="F12" s="30">
        <f>SUM('DCF Model'!B14:F14)+('DCF Model'!F11*11)/(1+9.5%)^5</f>
        <v>45802.151197198582</v>
      </c>
      <c r="G12" s="30">
        <f>SUM('DCF Model'!B14:F14)+('DCF Model'!F11*13)/(1+9.5%)^5</f>
        <v>52931.707047144388</v>
      </c>
    </row>
    <row r="13" spans="1:11" x14ac:dyDescent="0.3">
      <c r="A13" s="6" t="s">
        <v>317</v>
      </c>
      <c r="B13" s="6">
        <f>'Closing Balance Sheet'!E32</f>
        <v>0</v>
      </c>
      <c r="D13" s="8" t="s">
        <v>334</v>
      </c>
      <c r="E13" s="30">
        <f>SUM('DCF Model'!B14:F14)+('DCF Model'!F11*9)/(1+10.5%)^5</f>
        <v>37246.914583651727</v>
      </c>
      <c r="F13" s="30">
        <f>'DCF Model'!B20</f>
        <v>44059.652486130639</v>
      </c>
      <c r="G13" s="30">
        <f>SUM('DCF Model'!B14:F14)+('DCF Model'!F11*13)/(1+10.5%)^5</f>
        <v>50872.39038860955</v>
      </c>
    </row>
    <row r="14" spans="1:11" x14ac:dyDescent="0.3">
      <c r="A14" s="6" t="s">
        <v>318</v>
      </c>
      <c r="B14" s="6">
        <f>'Pro Forma Model'!C26</f>
        <v>0</v>
      </c>
      <c r="D14" s="8" t="s">
        <v>335</v>
      </c>
      <c r="E14" s="30">
        <f>SUM('DCF Model'!B14:F14)+('DCF Model'!F11*9)/(1+11.5%)^5</f>
        <v>35896.586184925072</v>
      </c>
      <c r="F14" s="30">
        <f>SUM('DCF Model'!B14:F14)+('DCF Model'!F11*11)/(1+11.5%)^5</f>
        <v>42409.251109909179</v>
      </c>
      <c r="G14" s="30">
        <f>SUM('DCF Model'!B14:F14)+('DCF Model'!F11*13)/(1+11.5%)^5</f>
        <v>48921.916034893271</v>
      </c>
    </row>
    <row r="15" spans="1:11" x14ac:dyDescent="0.3">
      <c r="A15" s="6" t="s">
        <v>319</v>
      </c>
      <c r="B15" s="6" t="s">
        <v>363</v>
      </c>
    </row>
    <row r="16" spans="1:11" ht="15" thickBot="1" x14ac:dyDescent="0.35">
      <c r="A16" s="7" t="s">
        <v>320</v>
      </c>
      <c r="B16" s="7" t="s">
        <v>321</v>
      </c>
    </row>
    <row r="17" ht="15" thickTop="1" x14ac:dyDescent="0.3"/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B324F-1553-417B-8D3C-FEFD8481FE8B}">
  <dimension ref="A1:K19"/>
  <sheetViews>
    <sheetView showGridLines="0" workbookViewId="0">
      <selection sqref="A1:K1"/>
    </sheetView>
  </sheetViews>
  <sheetFormatPr defaultRowHeight="14.4" x14ac:dyDescent="0.3"/>
  <cols>
    <col min="1" max="1" width="40.77734375" style="14" customWidth="1"/>
    <col min="2" max="9" width="17.5546875" style="14" customWidth="1"/>
    <col min="10" max="11" width="17.5546875" style="3" customWidth="1"/>
  </cols>
  <sheetData>
    <row r="1" spans="1:11" x14ac:dyDescent="0.3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12" t="s">
        <v>66</v>
      </c>
      <c r="B2" s="12"/>
      <c r="C2" s="12"/>
      <c r="D2" s="12"/>
      <c r="E2" s="12"/>
      <c r="F2" s="12"/>
      <c r="G2" s="12"/>
      <c r="H2" s="12"/>
      <c r="I2" s="12"/>
      <c r="J2" s="2"/>
      <c r="K2" s="2"/>
    </row>
    <row r="4" spans="1:11" x14ac:dyDescent="0.3">
      <c r="A4" s="13" t="s">
        <v>67</v>
      </c>
      <c r="B4" s="13" t="s">
        <v>68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73</v>
      </c>
      <c r="H4" s="13" t="s">
        <v>74</v>
      </c>
      <c r="I4" s="13" t="s">
        <v>75</v>
      </c>
    </row>
    <row r="5" spans="1:11" ht="41.4" x14ac:dyDescent="0.3">
      <c r="A5" s="14" t="s">
        <v>76</v>
      </c>
      <c r="B5" s="14">
        <v>182447</v>
      </c>
      <c r="C5" s="14" t="s">
        <v>29</v>
      </c>
      <c r="D5" s="14" t="s">
        <v>77</v>
      </c>
      <c r="E5" s="14" t="s">
        <v>78</v>
      </c>
      <c r="F5" s="14" t="s">
        <v>79</v>
      </c>
      <c r="G5" s="14" t="s">
        <v>80</v>
      </c>
      <c r="H5" s="14" t="s">
        <v>81</v>
      </c>
      <c r="I5" s="15">
        <v>46189</v>
      </c>
    </row>
    <row r="6" spans="1:11" ht="41.4" x14ac:dyDescent="0.3">
      <c r="A6" s="14" t="s">
        <v>76</v>
      </c>
      <c r="B6" s="14">
        <v>177556</v>
      </c>
      <c r="C6" s="14" t="s">
        <v>29</v>
      </c>
      <c r="D6" s="14" t="s">
        <v>82</v>
      </c>
      <c r="E6" s="14" t="s">
        <v>78</v>
      </c>
      <c r="F6" s="14" t="s">
        <v>79</v>
      </c>
      <c r="G6" s="14" t="s">
        <v>80</v>
      </c>
      <c r="H6" s="14" t="s">
        <v>81</v>
      </c>
      <c r="I6" s="15">
        <v>46189</v>
      </c>
    </row>
    <row r="7" spans="1:11" ht="41.4" x14ac:dyDescent="0.3">
      <c r="A7" s="14" t="s">
        <v>83</v>
      </c>
      <c r="B7" s="14">
        <v>57048</v>
      </c>
      <c r="C7" s="14" t="s">
        <v>29</v>
      </c>
      <c r="D7" s="14" t="s">
        <v>77</v>
      </c>
      <c r="E7" s="14" t="s">
        <v>78</v>
      </c>
      <c r="F7" s="14" t="s">
        <v>79</v>
      </c>
      <c r="G7" s="14" t="s">
        <v>80</v>
      </c>
      <c r="H7" s="14" t="s">
        <v>81</v>
      </c>
      <c r="I7" s="15">
        <v>46189</v>
      </c>
    </row>
    <row r="8" spans="1:11" ht="41.4" x14ac:dyDescent="0.3">
      <c r="A8" s="14" t="s">
        <v>83</v>
      </c>
      <c r="B8" s="14">
        <v>58471</v>
      </c>
      <c r="C8" s="14" t="s">
        <v>29</v>
      </c>
      <c r="D8" s="14" t="s">
        <v>82</v>
      </c>
      <c r="E8" s="14" t="s">
        <v>78</v>
      </c>
      <c r="F8" s="14" t="s">
        <v>79</v>
      </c>
      <c r="G8" s="14" t="s">
        <v>80</v>
      </c>
      <c r="H8" s="14" t="s">
        <v>81</v>
      </c>
      <c r="I8" s="15">
        <v>46189</v>
      </c>
    </row>
    <row r="9" spans="1:11" ht="41.4" x14ac:dyDescent="0.3">
      <c r="A9" s="14" t="s">
        <v>84</v>
      </c>
      <c r="B9" s="14">
        <v>20.02</v>
      </c>
      <c r="C9" s="14" t="s">
        <v>25</v>
      </c>
      <c r="D9" s="14" t="s">
        <v>77</v>
      </c>
      <c r="E9" s="14" t="s">
        <v>78</v>
      </c>
      <c r="F9" s="14" t="s">
        <v>79</v>
      </c>
      <c r="G9" s="14" t="s">
        <v>80</v>
      </c>
      <c r="H9" s="14" t="s">
        <v>85</v>
      </c>
      <c r="I9" s="15">
        <v>46189</v>
      </c>
    </row>
    <row r="10" spans="1:11" ht="41.4" x14ac:dyDescent="0.3">
      <c r="A10" s="14" t="s">
        <v>86</v>
      </c>
      <c r="B10" s="14">
        <v>2781.5</v>
      </c>
      <c r="C10" s="14" t="s">
        <v>27</v>
      </c>
      <c r="D10" s="14" t="s">
        <v>77</v>
      </c>
      <c r="E10" s="14" t="s">
        <v>78</v>
      </c>
      <c r="F10" s="14" t="s">
        <v>79</v>
      </c>
      <c r="G10" s="14" t="s">
        <v>80</v>
      </c>
      <c r="H10" s="14" t="s">
        <v>87</v>
      </c>
      <c r="I10" s="15">
        <v>46189</v>
      </c>
    </row>
    <row r="11" spans="1:11" ht="27.6" x14ac:dyDescent="0.3">
      <c r="A11" s="14" t="s">
        <v>88</v>
      </c>
      <c r="B11" s="14">
        <v>4424900</v>
      </c>
      <c r="C11" s="14" t="s">
        <v>29</v>
      </c>
      <c r="D11" s="14" t="s">
        <v>77</v>
      </c>
      <c r="E11" s="14" t="s">
        <v>78</v>
      </c>
      <c r="F11" s="14" t="s">
        <v>79</v>
      </c>
      <c r="G11" s="14" t="s">
        <v>89</v>
      </c>
      <c r="H11" s="14" t="s">
        <v>90</v>
      </c>
      <c r="I11" s="15">
        <v>46189</v>
      </c>
    </row>
    <row r="12" spans="1:11" ht="27.6" x14ac:dyDescent="0.3">
      <c r="A12" s="14" t="s">
        <v>91</v>
      </c>
      <c r="B12" s="14">
        <v>4062462</v>
      </c>
      <c r="C12" s="14" t="s">
        <v>29</v>
      </c>
      <c r="D12" s="14" t="s">
        <v>77</v>
      </c>
      <c r="E12" s="14" t="s">
        <v>78</v>
      </c>
      <c r="F12" s="14" t="s">
        <v>79</v>
      </c>
      <c r="G12" s="14" t="s">
        <v>89</v>
      </c>
      <c r="H12" s="14" t="s">
        <v>90</v>
      </c>
      <c r="I12" s="15">
        <v>46189</v>
      </c>
    </row>
    <row r="13" spans="1:11" ht="27.6" x14ac:dyDescent="0.3">
      <c r="A13" s="14" t="s">
        <v>92</v>
      </c>
      <c r="B13" s="14">
        <v>362438</v>
      </c>
      <c r="C13" s="14" t="s">
        <v>29</v>
      </c>
      <c r="D13" s="14" t="s">
        <v>77</v>
      </c>
      <c r="E13" s="14" t="s">
        <v>78</v>
      </c>
      <c r="F13" s="14" t="s">
        <v>79</v>
      </c>
      <c r="G13" s="14" t="s">
        <v>89</v>
      </c>
      <c r="H13" s="14" t="s">
        <v>90</v>
      </c>
      <c r="I13" s="15">
        <v>46189</v>
      </c>
    </row>
    <row r="14" spans="1:11" ht="27.6" x14ac:dyDescent="0.3">
      <c r="A14" s="14" t="s">
        <v>93</v>
      </c>
      <c r="B14" s="14">
        <v>-147782</v>
      </c>
      <c r="C14" s="14" t="s">
        <v>29</v>
      </c>
      <c r="D14" s="14" t="s">
        <v>77</v>
      </c>
      <c r="E14" s="14" t="s">
        <v>78</v>
      </c>
      <c r="F14" s="14" t="s">
        <v>79</v>
      </c>
      <c r="G14" s="14" t="s">
        <v>94</v>
      </c>
      <c r="H14" s="14" t="s">
        <v>95</v>
      </c>
      <c r="I14" s="15">
        <v>46189</v>
      </c>
    </row>
    <row r="15" spans="1:11" ht="27.6" x14ac:dyDescent="0.3">
      <c r="A15" s="14" t="s">
        <v>96</v>
      </c>
      <c r="B15" s="14">
        <v>-265565</v>
      </c>
      <c r="C15" s="14" t="s">
        <v>29</v>
      </c>
      <c r="D15" s="14" t="s">
        <v>77</v>
      </c>
      <c r="E15" s="14" t="s">
        <v>78</v>
      </c>
      <c r="F15" s="14" t="s">
        <v>79</v>
      </c>
      <c r="G15" s="14" t="s">
        <v>94</v>
      </c>
      <c r="H15" s="14" t="s">
        <v>95</v>
      </c>
      <c r="I15" s="15">
        <v>46189</v>
      </c>
    </row>
    <row r="16" spans="1:11" ht="27.6" x14ac:dyDescent="0.3">
      <c r="A16" s="14" t="s">
        <v>97</v>
      </c>
      <c r="B16" s="14">
        <v>269533</v>
      </c>
      <c r="C16" s="14" t="s">
        <v>29</v>
      </c>
      <c r="D16" s="14" t="s">
        <v>77</v>
      </c>
      <c r="E16" s="14" t="s">
        <v>78</v>
      </c>
      <c r="F16" s="14" t="s">
        <v>79</v>
      </c>
      <c r="G16" s="14" t="s">
        <v>94</v>
      </c>
      <c r="H16" s="14" t="s">
        <v>95</v>
      </c>
      <c r="I16" s="15">
        <v>46189</v>
      </c>
    </row>
    <row r="17" spans="1:9" ht="27.6" x14ac:dyDescent="0.3">
      <c r="A17" s="14" t="s">
        <v>98</v>
      </c>
      <c r="B17" s="14">
        <v>319.39999999999998</v>
      </c>
      <c r="C17" s="14" t="s">
        <v>25</v>
      </c>
      <c r="D17" s="14" t="s">
        <v>99</v>
      </c>
      <c r="E17" s="14" t="s">
        <v>100</v>
      </c>
      <c r="F17" s="14" t="s">
        <v>101</v>
      </c>
      <c r="G17" s="14" t="s">
        <v>102</v>
      </c>
      <c r="H17" s="14" t="s">
        <v>103</v>
      </c>
      <c r="I17" s="15">
        <v>46189</v>
      </c>
    </row>
    <row r="18" spans="1:9" ht="27.6" x14ac:dyDescent="0.3">
      <c r="A18" s="14" t="s">
        <v>104</v>
      </c>
      <c r="B18" s="14" t="s">
        <v>105</v>
      </c>
      <c r="C18" s="14" t="s">
        <v>106</v>
      </c>
      <c r="D18" s="14" t="s">
        <v>107</v>
      </c>
      <c r="E18" s="14" t="s">
        <v>106</v>
      </c>
      <c r="F18" s="14" t="s">
        <v>108</v>
      </c>
      <c r="G18" s="14" t="s">
        <v>109</v>
      </c>
      <c r="H18" s="14" t="s">
        <v>110</v>
      </c>
      <c r="I18" s="15">
        <v>46189</v>
      </c>
    </row>
    <row r="19" spans="1:9" ht="27.6" x14ac:dyDescent="0.3">
      <c r="A19" s="14" t="s">
        <v>111</v>
      </c>
      <c r="B19" s="14" t="s">
        <v>105</v>
      </c>
      <c r="C19" s="14" t="s">
        <v>106</v>
      </c>
      <c r="D19" s="14" t="s">
        <v>112</v>
      </c>
      <c r="E19" s="14" t="s">
        <v>106</v>
      </c>
      <c r="F19" s="14" t="s">
        <v>113</v>
      </c>
      <c r="G19" s="14" t="s">
        <v>109</v>
      </c>
      <c r="H19" s="14" t="s">
        <v>114</v>
      </c>
      <c r="I19" s="15">
        <v>46189</v>
      </c>
    </row>
  </sheetData>
  <mergeCells count="1">
    <mergeCell ref="A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D894-4460-45EC-9081-BE5282B6B9FE}">
  <dimension ref="A1:K17"/>
  <sheetViews>
    <sheetView showGridLines="0" workbookViewId="0">
      <selection sqref="A1:K1"/>
    </sheetView>
  </sheetViews>
  <sheetFormatPr defaultRowHeight="14.4" x14ac:dyDescent="0.3"/>
  <cols>
    <col min="1" max="1" width="40.77734375" style="3" customWidth="1"/>
    <col min="2" max="11" width="17.5546875" style="3" customWidth="1"/>
  </cols>
  <sheetData>
    <row r="1" spans="1:11" x14ac:dyDescent="0.3">
      <c r="A1" s="31" t="s">
        <v>336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3">
      <c r="A2" s="3" t="s">
        <v>337</v>
      </c>
    </row>
    <row r="4" spans="1:11" x14ac:dyDescent="0.3">
      <c r="A4" s="1" t="s">
        <v>338</v>
      </c>
      <c r="B4" s="1" t="s">
        <v>339</v>
      </c>
      <c r="C4" s="1" t="s">
        <v>340</v>
      </c>
      <c r="D4" s="1" t="s">
        <v>341</v>
      </c>
    </row>
    <row r="5" spans="1:11" x14ac:dyDescent="0.3">
      <c r="A5" s="3" t="s">
        <v>342</v>
      </c>
      <c r="B5" s="3" t="s">
        <v>363</v>
      </c>
      <c r="C5" s="3">
        <f>'Closing Balance Sheet'!E32</f>
        <v>0</v>
      </c>
      <c r="D5" s="3" t="s">
        <v>351</v>
      </c>
    </row>
    <row r="6" spans="1:11" x14ac:dyDescent="0.3">
      <c r="A6" s="3" t="s">
        <v>343</v>
      </c>
      <c r="B6" s="3" t="s">
        <v>363</v>
      </c>
      <c r="C6" s="3">
        <f>'Pro Forma Model'!C26</f>
        <v>0</v>
      </c>
      <c r="D6" s="3" t="s">
        <v>352</v>
      </c>
    </row>
    <row r="7" spans="1:11" x14ac:dyDescent="0.3">
      <c r="A7" s="3" t="s">
        <v>344</v>
      </c>
      <c r="B7" s="3" t="s">
        <v>363</v>
      </c>
      <c r="C7" s="3">
        <f>'Pro Forma Model'!D26</f>
        <v>0</v>
      </c>
      <c r="D7" s="3" t="s">
        <v>353</v>
      </c>
    </row>
    <row r="8" spans="1:11" x14ac:dyDescent="0.3">
      <c r="A8" s="3" t="s">
        <v>345</v>
      </c>
      <c r="B8" s="3" t="s">
        <v>363</v>
      </c>
      <c r="C8" s="3">
        <f>'Pro Forma Model'!E26</f>
        <v>0</v>
      </c>
      <c r="D8" s="3" t="s">
        <v>354</v>
      </c>
    </row>
    <row r="9" spans="1:11" x14ac:dyDescent="0.3">
      <c r="A9" s="3" t="s">
        <v>346</v>
      </c>
      <c r="B9" s="3" t="s">
        <v>363</v>
      </c>
      <c r="C9" s="3">
        <f>'Closing Balance Sheet'!D14</f>
        <v>0</v>
      </c>
      <c r="D9" s="3" t="s">
        <v>355</v>
      </c>
    </row>
    <row r="10" spans="1:11" x14ac:dyDescent="0.3">
      <c r="A10" s="3" t="s">
        <v>347</v>
      </c>
      <c r="B10" s="3" t="s">
        <v>363</v>
      </c>
      <c r="C10" s="3">
        <f ca="1">'Target Model'!D29</f>
        <v>0</v>
      </c>
      <c r="D10" s="3" t="s">
        <v>356</v>
      </c>
    </row>
    <row r="11" spans="1:11" x14ac:dyDescent="0.3">
      <c r="A11" s="3" t="s">
        <v>348</v>
      </c>
      <c r="B11" s="3" t="s">
        <v>363</v>
      </c>
      <c r="C11" s="3">
        <f>'Acquirer Co Model'!C49</f>
        <v>0</v>
      </c>
      <c r="D11" s="3" t="s">
        <v>357</v>
      </c>
    </row>
    <row r="12" spans="1:11" x14ac:dyDescent="0.3">
      <c r="A12" s="3" t="s">
        <v>349</v>
      </c>
      <c r="B12" s="3" t="s">
        <v>363</v>
      </c>
      <c r="C12" s="27">
        <f>'Accretion Dilution'!C18</f>
        <v>1.2708645433614372</v>
      </c>
      <c r="D12" s="3" t="s">
        <v>358</v>
      </c>
    </row>
    <row r="13" spans="1:11" x14ac:dyDescent="0.3">
      <c r="A13" s="3" t="s">
        <v>350</v>
      </c>
      <c r="B13" s="3" t="s">
        <v>363</v>
      </c>
      <c r="C13" s="3">
        <f>'DCF Model'!B20</f>
        <v>44059.652486130639</v>
      </c>
      <c r="D13" s="3" t="s">
        <v>359</v>
      </c>
    </row>
    <row r="15" spans="1:11" ht="15" thickBot="1" x14ac:dyDescent="0.35"/>
    <row r="16" spans="1:11" ht="15.6" thickTop="1" thickBot="1" x14ac:dyDescent="0.35">
      <c r="A16" s="11" t="s">
        <v>360</v>
      </c>
      <c r="B16" s="11" t="s">
        <v>363</v>
      </c>
      <c r="C16" s="11"/>
      <c r="D16" s="11"/>
    </row>
    <row r="17" ht="15" thickTop="1" x14ac:dyDescent="0.3"/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Acquirer Co Model</vt:lpstr>
      <vt:lpstr>Target Model</vt:lpstr>
      <vt:lpstr>Support Schedules</vt:lpstr>
      <vt:lpstr>DCF Model</vt:lpstr>
      <vt:lpstr>Closing Balance Sheet</vt:lpstr>
      <vt:lpstr>Pro Forma Model</vt:lpstr>
      <vt:lpstr>Accretion Dilution</vt:lpstr>
      <vt:lpstr>Summary &amp; Sensitivity</vt:lpstr>
      <vt:lpstr>Sources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2026-06-16T05:35:42Z</dcterms:created>
  <dcterms:modified xsi:type="dcterms:W3CDTF">2026-06-20T11:46:30Z</dcterms:modified>
</cp:coreProperties>
</file>