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6bfef7e38da6c85/Documents/"/>
    </mc:Choice>
  </mc:AlternateContent>
  <xr:revisionPtr revIDLastSave="0" documentId="8_{9D85F3FD-34D6-4999-BA8F-68AA3402BC20}" xr6:coauthVersionLast="47" xr6:coauthVersionMax="47" xr10:uidLastSave="{00000000-0000-0000-0000-000000000000}"/>
  <bookViews>
    <workbookView xWindow="-108" yWindow="-108" windowWidth="23256" windowHeight="12456" activeTab="5" xr2:uid="{3AF4D1AC-59B2-4ECC-BDAB-B2E8433A588C}"/>
  </bookViews>
  <sheets>
    <sheet name="Assumptions" sheetId="1" r:id="rId1"/>
    <sheet name="Income Statement" sheetId="2" r:id="rId2"/>
    <sheet name="Balance Sheet" sheetId="3" r:id="rId3"/>
    <sheet name="Cash Flow" sheetId="4" r:id="rId4"/>
    <sheet name="Checks" sheetId="5" r:id="rId5"/>
    <sheet name="Sources" sheetId="6" r:id="rId6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6" i="4" l="1"/>
  <c r="G16" i="4"/>
  <c r="F16" i="4"/>
  <c r="E16" i="4"/>
  <c r="D16" i="4"/>
  <c r="C16" i="4"/>
  <c r="B16" i="4"/>
  <c r="H24" i="3"/>
  <c r="G24" i="3"/>
  <c r="F24" i="3"/>
  <c r="E24" i="3"/>
  <c r="D24" i="3"/>
  <c r="C24" i="3"/>
  <c r="B24" i="3"/>
  <c r="B7" i="4"/>
  <c r="C7" i="4"/>
  <c r="B11" i="4"/>
  <c r="C11" i="4"/>
  <c r="B12" i="4"/>
  <c r="C12" i="4"/>
  <c r="C13" i="4" s="1"/>
  <c r="C18" i="4" s="1"/>
  <c r="B14" i="4"/>
  <c r="C14" i="4"/>
  <c r="B17" i="4"/>
  <c r="C17" i="4"/>
  <c r="C15" i="4" s="1"/>
  <c r="D21" i="3"/>
  <c r="E21" i="3" s="1"/>
  <c r="F21" i="3" s="1"/>
  <c r="B7" i="3"/>
  <c r="C7" i="3"/>
  <c r="B8" i="3"/>
  <c r="B11" i="3" s="1"/>
  <c r="B15" i="3" s="1"/>
  <c r="C8" i="3"/>
  <c r="B9" i="3"/>
  <c r="C9" i="3"/>
  <c r="B10" i="3"/>
  <c r="C10" i="3"/>
  <c r="C11" i="3"/>
  <c r="B12" i="3"/>
  <c r="C12" i="3"/>
  <c r="B13" i="3"/>
  <c r="C13" i="3"/>
  <c r="B14" i="3"/>
  <c r="C14" i="3"/>
  <c r="C15" i="3"/>
  <c r="B16" i="3"/>
  <c r="C16" i="3"/>
  <c r="B17" i="3"/>
  <c r="C17" i="3"/>
  <c r="C18" i="3"/>
  <c r="C20" i="3" s="1"/>
  <c r="B19" i="3"/>
  <c r="C19" i="3"/>
  <c r="B21" i="3"/>
  <c r="C21" i="3"/>
  <c r="B22" i="3"/>
  <c r="C22" i="3"/>
  <c r="C23" i="3" s="1"/>
  <c r="B23" i="3"/>
  <c r="D17" i="2"/>
  <c r="E17" i="2"/>
  <c r="F17" i="2"/>
  <c r="G17" i="2"/>
  <c r="H17" i="2"/>
  <c r="B7" i="2"/>
  <c r="B10" i="2" s="1"/>
  <c r="B11" i="2" s="1"/>
  <c r="C7" i="2"/>
  <c r="D7" i="2" s="1"/>
  <c r="B9" i="2"/>
  <c r="C9" i="2"/>
  <c r="C10" i="2"/>
  <c r="C11" i="2" s="1"/>
  <c r="B12" i="2"/>
  <c r="B9" i="4" s="1"/>
  <c r="C12" i="2"/>
  <c r="C9" i="4" s="1"/>
  <c r="B15" i="2"/>
  <c r="C15" i="2"/>
  <c r="B16" i="2"/>
  <c r="C16" i="2"/>
  <c r="B17" i="2"/>
  <c r="C17" i="2"/>
  <c r="B19" i="2"/>
  <c r="C19" i="2"/>
  <c r="B21" i="2"/>
  <c r="B8" i="4" s="1"/>
  <c r="C21" i="2"/>
  <c r="C22" i="2" s="1"/>
  <c r="E7" i="2" l="1"/>
  <c r="D10" i="3"/>
  <c r="D16" i="3"/>
  <c r="D18" i="3" s="1"/>
  <c r="D15" i="2"/>
  <c r="D12" i="3"/>
  <c r="D7" i="3"/>
  <c r="D17" i="4" s="1"/>
  <c r="D13" i="3"/>
  <c r="D9" i="3"/>
  <c r="D10" i="4" s="1"/>
  <c r="D14" i="3"/>
  <c r="D17" i="3"/>
  <c r="D19" i="3"/>
  <c r="B10" i="4"/>
  <c r="C8" i="4"/>
  <c r="C10" i="4" s="1"/>
  <c r="B22" i="2"/>
  <c r="C8" i="2"/>
  <c r="C25" i="3"/>
  <c r="C13" i="2"/>
  <c r="C14" i="2" s="1"/>
  <c r="B18" i="3"/>
  <c r="B20" i="3" s="1"/>
  <c r="B25" i="3" s="1"/>
  <c r="B15" i="4"/>
  <c r="B13" i="4"/>
  <c r="B18" i="4" s="1"/>
  <c r="D7" i="4"/>
  <c r="E7" i="4"/>
  <c r="G21" i="3"/>
  <c r="E15" i="2"/>
  <c r="F7" i="2"/>
  <c r="E8" i="2"/>
  <c r="E12" i="2"/>
  <c r="E9" i="4" s="1"/>
  <c r="E16" i="2"/>
  <c r="E9" i="2"/>
  <c r="E10" i="2" s="1"/>
  <c r="D9" i="2"/>
  <c r="D10" i="2" s="1"/>
  <c r="D16" i="2"/>
  <c r="D12" i="2"/>
  <c r="D9" i="4" s="1"/>
  <c r="D12" i="4" s="1"/>
  <c r="D8" i="2"/>
  <c r="C18" i="2"/>
  <c r="C20" i="2" s="1"/>
  <c r="B13" i="2"/>
  <c r="F7" i="3" l="1"/>
  <c r="F17" i="4" s="1"/>
  <c r="G7" i="4" s="1"/>
  <c r="F13" i="3"/>
  <c r="F9" i="3"/>
  <c r="F10" i="3"/>
  <c r="F12" i="3"/>
  <c r="F17" i="3"/>
  <c r="F19" i="3"/>
  <c r="F14" i="3"/>
  <c r="F16" i="3"/>
  <c r="D20" i="3"/>
  <c r="E9" i="3"/>
  <c r="E10" i="4" s="1"/>
  <c r="E14" i="3"/>
  <c r="E16" i="3"/>
  <c r="E17" i="3"/>
  <c r="E7" i="3"/>
  <c r="E17" i="4" s="1"/>
  <c r="F7" i="4" s="1"/>
  <c r="E13" i="3"/>
  <c r="E10" i="3"/>
  <c r="E12" i="3"/>
  <c r="E12" i="4" s="1"/>
  <c r="E19" i="3"/>
  <c r="H21" i="3"/>
  <c r="D11" i="2"/>
  <c r="D13" i="2"/>
  <c r="E11" i="2"/>
  <c r="E13" i="2"/>
  <c r="F9" i="2"/>
  <c r="F10" i="2" s="1"/>
  <c r="F15" i="2"/>
  <c r="G7" i="2"/>
  <c r="F8" i="2"/>
  <c r="F12" i="2"/>
  <c r="F9" i="4" s="1"/>
  <c r="F16" i="2"/>
  <c r="B18" i="2"/>
  <c r="B20" i="2" s="1"/>
  <c r="B14" i="2"/>
  <c r="F10" i="4" l="1"/>
  <c r="E18" i="3"/>
  <c r="E20" i="3" s="1"/>
  <c r="G12" i="3"/>
  <c r="G17" i="3"/>
  <c r="G19" i="3"/>
  <c r="G7" i="3"/>
  <c r="G17" i="4" s="1"/>
  <c r="H7" i="4" s="1"/>
  <c r="G13" i="3"/>
  <c r="G14" i="3"/>
  <c r="G10" i="3"/>
  <c r="G16" i="3"/>
  <c r="G18" i="3" s="1"/>
  <c r="G20" i="3" s="1"/>
  <c r="G9" i="3"/>
  <c r="F18" i="3"/>
  <c r="F20" i="3" s="1"/>
  <c r="F12" i="4"/>
  <c r="F13" i="2"/>
  <c r="F11" i="2"/>
  <c r="H7" i="2"/>
  <c r="G8" i="2"/>
  <c r="G12" i="2"/>
  <c r="G9" i="4" s="1"/>
  <c r="G12" i="4" s="1"/>
  <c r="G9" i="2"/>
  <c r="G10" i="2"/>
  <c r="G16" i="2"/>
  <c r="G15" i="2"/>
  <c r="E14" i="2"/>
  <c r="E18" i="2"/>
  <c r="D14" i="2"/>
  <c r="D18" i="2"/>
  <c r="H10" i="3" l="1"/>
  <c r="H16" i="3"/>
  <c r="H12" i="3"/>
  <c r="H17" i="3"/>
  <c r="H9" i="3"/>
  <c r="H14" i="3"/>
  <c r="H19" i="3"/>
  <c r="H7" i="3"/>
  <c r="H17" i="4" s="1"/>
  <c r="H13" i="3"/>
  <c r="G10" i="4"/>
  <c r="E19" i="2"/>
  <c r="E20" i="2" s="1"/>
  <c r="E21" i="2"/>
  <c r="G13" i="2"/>
  <c r="G11" i="2"/>
  <c r="H8" i="2"/>
  <c r="H12" i="2"/>
  <c r="H9" i="4" s="1"/>
  <c r="H16" i="2"/>
  <c r="H9" i="2"/>
  <c r="H10" i="2" s="1"/>
  <c r="H15" i="2"/>
  <c r="D19" i="2"/>
  <c r="D20" i="2" s="1"/>
  <c r="F14" i="2"/>
  <c r="F18" i="2"/>
  <c r="H12" i="4" l="1"/>
  <c r="E22" i="2"/>
  <c r="E8" i="4"/>
  <c r="H18" i="3"/>
  <c r="H20" i="3" s="1"/>
  <c r="H10" i="4"/>
  <c r="H11" i="2"/>
  <c r="H13" i="2"/>
  <c r="G14" i="2"/>
  <c r="G18" i="2"/>
  <c r="D21" i="2"/>
  <c r="F19" i="2"/>
  <c r="F20" i="2" s="1"/>
  <c r="E14" i="4" l="1"/>
  <c r="E11" i="4"/>
  <c r="D22" i="2"/>
  <c r="D8" i="4"/>
  <c r="F21" i="2"/>
  <c r="G19" i="2"/>
  <c r="G20" i="2" s="1"/>
  <c r="H14" i="2"/>
  <c r="H18" i="2"/>
  <c r="D11" i="4" l="1"/>
  <c r="D14" i="4"/>
  <c r="D22" i="3" s="1"/>
  <c r="G21" i="2"/>
  <c r="E13" i="4"/>
  <c r="E15" i="4"/>
  <c r="F22" i="2"/>
  <c r="F8" i="4"/>
  <c r="H19" i="2"/>
  <c r="H20" i="2" s="1"/>
  <c r="G22" i="2" l="1"/>
  <c r="G8" i="4"/>
  <c r="F14" i="4"/>
  <c r="F11" i="4"/>
  <c r="E22" i="3"/>
  <c r="D23" i="3"/>
  <c r="D8" i="3"/>
  <c r="D11" i="3" s="1"/>
  <c r="D15" i="3" s="1"/>
  <c r="D25" i="3" s="1"/>
  <c r="E18" i="4"/>
  <c r="D15" i="4"/>
  <c r="D13" i="4"/>
  <c r="D18" i="4" s="1"/>
  <c r="H21" i="2"/>
  <c r="F13" i="4" l="1"/>
  <c r="F15" i="4"/>
  <c r="F18" i="4" s="1"/>
  <c r="H22" i="2"/>
  <c r="H8" i="4"/>
  <c r="G14" i="4"/>
  <c r="G11" i="4"/>
  <c r="F22" i="3"/>
  <c r="E23" i="3"/>
  <c r="E8" i="3" s="1"/>
  <c r="E11" i="3" s="1"/>
  <c r="E15" i="3" s="1"/>
  <c r="E25" i="3" s="1"/>
  <c r="H11" i="4" l="1"/>
  <c r="H14" i="4"/>
  <c r="G22" i="3"/>
  <c r="F23" i="3"/>
  <c r="F8" i="3" s="1"/>
  <c r="F11" i="3" s="1"/>
  <c r="F15" i="3" s="1"/>
  <c r="F25" i="3" s="1"/>
  <c r="G13" i="4"/>
  <c r="G15" i="4"/>
  <c r="H22" i="3" l="1"/>
  <c r="G23" i="3"/>
  <c r="G8" i="3" s="1"/>
  <c r="G11" i="3" s="1"/>
  <c r="G15" i="3" s="1"/>
  <c r="G25" i="3" s="1"/>
  <c r="G18" i="4"/>
  <c r="H13" i="4"/>
  <c r="H18" i="4" s="1"/>
  <c r="H15" i="4"/>
  <c r="B5" i="5" l="1" a="1"/>
  <c r="B5" i="5" s="1"/>
  <c r="C5" i="5" a="1"/>
  <c r="C5" i="5" s="1"/>
  <c r="H23" i="3"/>
  <c r="H8" i="3"/>
  <c r="H11" i="3" s="1"/>
  <c r="H15" i="3" s="1"/>
  <c r="H25" i="3" s="1"/>
  <c r="B4" i="5" l="1" a="1"/>
  <c r="B4" i="5" s="1"/>
  <c r="C4" i="5" a="1"/>
  <c r="C4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Prashanth K</author>
  </authors>
  <commentList>
    <comment ref="B19" authorId="0" shapeId="0" xr:uid="{F671EE5E-C30A-455A-ADF3-30091CA928E2}">
      <text>
        <r>
          <rPr>
            <b/>
            <sz val="9"/>
            <color indexed="81"/>
            <rFont val="Tahoma"/>
            <charset val="1"/>
          </rPr>
          <t>Prashanth K:</t>
        </r>
        <r>
          <rPr>
            <sz val="9"/>
            <color indexed="81"/>
            <rFont val="Tahoma"/>
            <charset val="1"/>
          </rPr>
          <t xml:space="preserve">
Adjusted simplified other current assets plug so FY25 balance sheet balances within the summarized model categories.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<sst xmlns="http://schemas.openxmlformats.org/spreadsheetml/2006/main" count="221" uniqueCount="127">
  <si>
    <t>TCS 3-Statement Financial Model</t>
  </si>
  <si>
    <t>Currency: INR Crores | Fiscal year ending March 31 | 2 years actual + 5 years forecast</t>
  </si>
  <si>
    <t>Period</t>
  </si>
  <si>
    <t>FY25A</t>
  </si>
  <si>
    <t>FY26A</t>
  </si>
  <si>
    <t>FY27E</t>
  </si>
  <si>
    <t>FY28E</t>
  </si>
  <si>
    <t>FY29E</t>
  </si>
  <si>
    <t>FY30E</t>
  </si>
  <si>
    <t>FY31E</t>
  </si>
  <si>
    <t>Status</t>
  </si>
  <si>
    <t>Actual</t>
  </si>
  <si>
    <t>Forecast</t>
  </si>
  <si>
    <t>Historical Inputs</t>
  </si>
  <si>
    <t>Revenue from operations</t>
  </si>
  <si>
    <t>Operating expenses excl. D&amp;A</t>
  </si>
  <si>
    <t>Depreciation &amp; amortization</t>
  </si>
  <si>
    <t>Other income</t>
  </si>
  <si>
    <t>Finance cost</t>
  </si>
  <si>
    <t>Exceptional items</t>
  </si>
  <si>
    <t>Tax expense</t>
  </si>
  <si>
    <t>Net income / PAT</t>
  </si>
  <si>
    <t>Cash &amp; bank balances</t>
  </si>
  <si>
    <t>Current investments</t>
  </si>
  <si>
    <t>Trade receivables</t>
  </si>
  <si>
    <t>Other current assets</t>
  </si>
  <si>
    <t>PP&amp;E / ROU assets, net</t>
  </si>
  <si>
    <t>Goodwill &amp; intangibles</t>
  </si>
  <si>
    <t>Other non-current assets</t>
  </si>
  <si>
    <t>Trade payables</t>
  </si>
  <si>
    <t>Other current liabilities</t>
  </si>
  <si>
    <t>Other non-current liabilities</t>
  </si>
  <si>
    <t>Share capital</t>
  </si>
  <si>
    <t>Other equity &amp; NCI</t>
  </si>
  <si>
    <t>Forecast Assumptions</t>
  </si>
  <si>
    <t>Revenue growth</t>
  </si>
  <si>
    <t>EBITDA margin</t>
  </si>
  <si>
    <t>D&amp;A % of revenue</t>
  </si>
  <si>
    <t>Other income % of revenue</t>
  </si>
  <si>
    <t>Finance cost % of revenue</t>
  </si>
  <si>
    <t>Tax rate</t>
  </si>
  <si>
    <t>Dividend payout % of net income</t>
  </si>
  <si>
    <t>Cash &amp; bank balances % of revenue</t>
  </si>
  <si>
    <t>Receivable days</t>
  </si>
  <si>
    <t>Other current assets % of revenue</t>
  </si>
  <si>
    <t>PP&amp;E / ROU assets % of revenue</t>
  </si>
  <si>
    <t>Goodwill &amp; intangibles % of revenue</t>
  </si>
  <si>
    <t>Other non-current assets % of revenue</t>
  </si>
  <si>
    <t>Trade payable days</t>
  </si>
  <si>
    <t>Other current liabilities % of revenue</t>
  </si>
  <si>
    <t>Other non-current liabilities % of revenue</t>
  </si>
  <si>
    <t>Historical Cash Flow Inputs</t>
  </si>
  <si>
    <t>Beginning cash &amp; bank balances</t>
  </si>
  <si>
    <t>Cash from operating activities</t>
  </si>
  <si>
    <t>Capital expenditure</t>
  </si>
  <si>
    <t>Dividends paid</t>
  </si>
  <si>
    <t>Ending cash &amp; bank balances</t>
  </si>
  <si>
    <t>TCS Income Statement</t>
  </si>
  <si>
    <t>INR Crores, fiscal year ending March 31</t>
  </si>
  <si>
    <t>EBITDA</t>
  </si>
  <si>
    <t>EBIT</t>
  </si>
  <si>
    <t>EBIT margin</t>
  </si>
  <si>
    <t>Profit before tax</t>
  </si>
  <si>
    <t>Net income margin</t>
  </si>
  <si>
    <t>TCS Balance Sheet</t>
  </si>
  <si>
    <t>Current investments / surplus funds</t>
  </si>
  <si>
    <t>Total current assets</t>
  </si>
  <si>
    <t>Total assets</t>
  </si>
  <si>
    <t>Total current liabilities</t>
  </si>
  <si>
    <t>Total liabilities</t>
  </si>
  <si>
    <t>Total equity</t>
  </si>
  <si>
    <t>Total liabilities &amp; equity</t>
  </si>
  <si>
    <t>Balance check</t>
  </si>
  <si>
    <t>TCS Cash Flow Statement</t>
  </si>
  <si>
    <t>Working capital &amp; other operating items</t>
  </si>
  <si>
    <t>Free cash flow</t>
  </si>
  <si>
    <t>Net investments / other financing</t>
  </si>
  <si>
    <t>Net change in cash</t>
  </si>
  <si>
    <t>Cash roll-forward check</t>
  </si>
  <si>
    <t>Model Checks</t>
  </si>
  <si>
    <t>Check</t>
  </si>
  <si>
    <t>Delta</t>
  </si>
  <si>
    <t>Location</t>
  </si>
  <si>
    <t>Balance sheet balances</t>
  </si>
  <si>
    <t>Balance Sheet!B25:H25</t>
  </si>
  <si>
    <t>Cash roll-forward ties</t>
  </si>
  <si>
    <t>Cash Flow!B18:H18</t>
  </si>
  <si>
    <t>Note</t>
  </si>
  <si>
    <t>Current investments / surplus funds is the balancing asset in forecast years to avoid circularity while cash and retained earnings remain linked.</t>
  </si>
  <si>
    <t>Sources &amp; Assumptions Log</t>
  </si>
  <si>
    <t>Item</t>
  </si>
  <si>
    <t>Value</t>
  </si>
  <si>
    <t>Units</t>
  </si>
  <si>
    <t>Period / As-of</t>
  </si>
  <si>
    <t>Source Name</t>
  </si>
  <si>
    <t>Ref</t>
  </si>
  <si>
    <t>Notes</t>
  </si>
  <si>
    <t>Accessed</t>
  </si>
  <si>
    <t>Model Location</t>
  </si>
  <si>
    <t>INR Cr</t>
  </si>
  <si>
    <t>FY26</t>
  </si>
  <si>
    <t>TCS Annual Report 2025-26</t>
  </si>
  <si>
    <t>Financial highlights</t>
  </si>
  <si>
    <t>Actual revenue; FY25 also sourced from same table</t>
  </si>
  <si>
    <t>Assumptions!B8:C8</t>
  </si>
  <si>
    <t>EBIT / operating profit</t>
  </si>
  <si>
    <t>TCS Annual Report / public financial data</t>
  </si>
  <si>
    <t>Profitability / operating profit</t>
  </si>
  <si>
    <t>Used with EBITDA to derive simplified D&amp;A</t>
  </si>
  <si>
    <t>Income Statement!B13:C13</t>
  </si>
  <si>
    <t>Balance sheet categories</t>
  </si>
  <si>
    <t>Public consolidated balance sheet data</t>
  </si>
  <si>
    <t>Total assets / total equity</t>
  </si>
  <si>
    <t>Used to cross-check simplified BS categories</t>
  </si>
  <si>
    <t>Balance Sheet!B7:C25</t>
  </si>
  <si>
    <t>Cash flow actuals</t>
  </si>
  <si>
    <t>Public consolidated cash flow data</t>
  </si>
  <si>
    <t>Simplified CFS uses CFO, capex and dividends</t>
  </si>
  <si>
    <t>Cash Flow!B7:C18</t>
  </si>
  <si>
    <t>Forecast assumptions</t>
  </si>
  <si>
    <t>Base case</t>
  </si>
  <si>
    <t>n/a</t>
  </si>
  <si>
    <t>FY27E-FY31E</t>
  </si>
  <si>
    <t>Analyst assumption</t>
  </si>
  <si>
    <t>Editable forecast drivers in blue</t>
  </si>
  <si>
    <t>Assumptions!D30:H45</t>
  </si>
  <si>
    <t>n.m.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</si>
</sst>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</font>
    <font>
      <sz val="11"/>
      <color theme="1"/>
      <name val="Calibri"/>
    </font>
    <font>
      <b/>
      <sz val="14"/>
      <color rgb="FFFFFFFF"/>
      <name val="Calibri"/>
    </font>
    <font>
      <i/>
      <sz val="11"/>
      <color rgb="FF666666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FFFFFF"/>
      <name val="Calibri"/>
    </font>
    <font>
      <sz val="11"/>
      <color rgb="FF0070C0"/>
      <name val="Calibri"/>
    </font>
    <font>
      <sz val="11"/>
      <color rgb="FF008000"/>
      <name val="Calibri"/>
    </font>
    <font>
      <b/>
      <sz val="11"/>
      <color theme="1"/>
      <name val="Calibri"/>
    </font>
    <font>
      <b/>
      <sz val="11"/>
      <color rgb="FF008000"/>
      <name val="Calibri"/>
    </font>
    <font>
      <b/>
      <sz val="11"/>
      <color rgb="FFC00000"/>
      <name val="Calibri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1D2330"/>
        <bgColor indexed="64"/>
      </patternFill>
    </fill>
    <fill>
      <patternFill patternType="solid">
        <fgColor rgb="FFE2E3E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808080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4" fontId="1" fillId="0" borderId="0" xfId="0" applyNumberFormat="1" applyFont="1" applyAlignment="1">
      <alignment horizontal="right"/>
    </xf>
    <xf numFmtId="0" fontId="2" fillId="2" borderId="0" xfId="0" applyFont="1" applyFill="1"/>
    <xf numFmtId="0" fontId="2" fillId="2" borderId="0" xfId="0" applyFont="1" applyFill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right"/>
    </xf>
    <xf numFmtId="0" fontId="5" fillId="3" borderId="0" xfId="0" applyFont="1" applyFill="1"/>
    <xf numFmtId="0" fontId="5" fillId="3" borderId="0" xfId="0" applyFont="1" applyFill="1" applyAlignment="1">
      <alignment horizontal="right"/>
    </xf>
    <xf numFmtId="0" fontId="6" fillId="2" borderId="0" xfId="0" applyFont="1" applyFill="1"/>
    <xf numFmtId="0" fontId="6" fillId="2" borderId="0" xfId="0" applyFont="1" applyFill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9" fillId="0" borderId="1" xfId="0" applyFont="1" applyBorder="1"/>
    <xf numFmtId="0" fontId="5" fillId="0" borderId="1" xfId="0" applyFont="1" applyBorder="1" applyAlignment="1">
      <alignment horizontal="right"/>
    </xf>
    <xf numFmtId="0" fontId="10" fillId="0" borderId="1" xfId="0" applyFont="1" applyBorder="1" applyAlignment="1">
      <alignment horizontal="right"/>
    </xf>
    <xf numFmtId="0" fontId="9" fillId="0" borderId="0" xfId="0" applyFont="1" applyAlignment="1">
      <alignment horizontal="right"/>
    </xf>
    <xf numFmtId="0" fontId="9" fillId="0" borderId="0" xfId="0" applyFont="1"/>
    <xf numFmtId="0" fontId="9" fillId="0" borderId="1" xfId="0" applyFont="1" applyBorder="1" applyAlignment="1">
      <alignment horizontal="right"/>
    </xf>
    <xf numFmtId="0" fontId="11" fillId="0" borderId="0" xfId="0" applyFont="1"/>
    <xf numFmtId="0" fontId="11" fillId="0" borderId="0" xfId="0" applyFont="1" applyAlignment="1">
      <alignment horizontal="right"/>
    </xf>
    <xf numFmtId="0" fontId="11" fillId="0" borderId="1" xfId="0" applyFont="1" applyBorder="1"/>
    <xf numFmtId="0" fontId="11" fillId="0" borderId="1" xfId="0" applyFont="1" applyBorder="1" applyAlignment="1">
      <alignment horizontal="right"/>
    </xf>
    <xf numFmtId="0" fontId="9" fillId="3" borderId="0" xfId="0" applyFont="1" applyFill="1"/>
    <xf numFmtId="0" fontId="9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3999FEA-2C08-4368-ABBA-662CC0F5D378}">
  <we:reference id="wa200010215" version="2.0.0.0" store="en-US" storeType="OMEX"/>
  <we:alternateReferences>
    <we:reference id="wa200010215" version="2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F875C-03CA-4288-ADEF-80D40CB968C8}">
  <dimension ref="A1:Z200"/>
  <sheetViews>
    <sheetView topLeftCell="A35" workbookViewId="0"/>
  </sheetViews>
  <sheetFormatPr defaultRowHeight="14.4" x14ac:dyDescent="0.3"/>
  <cols>
    <col min="1" max="1" width="40.77734375" customWidth="1"/>
    <col min="2" max="8" width="17.5546875" style="3" customWidth="1"/>
  </cols>
  <sheetData>
    <row r="1" spans="1:26" ht="18" x14ac:dyDescent="0.35">
      <c r="A1" s="5" t="s">
        <v>0</v>
      </c>
      <c r="B1" s="6"/>
      <c r="C1" s="6"/>
      <c r="D1" s="6"/>
      <c r="E1" s="6"/>
      <c r="F1" s="6"/>
      <c r="G1" s="6"/>
      <c r="H1" s="6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7" t="s">
        <v>1</v>
      </c>
      <c r="B2" s="8"/>
      <c r="C2" s="8"/>
      <c r="D2" s="8"/>
      <c r="E2" s="8"/>
      <c r="F2" s="8"/>
      <c r="G2" s="8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9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9" t="s">
        <v>10</v>
      </c>
      <c r="B5" s="10" t="s">
        <v>11</v>
      </c>
      <c r="C5" s="10" t="s">
        <v>11</v>
      </c>
      <c r="D5" s="10" t="s">
        <v>12</v>
      </c>
      <c r="E5" s="10" t="s">
        <v>12</v>
      </c>
      <c r="F5" s="10" t="s">
        <v>12</v>
      </c>
      <c r="G5" s="10" t="s">
        <v>12</v>
      </c>
      <c r="H5" s="10" t="s">
        <v>12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2"/>
      <c r="C6" s="2"/>
      <c r="D6" s="2"/>
      <c r="E6" s="2"/>
      <c r="F6" s="2"/>
      <c r="G6" s="2"/>
      <c r="H6" s="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1" t="s">
        <v>13</v>
      </c>
      <c r="B7" s="12"/>
      <c r="C7" s="12"/>
      <c r="D7" s="12"/>
      <c r="E7" s="12"/>
      <c r="F7" s="12"/>
      <c r="G7" s="12"/>
      <c r="H7" s="1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 t="s">
        <v>14</v>
      </c>
      <c r="B8" s="13">
        <v>255324</v>
      </c>
      <c r="C8" s="13">
        <v>267021</v>
      </c>
      <c r="D8" s="2"/>
      <c r="E8" s="2"/>
      <c r="F8" s="2"/>
      <c r="G8" s="2"/>
      <c r="H8" s="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 t="s">
        <v>15</v>
      </c>
      <c r="B9" s="13">
        <v>187917</v>
      </c>
      <c r="C9" s="13">
        <v>194623</v>
      </c>
      <c r="D9" s="2"/>
      <c r="E9" s="2"/>
      <c r="F9" s="2"/>
      <c r="G9" s="2"/>
      <c r="H9" s="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 t="s">
        <v>16</v>
      </c>
      <c r="B10" s="13">
        <v>5242</v>
      </c>
      <c r="C10" s="13">
        <v>5560</v>
      </c>
      <c r="D10" s="2"/>
      <c r="E10" s="2"/>
      <c r="F10" s="2"/>
      <c r="G10" s="2"/>
      <c r="H10" s="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 t="s">
        <v>17</v>
      </c>
      <c r="B11" s="13">
        <v>3962</v>
      </c>
      <c r="C11" s="13">
        <v>4402</v>
      </c>
      <c r="D11" s="2"/>
      <c r="E11" s="2"/>
      <c r="F11" s="2"/>
      <c r="G11" s="2"/>
      <c r="H11" s="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3">
      <c r="A12" s="1" t="s">
        <v>18</v>
      </c>
      <c r="B12" s="13">
        <v>796</v>
      </c>
      <c r="C12" s="13">
        <v>1227</v>
      </c>
      <c r="D12" s="2"/>
      <c r="E12" s="2"/>
      <c r="F12" s="2"/>
      <c r="G12" s="2"/>
      <c r="H12" s="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3">
      <c r="A13" s="1" t="s">
        <v>19</v>
      </c>
      <c r="B13" s="13">
        <v>0</v>
      </c>
      <c r="C13" s="13">
        <v>4526</v>
      </c>
      <c r="D13" s="2"/>
      <c r="E13" s="2"/>
      <c r="F13" s="2"/>
      <c r="G13" s="2"/>
      <c r="H13" s="2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3">
      <c r="A14" s="1" t="s">
        <v>20</v>
      </c>
      <c r="B14" s="13">
        <v>16534</v>
      </c>
      <c r="C14" s="13">
        <v>16033</v>
      </c>
      <c r="D14" s="2"/>
      <c r="E14" s="2"/>
      <c r="F14" s="2"/>
      <c r="G14" s="2"/>
      <c r="H14" s="2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3">
      <c r="A15" s="1" t="s">
        <v>21</v>
      </c>
      <c r="B15" s="13">
        <v>48797</v>
      </c>
      <c r="C15" s="13">
        <v>49454</v>
      </c>
      <c r="D15" s="2"/>
      <c r="E15" s="2"/>
      <c r="F15" s="2"/>
      <c r="G15" s="2"/>
      <c r="H15" s="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3">
      <c r="A16" s="1" t="s">
        <v>22</v>
      </c>
      <c r="B16" s="13">
        <v>15463</v>
      </c>
      <c r="C16" s="13">
        <v>12908</v>
      </c>
      <c r="D16" s="2"/>
      <c r="E16" s="2"/>
      <c r="F16" s="2"/>
      <c r="G16" s="2"/>
      <c r="H16" s="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3">
      <c r="A17" s="1" t="s">
        <v>23</v>
      </c>
      <c r="B17" s="13">
        <v>30964</v>
      </c>
      <c r="C17" s="13">
        <v>33988</v>
      </c>
      <c r="D17" s="2"/>
      <c r="E17" s="2"/>
      <c r="F17" s="2"/>
      <c r="G17" s="2"/>
      <c r="H17" s="2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3">
      <c r="A18" s="1" t="s">
        <v>24</v>
      </c>
      <c r="B18" s="13">
        <v>59046</v>
      </c>
      <c r="C18" s="13">
        <v>67714</v>
      </c>
      <c r="D18" s="2"/>
      <c r="E18" s="2"/>
      <c r="F18" s="2"/>
      <c r="G18" s="2"/>
      <c r="H18" s="2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3">
      <c r="A19" s="1" t="s">
        <v>25</v>
      </c>
      <c r="B19" s="13">
        <v>17396</v>
      </c>
      <c r="C19" s="13">
        <v>21095</v>
      </c>
      <c r="D19" s="2"/>
      <c r="E19" s="2"/>
      <c r="F19" s="2"/>
      <c r="G19" s="2"/>
      <c r="H19" s="2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3">
      <c r="A20" s="1" t="s">
        <v>26</v>
      </c>
      <c r="B20" s="13">
        <v>12407</v>
      </c>
      <c r="C20" s="13">
        <v>13441</v>
      </c>
      <c r="D20" s="2"/>
      <c r="E20" s="2"/>
      <c r="F20" s="2"/>
      <c r="G20" s="2"/>
      <c r="H20" s="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3">
      <c r="A21" s="1" t="s">
        <v>27</v>
      </c>
      <c r="B21" s="13">
        <v>2800</v>
      </c>
      <c r="C21" s="13">
        <v>9284</v>
      </c>
      <c r="D21" s="2"/>
      <c r="E21" s="2"/>
      <c r="F21" s="2"/>
      <c r="G21" s="2"/>
      <c r="H21" s="2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3">
      <c r="A22" s="1" t="s">
        <v>28</v>
      </c>
      <c r="B22" s="13">
        <v>21410</v>
      </c>
      <c r="C22" s="13">
        <v>23942</v>
      </c>
      <c r="D22" s="2"/>
      <c r="E22" s="2"/>
      <c r="F22" s="2"/>
      <c r="G22" s="2"/>
      <c r="H22" s="2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3">
      <c r="A23" s="1" t="s">
        <v>29</v>
      </c>
      <c r="B23" s="13">
        <v>13909</v>
      </c>
      <c r="C23" s="13">
        <v>14808</v>
      </c>
      <c r="D23" s="2"/>
      <c r="E23" s="2"/>
      <c r="F23" s="2"/>
      <c r="G23" s="2"/>
      <c r="H23" s="2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3">
      <c r="A24" s="1" t="s">
        <v>30</v>
      </c>
      <c r="B24" s="13">
        <v>39092</v>
      </c>
      <c r="C24" s="13">
        <v>46106</v>
      </c>
      <c r="D24" s="2"/>
      <c r="E24" s="2"/>
      <c r="F24" s="2"/>
      <c r="G24" s="2"/>
      <c r="H24" s="2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3">
      <c r="A25" s="1" t="s">
        <v>31</v>
      </c>
      <c r="B25" s="13">
        <v>10857</v>
      </c>
      <c r="C25" s="13">
        <v>12980</v>
      </c>
      <c r="D25" s="2"/>
      <c r="E25" s="2"/>
      <c r="F25" s="2"/>
      <c r="G25" s="2"/>
      <c r="H25" s="2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3">
      <c r="A26" s="1" t="s">
        <v>32</v>
      </c>
      <c r="B26" s="13">
        <v>362</v>
      </c>
      <c r="C26" s="13">
        <v>362</v>
      </c>
      <c r="D26" s="2"/>
      <c r="E26" s="2"/>
      <c r="F26" s="2"/>
      <c r="G26" s="2"/>
      <c r="H26" s="2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3">
      <c r="A27" s="1" t="s">
        <v>33</v>
      </c>
      <c r="B27" s="13">
        <v>95266</v>
      </c>
      <c r="C27" s="13">
        <v>108116</v>
      </c>
      <c r="D27" s="2"/>
      <c r="E27" s="2"/>
      <c r="F27" s="2"/>
      <c r="G27" s="2"/>
      <c r="H27" s="2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3">
      <c r="A28" s="1"/>
      <c r="B28" s="2"/>
      <c r="C28" s="2"/>
      <c r="D28" s="2"/>
      <c r="E28" s="2"/>
      <c r="F28" s="2"/>
      <c r="G28" s="2"/>
      <c r="H28" s="2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3">
      <c r="A29" s="11" t="s">
        <v>34</v>
      </c>
      <c r="B29" s="12"/>
      <c r="C29" s="12"/>
      <c r="D29" s="12"/>
      <c r="E29" s="12"/>
      <c r="F29" s="12"/>
      <c r="G29" s="12"/>
      <c r="H29" s="12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3">
      <c r="A30" s="1" t="s">
        <v>35</v>
      </c>
      <c r="B30" s="2"/>
      <c r="C30" s="2"/>
      <c r="D30" s="13">
        <v>0.05</v>
      </c>
      <c r="E30" s="13">
        <v>0.06</v>
      </c>
      <c r="F30" s="13">
        <v>0.06</v>
      </c>
      <c r="G30" s="13">
        <v>5.5E-2</v>
      </c>
      <c r="H30" s="13">
        <v>0.05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3">
      <c r="A31" s="1" t="s">
        <v>36</v>
      </c>
      <c r="B31" s="2"/>
      <c r="C31" s="2"/>
      <c r="D31" s="13">
        <v>0.27200000000000002</v>
      </c>
      <c r="E31" s="13">
        <v>0.27500000000000002</v>
      </c>
      <c r="F31" s="13">
        <v>0.27800000000000002</v>
      </c>
      <c r="G31" s="13">
        <v>0.28000000000000003</v>
      </c>
      <c r="H31" s="13">
        <v>0.28000000000000003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3">
      <c r="A32" s="1" t="s">
        <v>37</v>
      </c>
      <c r="B32" s="2"/>
      <c r="C32" s="2"/>
      <c r="D32" s="13">
        <v>2.1000000000000001E-2</v>
      </c>
      <c r="E32" s="13">
        <v>2.1000000000000001E-2</v>
      </c>
      <c r="F32" s="13">
        <v>2.1000000000000001E-2</v>
      </c>
      <c r="G32" s="13">
        <v>2.1000000000000001E-2</v>
      </c>
      <c r="H32" s="13">
        <v>2.1000000000000001E-2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 t="s">
        <v>38</v>
      </c>
      <c r="B33" s="2"/>
      <c r="C33" s="2"/>
      <c r="D33" s="13">
        <v>1.6E-2</v>
      </c>
      <c r="E33" s="13">
        <v>1.4999999999999999E-2</v>
      </c>
      <c r="F33" s="13">
        <v>1.4999999999999999E-2</v>
      </c>
      <c r="G33" s="13">
        <v>1.4E-2</v>
      </c>
      <c r="H33" s="13">
        <v>1.4E-2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 t="s">
        <v>39</v>
      </c>
      <c r="B34" s="2"/>
      <c r="C34" s="2"/>
      <c r="D34" s="13">
        <v>4.4999999999999997E-3</v>
      </c>
      <c r="E34" s="13">
        <v>4.4999999999999997E-3</v>
      </c>
      <c r="F34" s="13">
        <v>4.4999999999999997E-3</v>
      </c>
      <c r="G34" s="13">
        <v>4.4999999999999997E-3</v>
      </c>
      <c r="H34" s="13">
        <v>4.4999999999999997E-3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 t="s">
        <v>40</v>
      </c>
      <c r="B35" s="2"/>
      <c r="C35" s="2"/>
      <c r="D35" s="13">
        <v>0.25</v>
      </c>
      <c r="E35" s="13">
        <v>0.25</v>
      </c>
      <c r="F35" s="13">
        <v>0.25</v>
      </c>
      <c r="G35" s="13">
        <v>0.25</v>
      </c>
      <c r="H35" s="13">
        <v>0.25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1" t="s">
        <v>41</v>
      </c>
      <c r="B36" s="2"/>
      <c r="C36" s="2"/>
      <c r="D36" s="13">
        <v>0.8</v>
      </c>
      <c r="E36" s="13">
        <v>0.8</v>
      </c>
      <c r="F36" s="13">
        <v>0.8</v>
      </c>
      <c r="G36" s="13">
        <v>0.8</v>
      </c>
      <c r="H36" s="13">
        <v>0.8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">
      <c r="A37" s="1" t="s">
        <v>42</v>
      </c>
      <c r="B37" s="2"/>
      <c r="C37" s="2"/>
      <c r="D37" s="13">
        <v>4.8000000000000001E-2</v>
      </c>
      <c r="E37" s="13">
        <v>4.8000000000000001E-2</v>
      </c>
      <c r="F37" s="13">
        <v>4.8000000000000001E-2</v>
      </c>
      <c r="G37" s="13">
        <v>4.8000000000000001E-2</v>
      </c>
      <c r="H37" s="13">
        <v>4.8000000000000001E-2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">
      <c r="A38" s="1" t="s">
        <v>43</v>
      </c>
      <c r="B38" s="2"/>
      <c r="C38" s="2"/>
      <c r="D38" s="13">
        <v>93</v>
      </c>
      <c r="E38" s="13">
        <v>93</v>
      </c>
      <c r="F38" s="13">
        <v>92</v>
      </c>
      <c r="G38" s="13">
        <v>92</v>
      </c>
      <c r="H38" s="13">
        <v>92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">
      <c r="A39" s="1" t="s">
        <v>44</v>
      </c>
      <c r="B39" s="2"/>
      <c r="C39" s="2"/>
      <c r="D39" s="13">
        <v>7.9000000000000001E-2</v>
      </c>
      <c r="E39" s="13">
        <v>7.9000000000000001E-2</v>
      </c>
      <c r="F39" s="13">
        <v>7.8E-2</v>
      </c>
      <c r="G39" s="13">
        <v>7.8E-2</v>
      </c>
      <c r="H39" s="13">
        <v>7.8E-2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">
      <c r="A40" s="1" t="s">
        <v>45</v>
      </c>
      <c r="B40" s="2"/>
      <c r="C40" s="2"/>
      <c r="D40" s="13">
        <v>0.05</v>
      </c>
      <c r="E40" s="13">
        <v>0.05</v>
      </c>
      <c r="F40" s="13">
        <v>0.05</v>
      </c>
      <c r="G40" s="13">
        <v>0.05</v>
      </c>
      <c r="H40" s="13">
        <v>0.05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">
      <c r="A41" s="1" t="s">
        <v>46</v>
      </c>
      <c r="B41" s="2"/>
      <c r="C41" s="2"/>
      <c r="D41" s="13">
        <v>3.5000000000000003E-2</v>
      </c>
      <c r="E41" s="13">
        <v>3.3000000000000002E-2</v>
      </c>
      <c r="F41" s="13">
        <v>3.1E-2</v>
      </c>
      <c r="G41" s="13">
        <v>0.03</v>
      </c>
      <c r="H41" s="13">
        <v>0.03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">
      <c r="A42" s="1" t="s">
        <v>47</v>
      </c>
      <c r="B42" s="2"/>
      <c r="C42" s="2"/>
      <c r="D42" s="13">
        <v>0.09</v>
      </c>
      <c r="E42" s="13">
        <v>8.8999999999999996E-2</v>
      </c>
      <c r="F42" s="13">
        <v>8.7999999999999995E-2</v>
      </c>
      <c r="G42" s="13">
        <v>8.6999999999999994E-2</v>
      </c>
      <c r="H42" s="13">
        <v>8.6999999999999994E-2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">
      <c r="A43" s="1" t="s">
        <v>48</v>
      </c>
      <c r="B43" s="2"/>
      <c r="C43" s="2"/>
      <c r="D43" s="13">
        <v>20</v>
      </c>
      <c r="E43" s="13">
        <v>20</v>
      </c>
      <c r="F43" s="13">
        <v>20</v>
      </c>
      <c r="G43" s="13">
        <v>20</v>
      </c>
      <c r="H43" s="13">
        <v>20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">
      <c r="A44" s="1" t="s">
        <v>49</v>
      </c>
      <c r="B44" s="2"/>
      <c r="C44" s="2"/>
      <c r="D44" s="13">
        <v>0.17299999999999999</v>
      </c>
      <c r="E44" s="13">
        <v>0.17199999999999999</v>
      </c>
      <c r="F44" s="13">
        <v>0.17100000000000001</v>
      </c>
      <c r="G44" s="13">
        <v>0.17</v>
      </c>
      <c r="H44" s="13">
        <v>0.17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">
      <c r="A45" s="1" t="s">
        <v>50</v>
      </c>
      <c r="B45" s="2"/>
      <c r="C45" s="2"/>
      <c r="D45" s="13">
        <v>4.9000000000000002E-2</v>
      </c>
      <c r="E45" s="13">
        <v>4.9000000000000002E-2</v>
      </c>
      <c r="F45" s="13">
        <v>4.8000000000000001E-2</v>
      </c>
      <c r="G45" s="13">
        <v>4.8000000000000001E-2</v>
      </c>
      <c r="H45" s="13">
        <v>4.8000000000000001E-2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">
      <c r="A46" s="1"/>
      <c r="B46" s="2"/>
      <c r="C46" s="2"/>
      <c r="D46" s="2"/>
      <c r="E46" s="2"/>
      <c r="F46" s="2"/>
      <c r="G46" s="2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">
      <c r="A47" s="11" t="s">
        <v>51</v>
      </c>
      <c r="B47" s="12"/>
      <c r="C47" s="12"/>
      <c r="D47" s="12"/>
      <c r="E47" s="12"/>
      <c r="F47" s="12"/>
      <c r="G47" s="12"/>
      <c r="H47" s="1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">
      <c r="A48" s="1" t="s">
        <v>52</v>
      </c>
      <c r="B48" s="13">
        <v>13286</v>
      </c>
      <c r="C48" s="13">
        <v>15463</v>
      </c>
      <c r="D48" s="2"/>
      <c r="E48" s="2"/>
      <c r="F48" s="2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3">
      <c r="A49" s="1" t="s">
        <v>53</v>
      </c>
      <c r="B49" s="13">
        <v>48908</v>
      </c>
      <c r="C49" s="13">
        <v>52094</v>
      </c>
      <c r="D49" s="2"/>
      <c r="E49" s="2"/>
      <c r="F49" s="2"/>
      <c r="G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3">
      <c r="A50" s="1" t="s">
        <v>54</v>
      </c>
      <c r="B50" s="13">
        <v>-3861</v>
      </c>
      <c r="C50" s="13">
        <v>-4037</v>
      </c>
      <c r="D50" s="2"/>
      <c r="E50" s="2"/>
      <c r="F50" s="2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3">
      <c r="A51" s="1" t="s">
        <v>55</v>
      </c>
      <c r="B51" s="13">
        <v>-44860</v>
      </c>
      <c r="C51" s="13">
        <v>-39440</v>
      </c>
      <c r="D51" s="2"/>
      <c r="E51" s="2"/>
      <c r="F51" s="2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3">
      <c r="A52" s="1" t="s">
        <v>56</v>
      </c>
      <c r="B52" s="13">
        <v>15463</v>
      </c>
      <c r="C52" s="13">
        <v>12908</v>
      </c>
      <c r="D52" s="2"/>
      <c r="E52" s="2"/>
      <c r="F52" s="2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3">
      <c r="A53" s="1"/>
      <c r="B53" s="2"/>
      <c r="C53" s="2"/>
      <c r="D53" s="2"/>
      <c r="E53" s="2"/>
      <c r="F53" s="2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3">
      <c r="A54" s="1"/>
      <c r="B54" s="2"/>
      <c r="C54" s="2"/>
      <c r="D54" s="2"/>
      <c r="E54" s="2"/>
      <c r="F54" s="2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3">
      <c r="A55" s="1"/>
      <c r="B55" s="2"/>
      <c r="C55" s="2"/>
      <c r="D55" s="2"/>
      <c r="E55" s="2"/>
      <c r="F55" s="2"/>
      <c r="G55" s="2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3">
      <c r="A56" s="1"/>
      <c r="B56" s="2"/>
      <c r="C56" s="2"/>
      <c r="D56" s="2"/>
      <c r="E56" s="2"/>
      <c r="F56" s="2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3">
      <c r="A57" s="1"/>
      <c r="B57" s="2"/>
      <c r="C57" s="2"/>
      <c r="D57" s="2"/>
      <c r="E57" s="2"/>
      <c r="F57" s="2"/>
      <c r="G57" s="2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3">
      <c r="A58" s="1"/>
      <c r="B58" s="2"/>
      <c r="C58" s="2"/>
      <c r="D58" s="2"/>
      <c r="E58" s="2"/>
      <c r="F58" s="2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3">
      <c r="A59" s="1"/>
      <c r="B59" s="2"/>
      <c r="C59" s="2"/>
      <c r="D59" s="2"/>
      <c r="E59" s="2"/>
      <c r="F59" s="2"/>
      <c r="G59" s="2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3">
      <c r="A60" s="1"/>
      <c r="B60" s="2"/>
      <c r="C60" s="2"/>
      <c r="D60" s="2"/>
      <c r="E60" s="2"/>
      <c r="F60" s="2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3">
      <c r="A61" s="1"/>
      <c r="B61" s="2"/>
      <c r="C61" s="2"/>
      <c r="D61" s="2"/>
      <c r="E61" s="2"/>
      <c r="F61" s="2"/>
      <c r="G61" s="2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3">
      <c r="A62" s="1"/>
      <c r="B62" s="2"/>
      <c r="C62" s="2"/>
      <c r="D62" s="2"/>
      <c r="E62" s="2"/>
      <c r="F62" s="2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3">
      <c r="A63" s="1"/>
      <c r="B63" s="2"/>
      <c r="C63" s="2"/>
      <c r="D63" s="2"/>
      <c r="E63" s="2"/>
      <c r="F63" s="2"/>
      <c r="G63" s="2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3">
      <c r="A64" s="1"/>
      <c r="B64" s="2"/>
      <c r="C64" s="2"/>
      <c r="D64" s="2"/>
      <c r="E64" s="2"/>
      <c r="F64" s="2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3">
      <c r="A65" s="1"/>
      <c r="B65" s="2"/>
      <c r="C65" s="2"/>
      <c r="D65" s="2"/>
      <c r="E65" s="2"/>
      <c r="F65" s="2"/>
      <c r="G65" s="2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3">
      <c r="A66" s="1"/>
      <c r="B66" s="2"/>
      <c r="C66" s="2"/>
      <c r="D66" s="2"/>
      <c r="E66" s="2"/>
      <c r="F66" s="2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3">
      <c r="A67" s="1"/>
      <c r="B67" s="2"/>
      <c r="C67" s="2"/>
      <c r="D67" s="2"/>
      <c r="E67" s="2"/>
      <c r="F67" s="2"/>
      <c r="G67" s="2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3">
      <c r="A68" s="1"/>
      <c r="B68" s="2"/>
      <c r="C68" s="2"/>
      <c r="D68" s="2"/>
      <c r="E68" s="2"/>
      <c r="F68" s="2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3">
      <c r="A69" s="1"/>
      <c r="B69" s="2"/>
      <c r="C69" s="2"/>
      <c r="D69" s="2"/>
      <c r="E69" s="2"/>
      <c r="F69" s="2"/>
      <c r="G69" s="2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3">
      <c r="A70" s="1"/>
      <c r="B70" s="2"/>
      <c r="C70" s="2"/>
      <c r="D70" s="2"/>
      <c r="E70" s="2"/>
      <c r="F70" s="2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3">
      <c r="A71" s="1"/>
      <c r="B71" s="2"/>
      <c r="C71" s="2"/>
      <c r="D71" s="2"/>
      <c r="E71" s="2"/>
      <c r="F71" s="2"/>
      <c r="G71" s="2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3">
      <c r="A72" s="1"/>
      <c r="B72" s="2"/>
      <c r="C72" s="2"/>
      <c r="D72" s="2"/>
      <c r="E72" s="2"/>
      <c r="F72" s="2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3">
      <c r="A73" s="1"/>
      <c r="B73" s="2"/>
      <c r="C73" s="2"/>
      <c r="D73" s="2"/>
      <c r="E73" s="2"/>
      <c r="F73" s="2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3">
      <c r="A74" s="1"/>
      <c r="B74" s="2"/>
      <c r="C74" s="2"/>
      <c r="D74" s="2"/>
      <c r="E74" s="2"/>
      <c r="F74" s="2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3">
      <c r="A75" s="1"/>
      <c r="B75" s="2"/>
      <c r="C75" s="2"/>
      <c r="D75" s="2"/>
      <c r="E75" s="2"/>
      <c r="F75" s="2"/>
      <c r="G75" s="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3">
      <c r="A76" s="1"/>
      <c r="B76" s="2"/>
      <c r="C76" s="2"/>
      <c r="D76" s="2"/>
      <c r="E76" s="2"/>
      <c r="F76" s="2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3">
      <c r="A77" s="1"/>
      <c r="B77" s="2"/>
      <c r="C77" s="2"/>
      <c r="D77" s="2"/>
      <c r="E77" s="2"/>
      <c r="F77" s="2"/>
      <c r="G77" s="2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3">
      <c r="A78" s="1"/>
      <c r="B78" s="2"/>
      <c r="C78" s="2"/>
      <c r="D78" s="2"/>
      <c r="E78" s="2"/>
      <c r="F78" s="2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3">
      <c r="A79" s="1"/>
      <c r="B79" s="2"/>
      <c r="C79" s="2"/>
      <c r="D79" s="2"/>
      <c r="E79" s="2"/>
      <c r="F79" s="2"/>
      <c r="G79" s="2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3">
      <c r="A80" s="1"/>
      <c r="B80" s="2"/>
      <c r="C80" s="2"/>
      <c r="D80" s="2"/>
      <c r="E80" s="2"/>
      <c r="F80" s="2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3">
      <c r="A81" s="1"/>
      <c r="B81" s="2"/>
      <c r="C81" s="2"/>
      <c r="D81" s="2"/>
      <c r="E81" s="2"/>
      <c r="F81" s="2"/>
      <c r="G81" s="2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3">
      <c r="A82" s="1"/>
      <c r="B82" s="2"/>
      <c r="C82" s="2"/>
      <c r="D82" s="2"/>
      <c r="E82" s="2"/>
      <c r="F82" s="2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3">
      <c r="A83" s="1"/>
      <c r="B83" s="2"/>
      <c r="C83" s="2"/>
      <c r="D83" s="2"/>
      <c r="E83" s="2"/>
      <c r="F83" s="2"/>
      <c r="G83" s="2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3">
      <c r="A84" s="1"/>
      <c r="B84" s="2"/>
      <c r="C84" s="2"/>
      <c r="D84" s="2"/>
      <c r="E84" s="2"/>
      <c r="F84" s="2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3">
      <c r="A85" s="1"/>
      <c r="B85" s="2"/>
      <c r="C85" s="2"/>
      <c r="D85" s="2"/>
      <c r="E85" s="2"/>
      <c r="F85" s="2"/>
      <c r="G85" s="2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3">
      <c r="A86" s="1"/>
      <c r="B86" s="2"/>
      <c r="C86" s="2"/>
      <c r="D86" s="2"/>
      <c r="E86" s="2"/>
      <c r="F86" s="2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3">
      <c r="A87" s="1"/>
      <c r="B87" s="2"/>
      <c r="C87" s="2"/>
      <c r="D87" s="2"/>
      <c r="E87" s="2"/>
      <c r="F87" s="2"/>
      <c r="G87" s="2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3">
      <c r="A88" s="1"/>
      <c r="B88" s="2"/>
      <c r="C88" s="2"/>
      <c r="D88" s="2"/>
      <c r="E88" s="2"/>
      <c r="F88" s="2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3">
      <c r="A89" s="1"/>
      <c r="B89" s="2"/>
      <c r="C89" s="2"/>
      <c r="D89" s="2"/>
      <c r="E89" s="2"/>
      <c r="F89" s="2"/>
      <c r="G89" s="2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3">
      <c r="A90" s="1"/>
      <c r="B90" s="2"/>
      <c r="C90" s="2"/>
      <c r="D90" s="2"/>
      <c r="E90" s="2"/>
      <c r="F90" s="2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3">
      <c r="A91" s="1"/>
      <c r="B91" s="2"/>
      <c r="C91" s="2"/>
      <c r="D91" s="2"/>
      <c r="E91" s="2"/>
      <c r="F91" s="2"/>
      <c r="G91" s="2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3">
      <c r="A92" s="1"/>
      <c r="B92" s="2"/>
      <c r="C92" s="2"/>
      <c r="D92" s="2"/>
      <c r="E92" s="2"/>
      <c r="F92" s="2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3">
      <c r="A93" s="1"/>
      <c r="B93" s="2"/>
      <c r="C93" s="2"/>
      <c r="D93" s="2"/>
      <c r="E93" s="2"/>
      <c r="F93" s="2"/>
      <c r="G93" s="2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3">
      <c r="A94" s="1"/>
      <c r="B94" s="2"/>
      <c r="C94" s="2"/>
      <c r="D94" s="2"/>
      <c r="E94" s="2"/>
      <c r="F94" s="2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3">
      <c r="A95" s="1"/>
      <c r="B95" s="2"/>
      <c r="C95" s="2"/>
      <c r="D95" s="2"/>
      <c r="E95" s="2"/>
      <c r="F95" s="2"/>
      <c r="G95" s="2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3">
      <c r="A96" s="1"/>
      <c r="B96" s="2"/>
      <c r="C96" s="2"/>
      <c r="D96" s="2"/>
      <c r="E96" s="2"/>
      <c r="F96" s="2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3">
      <c r="A97" s="1"/>
      <c r="B97" s="2"/>
      <c r="C97" s="2"/>
      <c r="D97" s="2"/>
      <c r="E97" s="2"/>
      <c r="F97" s="2"/>
      <c r="G97" s="2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3">
      <c r="A98" s="1"/>
      <c r="B98" s="2"/>
      <c r="C98" s="2"/>
      <c r="D98" s="2"/>
      <c r="E98" s="2"/>
      <c r="F98" s="2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3">
      <c r="A99" s="1"/>
      <c r="B99" s="2"/>
      <c r="C99" s="2"/>
      <c r="D99" s="2"/>
      <c r="E99" s="2"/>
      <c r="F99" s="2"/>
      <c r="G99" s="2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3">
      <c r="A100" s="1"/>
      <c r="B100" s="2"/>
      <c r="C100" s="2"/>
      <c r="D100" s="2"/>
      <c r="E100" s="2"/>
      <c r="F100" s="2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3">
      <c r="A101" s="1"/>
      <c r="B101" s="2"/>
      <c r="C101" s="2"/>
      <c r="D101" s="2"/>
      <c r="E101" s="2"/>
      <c r="F101" s="2"/>
      <c r="G101" s="2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3">
      <c r="A102" s="1"/>
      <c r="B102" s="2"/>
      <c r="C102" s="2"/>
      <c r="D102" s="2"/>
      <c r="E102" s="2"/>
      <c r="F102" s="2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3">
      <c r="A103" s="1"/>
      <c r="B103" s="2"/>
      <c r="C103" s="2"/>
      <c r="D103" s="2"/>
      <c r="E103" s="2"/>
      <c r="F103" s="2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3">
      <c r="A104" s="1"/>
      <c r="B104" s="2"/>
      <c r="C104" s="2"/>
      <c r="D104" s="2"/>
      <c r="E104" s="2"/>
      <c r="F104" s="2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3">
      <c r="A105" s="1"/>
      <c r="B105" s="2"/>
      <c r="C105" s="2"/>
      <c r="D105" s="2"/>
      <c r="E105" s="2"/>
      <c r="F105" s="2"/>
      <c r="G105" s="2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3">
      <c r="A106" s="1"/>
      <c r="B106" s="2"/>
      <c r="C106" s="2"/>
      <c r="D106" s="2"/>
      <c r="E106" s="2"/>
      <c r="F106" s="2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3">
      <c r="A107" s="1"/>
      <c r="B107" s="2"/>
      <c r="C107" s="2"/>
      <c r="D107" s="2"/>
      <c r="E107" s="2"/>
      <c r="F107" s="2"/>
      <c r="G107" s="2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3">
      <c r="A108" s="1"/>
      <c r="B108" s="2"/>
      <c r="C108" s="2"/>
      <c r="D108" s="2"/>
      <c r="E108" s="2"/>
      <c r="F108" s="2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3">
      <c r="A109" s="1"/>
      <c r="B109" s="2"/>
      <c r="C109" s="2"/>
      <c r="D109" s="2"/>
      <c r="E109" s="2"/>
      <c r="F109" s="2"/>
      <c r="G109" s="2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3">
      <c r="A110" s="1"/>
      <c r="B110" s="2"/>
      <c r="C110" s="2"/>
      <c r="D110" s="2"/>
      <c r="E110" s="2"/>
      <c r="F110" s="2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3">
      <c r="A111" s="1"/>
      <c r="B111" s="2"/>
      <c r="C111" s="2"/>
      <c r="D111" s="2"/>
      <c r="E111" s="2"/>
      <c r="F111" s="2"/>
      <c r="G111" s="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3">
      <c r="A112" s="1"/>
      <c r="B112" s="2"/>
      <c r="C112" s="2"/>
      <c r="D112" s="2"/>
      <c r="E112" s="2"/>
      <c r="F112" s="2"/>
      <c r="G112" s="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3">
      <c r="A113" s="1"/>
      <c r="B113" s="2"/>
      <c r="C113" s="2"/>
      <c r="D113" s="2"/>
      <c r="E113" s="2"/>
      <c r="F113" s="2"/>
      <c r="G113" s="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3">
      <c r="A114" s="1"/>
      <c r="B114" s="2"/>
      <c r="C114" s="2"/>
      <c r="D114" s="2"/>
      <c r="E114" s="2"/>
      <c r="F114" s="2"/>
      <c r="G114" s="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3">
      <c r="A115" s="1"/>
      <c r="B115" s="2"/>
      <c r="C115" s="2"/>
      <c r="D115" s="2"/>
      <c r="E115" s="2"/>
      <c r="F115" s="2"/>
      <c r="G115" s="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3">
      <c r="A116" s="1"/>
      <c r="B116" s="2"/>
      <c r="C116" s="2"/>
      <c r="D116" s="2"/>
      <c r="E116" s="2"/>
      <c r="F116" s="2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3">
      <c r="A117" s="1"/>
      <c r="B117" s="2"/>
      <c r="C117" s="2"/>
      <c r="D117" s="2"/>
      <c r="E117" s="2"/>
      <c r="F117" s="2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3">
      <c r="A118" s="1"/>
      <c r="B118" s="2"/>
      <c r="C118" s="2"/>
      <c r="D118" s="2"/>
      <c r="E118" s="2"/>
      <c r="F118" s="2"/>
      <c r="G118" s="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3">
      <c r="A119" s="1"/>
      <c r="B119" s="2"/>
      <c r="C119" s="2"/>
      <c r="D119" s="2"/>
      <c r="E119" s="2"/>
      <c r="F119" s="2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3">
      <c r="A120" s="1"/>
      <c r="B120" s="2"/>
      <c r="C120" s="2"/>
      <c r="D120" s="2"/>
      <c r="E120" s="2"/>
      <c r="F120" s="2"/>
      <c r="G120" s="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3">
      <c r="A121" s="1"/>
      <c r="B121" s="2"/>
      <c r="C121" s="2"/>
      <c r="D121" s="2"/>
      <c r="E121" s="2"/>
      <c r="F121" s="2"/>
      <c r="G121" s="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3">
      <c r="A122" s="1"/>
      <c r="B122" s="2"/>
      <c r="C122" s="2"/>
      <c r="D122" s="2"/>
      <c r="E122" s="2"/>
      <c r="F122" s="2"/>
      <c r="G122" s="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3">
      <c r="A123" s="1"/>
      <c r="B123" s="2"/>
      <c r="C123" s="2"/>
      <c r="D123" s="2"/>
      <c r="E123" s="2"/>
      <c r="F123" s="2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3">
      <c r="A124" s="1"/>
      <c r="B124" s="2"/>
      <c r="C124" s="2"/>
      <c r="D124" s="2"/>
      <c r="E124" s="2"/>
      <c r="F124" s="2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3">
      <c r="A125" s="1"/>
      <c r="B125" s="2"/>
      <c r="C125" s="2"/>
      <c r="D125" s="2"/>
      <c r="E125" s="2"/>
      <c r="F125" s="2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3">
      <c r="A126" s="1"/>
      <c r="B126" s="2"/>
      <c r="C126" s="2"/>
      <c r="D126" s="2"/>
      <c r="E126" s="2"/>
      <c r="F126" s="2"/>
      <c r="G126" s="2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3">
      <c r="A127" s="1"/>
      <c r="B127" s="2"/>
      <c r="C127" s="2"/>
      <c r="D127" s="2"/>
      <c r="E127" s="2"/>
      <c r="F127" s="2"/>
      <c r="G127" s="2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3">
      <c r="A128" s="1"/>
      <c r="B128" s="2"/>
      <c r="C128" s="2"/>
      <c r="D128" s="2"/>
      <c r="E128" s="2"/>
      <c r="F128" s="2"/>
      <c r="G128" s="2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3">
      <c r="A129" s="1"/>
      <c r="B129" s="2"/>
      <c r="C129" s="2"/>
      <c r="D129" s="2"/>
      <c r="E129" s="2"/>
      <c r="F129" s="2"/>
      <c r="G129" s="2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3">
      <c r="A130" s="1"/>
      <c r="B130" s="2"/>
      <c r="C130" s="2"/>
      <c r="D130" s="2"/>
      <c r="E130" s="2"/>
      <c r="F130" s="2"/>
      <c r="G130" s="2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3">
      <c r="A131" s="1"/>
      <c r="B131" s="2"/>
      <c r="C131" s="2"/>
      <c r="D131" s="2"/>
      <c r="E131" s="2"/>
      <c r="F131" s="2"/>
      <c r="G131" s="2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3">
      <c r="A132" s="1"/>
      <c r="B132" s="2"/>
      <c r="C132" s="2"/>
      <c r="D132" s="2"/>
      <c r="E132" s="2"/>
      <c r="F132" s="2"/>
      <c r="G132" s="2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3">
      <c r="A133" s="1"/>
      <c r="B133" s="2"/>
      <c r="C133" s="2"/>
      <c r="D133" s="2"/>
      <c r="E133" s="2"/>
      <c r="F133" s="2"/>
      <c r="G133" s="2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3">
      <c r="A134" s="1"/>
      <c r="B134" s="2"/>
      <c r="C134" s="2"/>
      <c r="D134" s="2"/>
      <c r="E134" s="2"/>
      <c r="F134" s="2"/>
      <c r="G134" s="2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3">
      <c r="A135" s="1"/>
      <c r="B135" s="2"/>
      <c r="C135" s="2"/>
      <c r="D135" s="2"/>
      <c r="E135" s="2"/>
      <c r="F135" s="2"/>
      <c r="G135" s="2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3">
      <c r="A136" s="1"/>
      <c r="B136" s="2"/>
      <c r="C136" s="2"/>
      <c r="D136" s="2"/>
      <c r="E136" s="2"/>
      <c r="F136" s="2"/>
      <c r="G136" s="2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3">
      <c r="A137" s="1"/>
      <c r="B137" s="2"/>
      <c r="C137" s="2"/>
      <c r="D137" s="2"/>
      <c r="E137" s="2"/>
      <c r="F137" s="2"/>
      <c r="G137" s="2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3">
      <c r="A138" s="1"/>
      <c r="B138" s="2"/>
      <c r="C138" s="2"/>
      <c r="D138" s="2"/>
      <c r="E138" s="2"/>
      <c r="F138" s="2"/>
      <c r="G138" s="2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3">
      <c r="A139" s="1"/>
      <c r="B139" s="2"/>
      <c r="C139" s="2"/>
      <c r="D139" s="2"/>
      <c r="E139" s="2"/>
      <c r="F139" s="2"/>
      <c r="G139" s="2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3">
      <c r="A140" s="1"/>
      <c r="B140" s="2"/>
      <c r="C140" s="2"/>
      <c r="D140" s="2"/>
      <c r="E140" s="2"/>
      <c r="F140" s="2"/>
      <c r="G140" s="2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3">
      <c r="A141" s="1"/>
      <c r="B141" s="2"/>
      <c r="C141" s="2"/>
      <c r="D141" s="2"/>
      <c r="E141" s="2"/>
      <c r="F141" s="2"/>
      <c r="G141" s="2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3">
      <c r="A142" s="1"/>
      <c r="B142" s="2"/>
      <c r="C142" s="2"/>
      <c r="D142" s="2"/>
      <c r="E142" s="2"/>
      <c r="F142" s="2"/>
      <c r="G142" s="2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3">
      <c r="A143" s="1"/>
      <c r="B143" s="2"/>
      <c r="C143" s="2"/>
      <c r="D143" s="2"/>
      <c r="E143" s="2"/>
      <c r="F143" s="2"/>
      <c r="G143" s="2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3">
      <c r="A144" s="1"/>
      <c r="B144" s="2"/>
      <c r="C144" s="2"/>
      <c r="D144" s="2"/>
      <c r="E144" s="2"/>
      <c r="F144" s="2"/>
      <c r="G144" s="2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3">
      <c r="A145" s="1"/>
      <c r="B145" s="2"/>
      <c r="C145" s="2"/>
      <c r="D145" s="2"/>
      <c r="E145" s="2"/>
      <c r="F145" s="2"/>
      <c r="G145" s="2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3">
      <c r="A146" s="1"/>
      <c r="B146" s="2"/>
      <c r="C146" s="2"/>
      <c r="D146" s="2"/>
      <c r="E146" s="2"/>
      <c r="F146" s="2"/>
      <c r="G146" s="2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3">
      <c r="A147" s="1"/>
      <c r="B147" s="2"/>
      <c r="C147" s="2"/>
      <c r="D147" s="2"/>
      <c r="E147" s="2"/>
      <c r="F147" s="2"/>
      <c r="G147" s="2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3">
      <c r="A148" s="1"/>
      <c r="B148" s="2"/>
      <c r="C148" s="2"/>
      <c r="D148" s="2"/>
      <c r="E148" s="2"/>
      <c r="F148" s="2"/>
      <c r="G148" s="2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3">
      <c r="A149" s="1"/>
      <c r="B149" s="2"/>
      <c r="C149" s="2"/>
      <c r="D149" s="2"/>
      <c r="E149" s="2"/>
      <c r="F149" s="2"/>
      <c r="G149" s="2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3">
      <c r="A150" s="1"/>
      <c r="B150" s="2"/>
      <c r="C150" s="2"/>
      <c r="D150" s="2"/>
      <c r="E150" s="2"/>
      <c r="F150" s="2"/>
      <c r="G150" s="2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3">
      <c r="A151" s="1"/>
      <c r="B151" s="2"/>
      <c r="C151" s="2"/>
      <c r="D151" s="2"/>
      <c r="E151" s="2"/>
      <c r="F151" s="2"/>
      <c r="G151" s="2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3">
      <c r="A152" s="1"/>
      <c r="B152" s="2"/>
      <c r="C152" s="2"/>
      <c r="D152" s="2"/>
      <c r="E152" s="2"/>
      <c r="F152" s="2"/>
      <c r="G152" s="2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3">
      <c r="A153" s="1"/>
      <c r="B153" s="2"/>
      <c r="C153" s="2"/>
      <c r="D153" s="2"/>
      <c r="E153" s="2"/>
      <c r="F153" s="2"/>
      <c r="G153" s="2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3">
      <c r="A154" s="1"/>
      <c r="B154" s="2"/>
      <c r="C154" s="2"/>
      <c r="D154" s="2"/>
      <c r="E154" s="2"/>
      <c r="F154" s="2"/>
      <c r="G154" s="2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3">
      <c r="A155" s="1"/>
      <c r="B155" s="2"/>
      <c r="C155" s="2"/>
      <c r="D155" s="2"/>
      <c r="E155" s="2"/>
      <c r="F155" s="2"/>
      <c r="G155" s="2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3">
      <c r="A156" s="1"/>
      <c r="B156" s="2"/>
      <c r="C156" s="2"/>
      <c r="D156" s="2"/>
      <c r="E156" s="2"/>
      <c r="F156" s="2"/>
      <c r="G156" s="2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3">
      <c r="A157" s="1"/>
      <c r="B157" s="2"/>
      <c r="C157" s="2"/>
      <c r="D157" s="2"/>
      <c r="E157" s="2"/>
      <c r="F157" s="2"/>
      <c r="G157" s="2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3">
      <c r="A158" s="1"/>
      <c r="B158" s="2"/>
      <c r="C158" s="2"/>
      <c r="D158" s="2"/>
      <c r="E158" s="2"/>
      <c r="F158" s="2"/>
      <c r="G158" s="2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3">
      <c r="A159" s="1"/>
      <c r="B159" s="2"/>
      <c r="C159" s="2"/>
      <c r="D159" s="2"/>
      <c r="E159" s="2"/>
      <c r="F159" s="2"/>
      <c r="G159" s="2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3">
      <c r="A160" s="1"/>
      <c r="B160" s="2"/>
      <c r="C160" s="2"/>
      <c r="D160" s="2"/>
      <c r="E160" s="2"/>
      <c r="F160" s="2"/>
      <c r="G160" s="2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3">
      <c r="A161" s="1"/>
      <c r="B161" s="2"/>
      <c r="C161" s="2"/>
      <c r="D161" s="2"/>
      <c r="E161" s="2"/>
      <c r="F161" s="2"/>
      <c r="G161" s="2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3">
      <c r="A162" s="1"/>
      <c r="B162" s="2"/>
      <c r="C162" s="2"/>
      <c r="D162" s="2"/>
      <c r="E162" s="2"/>
      <c r="F162" s="2"/>
      <c r="G162" s="2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3">
      <c r="A163" s="1"/>
      <c r="B163" s="2"/>
      <c r="C163" s="2"/>
      <c r="D163" s="2"/>
      <c r="E163" s="2"/>
      <c r="F163" s="2"/>
      <c r="G163" s="2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3">
      <c r="A164" s="1"/>
      <c r="B164" s="2"/>
      <c r="C164" s="2"/>
      <c r="D164" s="2"/>
      <c r="E164" s="2"/>
      <c r="F164" s="2"/>
      <c r="G164" s="2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3">
      <c r="A165" s="1"/>
      <c r="B165" s="2"/>
      <c r="C165" s="2"/>
      <c r="D165" s="2"/>
      <c r="E165" s="2"/>
      <c r="F165" s="2"/>
      <c r="G165" s="2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3">
      <c r="A166" s="1"/>
      <c r="B166" s="2"/>
      <c r="C166" s="2"/>
      <c r="D166" s="2"/>
      <c r="E166" s="2"/>
      <c r="F166" s="2"/>
      <c r="G166" s="2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3">
      <c r="A167" s="1"/>
      <c r="B167" s="2"/>
      <c r="C167" s="2"/>
      <c r="D167" s="2"/>
      <c r="E167" s="2"/>
      <c r="F167" s="2"/>
      <c r="G167" s="2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3">
      <c r="A168" s="1"/>
      <c r="B168" s="2"/>
      <c r="C168" s="2"/>
      <c r="D168" s="2"/>
      <c r="E168" s="2"/>
      <c r="F168" s="2"/>
      <c r="G168" s="2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3">
      <c r="A169" s="1"/>
      <c r="B169" s="2"/>
      <c r="C169" s="2"/>
      <c r="D169" s="2"/>
      <c r="E169" s="2"/>
      <c r="F169" s="2"/>
      <c r="G169" s="2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3">
      <c r="A170" s="1"/>
      <c r="B170" s="2"/>
      <c r="C170" s="2"/>
      <c r="D170" s="2"/>
      <c r="E170" s="2"/>
      <c r="F170" s="2"/>
      <c r="G170" s="2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3">
      <c r="A171" s="1"/>
      <c r="B171" s="2"/>
      <c r="C171" s="2"/>
      <c r="D171" s="2"/>
      <c r="E171" s="2"/>
      <c r="F171" s="2"/>
      <c r="G171" s="2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3">
      <c r="A172" s="1"/>
      <c r="B172" s="2"/>
      <c r="C172" s="2"/>
      <c r="D172" s="2"/>
      <c r="E172" s="2"/>
      <c r="F172" s="2"/>
      <c r="G172" s="2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3">
      <c r="A173" s="1"/>
      <c r="B173" s="2"/>
      <c r="C173" s="2"/>
      <c r="D173" s="2"/>
      <c r="E173" s="2"/>
      <c r="F173" s="2"/>
      <c r="G173" s="2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3">
      <c r="A174" s="1"/>
      <c r="B174" s="2"/>
      <c r="C174" s="2"/>
      <c r="D174" s="2"/>
      <c r="E174" s="2"/>
      <c r="F174" s="2"/>
      <c r="G174" s="2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3">
      <c r="A175" s="1"/>
      <c r="B175" s="2"/>
      <c r="C175" s="2"/>
      <c r="D175" s="2"/>
      <c r="E175" s="2"/>
      <c r="F175" s="2"/>
      <c r="G175" s="2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3">
      <c r="A176" s="1"/>
      <c r="B176" s="2"/>
      <c r="C176" s="2"/>
      <c r="D176" s="2"/>
      <c r="E176" s="2"/>
      <c r="F176" s="2"/>
      <c r="G176" s="2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3">
      <c r="A177" s="1"/>
      <c r="B177" s="2"/>
      <c r="C177" s="2"/>
      <c r="D177" s="2"/>
      <c r="E177" s="2"/>
      <c r="F177" s="2"/>
      <c r="G177" s="2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3">
      <c r="A178" s="1"/>
      <c r="B178" s="2"/>
      <c r="C178" s="2"/>
      <c r="D178" s="2"/>
      <c r="E178" s="2"/>
      <c r="F178" s="2"/>
      <c r="G178" s="2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3">
      <c r="A179" s="1"/>
      <c r="B179" s="2"/>
      <c r="C179" s="2"/>
      <c r="D179" s="2"/>
      <c r="E179" s="2"/>
      <c r="F179" s="2"/>
      <c r="G179" s="2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3">
      <c r="A180" s="1"/>
      <c r="B180" s="2"/>
      <c r="C180" s="2"/>
      <c r="D180" s="2"/>
      <c r="E180" s="2"/>
      <c r="F180" s="2"/>
      <c r="G180" s="2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3">
      <c r="A181" s="1"/>
      <c r="B181" s="2"/>
      <c r="C181" s="2"/>
      <c r="D181" s="2"/>
      <c r="E181" s="2"/>
      <c r="F181" s="2"/>
      <c r="G181" s="2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3">
      <c r="A182" s="1"/>
      <c r="B182" s="2"/>
      <c r="C182" s="2"/>
      <c r="D182" s="2"/>
      <c r="E182" s="2"/>
      <c r="F182" s="2"/>
      <c r="G182" s="2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3">
      <c r="A183" s="1"/>
      <c r="B183" s="2"/>
      <c r="C183" s="2"/>
      <c r="D183" s="2"/>
      <c r="E183" s="2"/>
      <c r="F183" s="2"/>
      <c r="G183" s="2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3">
      <c r="A184" s="1"/>
      <c r="B184" s="2"/>
      <c r="C184" s="2"/>
      <c r="D184" s="2"/>
      <c r="E184" s="2"/>
      <c r="F184" s="2"/>
      <c r="G184" s="2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3">
      <c r="A185" s="1"/>
      <c r="B185" s="2"/>
      <c r="C185" s="2"/>
      <c r="D185" s="2"/>
      <c r="E185" s="2"/>
      <c r="F185" s="2"/>
      <c r="G185" s="2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3">
      <c r="A186" s="1"/>
      <c r="B186" s="2"/>
      <c r="C186" s="2"/>
      <c r="D186" s="2"/>
      <c r="E186" s="2"/>
      <c r="F186" s="2"/>
      <c r="G186" s="2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3">
      <c r="A187" s="1"/>
      <c r="B187" s="2"/>
      <c r="C187" s="2"/>
      <c r="D187" s="2"/>
      <c r="E187" s="2"/>
      <c r="F187" s="2"/>
      <c r="G187" s="2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3">
      <c r="A188" s="1"/>
      <c r="B188" s="2"/>
      <c r="C188" s="2"/>
      <c r="D188" s="2"/>
      <c r="E188" s="2"/>
      <c r="F188" s="2"/>
      <c r="G188" s="2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3">
      <c r="A189" s="1"/>
      <c r="B189" s="2"/>
      <c r="C189" s="2"/>
      <c r="D189" s="2"/>
      <c r="E189" s="2"/>
      <c r="F189" s="2"/>
      <c r="G189" s="2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3">
      <c r="A190" s="1"/>
      <c r="B190" s="2"/>
      <c r="C190" s="2"/>
      <c r="D190" s="2"/>
      <c r="E190" s="2"/>
      <c r="F190" s="2"/>
      <c r="G190" s="2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3">
      <c r="A191" s="1"/>
      <c r="B191" s="2"/>
      <c r="C191" s="2"/>
      <c r="D191" s="2"/>
      <c r="E191" s="2"/>
      <c r="F191" s="2"/>
      <c r="G191" s="2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3">
      <c r="A192" s="1"/>
      <c r="B192" s="2"/>
      <c r="C192" s="2"/>
      <c r="D192" s="2"/>
      <c r="E192" s="2"/>
      <c r="F192" s="2"/>
      <c r="G192" s="2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3">
      <c r="A193" s="1"/>
      <c r="B193" s="2"/>
      <c r="C193" s="2"/>
      <c r="D193" s="2"/>
      <c r="E193" s="2"/>
      <c r="F193" s="2"/>
      <c r="G193" s="2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3">
      <c r="A194" s="1"/>
      <c r="B194" s="2"/>
      <c r="C194" s="2"/>
      <c r="D194" s="2"/>
      <c r="E194" s="2"/>
      <c r="F194" s="2"/>
      <c r="G194" s="2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3">
      <c r="A195" s="1"/>
      <c r="B195" s="2"/>
      <c r="C195" s="2"/>
      <c r="D195" s="2"/>
      <c r="E195" s="2"/>
      <c r="F195" s="2"/>
      <c r="G195" s="2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3">
      <c r="A196" s="1"/>
      <c r="B196" s="2"/>
      <c r="C196" s="2"/>
      <c r="D196" s="2"/>
      <c r="E196" s="2"/>
      <c r="F196" s="2"/>
      <c r="G196" s="2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3">
      <c r="A197" s="1"/>
      <c r="B197" s="2"/>
      <c r="C197" s="2"/>
      <c r="D197" s="2"/>
      <c r="E197" s="2"/>
      <c r="F197" s="2"/>
      <c r="G197" s="2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3">
      <c r="A198" s="1"/>
      <c r="B198" s="2"/>
      <c r="C198" s="2"/>
      <c r="D198" s="2"/>
      <c r="E198" s="2"/>
      <c r="F198" s="2"/>
      <c r="G198" s="2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3">
      <c r="A199" s="1"/>
      <c r="B199" s="2"/>
      <c r="C199" s="2"/>
      <c r="D199" s="2"/>
      <c r="E199" s="2"/>
      <c r="F199" s="2"/>
      <c r="G199" s="2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3">
      <c r="A200" s="1"/>
      <c r="B200" s="2"/>
      <c r="C200" s="2"/>
      <c r="D200" s="2"/>
      <c r="E200" s="2"/>
      <c r="F200" s="2"/>
      <c r="G200" s="2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4B980-6BD1-484A-A957-8CE5C1EC3F39}">
  <sheetPr>
    <tabColor rgb="FF4F81BD"/>
  </sheetPr>
  <dimension ref="A1:Z200"/>
  <sheetViews>
    <sheetView workbookViewId="0"/>
  </sheetViews>
  <sheetFormatPr defaultRowHeight="14.4" x14ac:dyDescent="0.3"/>
  <cols>
    <col min="1" max="1" width="40.77734375" customWidth="1"/>
    <col min="2" max="8" width="17.5546875" style="3" customWidth="1"/>
  </cols>
  <sheetData>
    <row r="1" spans="1:26" ht="18" x14ac:dyDescent="0.35">
      <c r="A1" s="5" t="s">
        <v>57</v>
      </c>
      <c r="B1" s="6"/>
      <c r="C1" s="6"/>
      <c r="D1" s="6"/>
      <c r="E1" s="6"/>
      <c r="F1" s="6"/>
      <c r="G1" s="6"/>
      <c r="H1" s="6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7" t="s">
        <v>58</v>
      </c>
      <c r="B2" s="8"/>
      <c r="C2" s="8"/>
      <c r="D2" s="8"/>
      <c r="E2" s="8"/>
      <c r="F2" s="8"/>
      <c r="G2" s="8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9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9" t="s">
        <v>10</v>
      </c>
      <c r="B5" s="10" t="s">
        <v>11</v>
      </c>
      <c r="C5" s="10" t="s">
        <v>11</v>
      </c>
      <c r="D5" s="10" t="s">
        <v>12</v>
      </c>
      <c r="E5" s="10" t="s">
        <v>12</v>
      </c>
      <c r="F5" s="10" t="s">
        <v>12</v>
      </c>
      <c r="G5" s="10" t="s">
        <v>12</v>
      </c>
      <c r="H5" s="10" t="s">
        <v>12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2"/>
      <c r="C6" s="2"/>
      <c r="D6" s="2"/>
      <c r="E6" s="2"/>
      <c r="F6" s="2"/>
      <c r="G6" s="2"/>
      <c r="H6" s="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 t="s">
        <v>14</v>
      </c>
      <c r="B7" s="14">
        <f>Assumptions!B8</f>
        <v>255324</v>
      </c>
      <c r="C7" s="14">
        <f>Assumptions!C8</f>
        <v>267021</v>
      </c>
      <c r="D7" s="14">
        <f>C7*(1+Assumptions!D30)</f>
        <v>280372.05</v>
      </c>
      <c r="E7" s="14">
        <f>D7*(1+Assumptions!E30)</f>
        <v>297194.37300000002</v>
      </c>
      <c r="F7" s="14">
        <f>E7*(1+Assumptions!F30)</f>
        <v>315026.03538000002</v>
      </c>
      <c r="G7" s="14">
        <f>F7*(1+Assumptions!G30)</f>
        <v>332352.46732589998</v>
      </c>
      <c r="H7" s="14">
        <f>G7*(1+Assumptions!H30)</f>
        <v>348970.09069219499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 t="s">
        <v>35</v>
      </c>
      <c r="B8" s="15" t="s">
        <v>126</v>
      </c>
      <c r="C8" s="14">
        <f t="shared" ref="C8:H8" si="0">C7/B7-1</f>
        <v>4.581237956478823E-2</v>
      </c>
      <c r="D8" s="15">
        <f t="shared" si="0"/>
        <v>5.0000000000000044E-2</v>
      </c>
      <c r="E8" s="15">
        <f t="shared" si="0"/>
        <v>6.0000000000000053E-2</v>
      </c>
      <c r="F8" s="15">
        <f t="shared" si="0"/>
        <v>6.0000000000000053E-2</v>
      </c>
      <c r="G8" s="15">
        <f t="shared" si="0"/>
        <v>5.4999999999999938E-2</v>
      </c>
      <c r="H8" s="15">
        <f t="shared" si="0"/>
        <v>5.0000000000000044E-2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 t="s">
        <v>15</v>
      </c>
      <c r="B9" s="14">
        <f>Assumptions!B9</f>
        <v>187917</v>
      </c>
      <c r="C9" s="14">
        <f>Assumptions!C9</f>
        <v>194623</v>
      </c>
      <c r="D9" s="14">
        <f>D7*(1-Assumptions!D31)</f>
        <v>204110.85239999997</v>
      </c>
      <c r="E9" s="14">
        <f>E7*(1-Assumptions!E31)</f>
        <v>215465.92042500002</v>
      </c>
      <c r="F9" s="14">
        <f>F7*(1-Assumptions!F31)</f>
        <v>227448.79754436002</v>
      </c>
      <c r="G9" s="14">
        <f>G7*(1-Assumptions!G31)</f>
        <v>239293.77647464798</v>
      </c>
      <c r="H9" s="14">
        <f>H7*(1-Assumptions!H31)</f>
        <v>251258.46529838038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6" t="s">
        <v>59</v>
      </c>
      <c r="B10" s="17">
        <f t="shared" ref="B10:H10" si="1">B7-B9</f>
        <v>67407</v>
      </c>
      <c r="C10" s="17">
        <f t="shared" si="1"/>
        <v>72398</v>
      </c>
      <c r="D10" s="17">
        <f t="shared" si="1"/>
        <v>76261.197600000014</v>
      </c>
      <c r="E10" s="17">
        <f t="shared" si="1"/>
        <v>81728.452575000003</v>
      </c>
      <c r="F10" s="17">
        <f t="shared" si="1"/>
        <v>87577.23783564</v>
      </c>
      <c r="G10" s="17">
        <f t="shared" si="1"/>
        <v>93058.690851252002</v>
      </c>
      <c r="H10" s="17">
        <f t="shared" si="1"/>
        <v>97711.625393814611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6" t="s">
        <v>36</v>
      </c>
      <c r="B11" s="17">
        <f t="shared" ref="B11:H11" si="2">B10/B7</f>
        <v>0.26400573389105608</v>
      </c>
      <c r="C11" s="17">
        <f t="shared" si="2"/>
        <v>0.27113223304534101</v>
      </c>
      <c r="D11" s="17">
        <f t="shared" si="2"/>
        <v>0.27200000000000008</v>
      </c>
      <c r="E11" s="17">
        <f t="shared" si="2"/>
        <v>0.27499999999999997</v>
      </c>
      <c r="F11" s="17">
        <f t="shared" si="2"/>
        <v>0.27799999999999997</v>
      </c>
      <c r="G11" s="17">
        <f t="shared" si="2"/>
        <v>0.28000000000000003</v>
      </c>
      <c r="H11" s="17">
        <f t="shared" si="2"/>
        <v>0.28000000000000003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3">
      <c r="A12" s="1" t="s">
        <v>16</v>
      </c>
      <c r="B12" s="15">
        <f>Assumptions!B10</f>
        <v>5242</v>
      </c>
      <c r="C12" s="15">
        <f>Assumptions!C10</f>
        <v>5560</v>
      </c>
      <c r="D12" s="15">
        <f>D7*Assumptions!D32</f>
        <v>5887.8130499999997</v>
      </c>
      <c r="E12" s="15">
        <f>E7*Assumptions!E32</f>
        <v>6241.0818330000011</v>
      </c>
      <c r="F12" s="15">
        <f>F7*Assumptions!F32</f>
        <v>6615.546742980001</v>
      </c>
      <c r="G12" s="15">
        <f>G7*Assumptions!G32</f>
        <v>6979.4018138439005</v>
      </c>
      <c r="H12" s="15">
        <f>H7*Assumptions!H32</f>
        <v>7328.3719045360949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3">
      <c r="A13" s="16" t="s">
        <v>60</v>
      </c>
      <c r="B13" s="17">
        <f t="shared" ref="B13:H13" si="3">B10-B12</f>
        <v>62165</v>
      </c>
      <c r="C13" s="17">
        <f t="shared" si="3"/>
        <v>66838</v>
      </c>
      <c r="D13" s="17">
        <f t="shared" si="3"/>
        <v>70373.384550000017</v>
      </c>
      <c r="E13" s="17">
        <f t="shared" si="3"/>
        <v>75487.370741999999</v>
      </c>
      <c r="F13" s="17">
        <f t="shared" si="3"/>
        <v>80961.691092659996</v>
      </c>
      <c r="G13" s="17">
        <f t="shared" si="3"/>
        <v>86079.289037408103</v>
      </c>
      <c r="H13" s="17">
        <f t="shared" si="3"/>
        <v>90383.253489278519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3">
      <c r="A14" s="1" t="s">
        <v>61</v>
      </c>
      <c r="B14" s="15">
        <f t="shared" ref="B14:H14" si="4">B13/B7</f>
        <v>0.24347495730914445</v>
      </c>
      <c r="C14" s="15">
        <f t="shared" si="4"/>
        <v>0.25030990071941905</v>
      </c>
      <c r="D14" s="15">
        <f t="shared" si="4"/>
        <v>0.25100000000000006</v>
      </c>
      <c r="E14" s="15">
        <f t="shared" si="4"/>
        <v>0.254</v>
      </c>
      <c r="F14" s="15">
        <f t="shared" si="4"/>
        <v>0.25699999999999995</v>
      </c>
      <c r="G14" s="15">
        <f t="shared" si="4"/>
        <v>0.25900000000000001</v>
      </c>
      <c r="H14" s="15">
        <f t="shared" si="4"/>
        <v>0.25900000000000006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3">
      <c r="A15" s="16" t="s">
        <v>17</v>
      </c>
      <c r="B15" s="18">
        <f>Assumptions!B11</f>
        <v>3962</v>
      </c>
      <c r="C15" s="18">
        <f>Assumptions!C11</f>
        <v>4402</v>
      </c>
      <c r="D15" s="18">
        <f>D7*Assumptions!D33</f>
        <v>4485.9528</v>
      </c>
      <c r="E15" s="18">
        <f>E7*Assumptions!E33</f>
        <v>4457.9155950000004</v>
      </c>
      <c r="F15" s="18">
        <f>F7*Assumptions!F33</f>
        <v>4725.3905307000005</v>
      </c>
      <c r="G15" s="18">
        <f>G7*Assumptions!G33</f>
        <v>4652.9345425625997</v>
      </c>
      <c r="H15" s="18">
        <f>H7*Assumptions!H33</f>
        <v>4885.5812696907296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3">
      <c r="A16" s="1" t="s">
        <v>18</v>
      </c>
      <c r="B16" s="14">
        <f>Assumptions!B12</f>
        <v>796</v>
      </c>
      <c r="C16" s="14">
        <f>Assumptions!C12</f>
        <v>1227</v>
      </c>
      <c r="D16" s="14">
        <f>D7*Assumptions!D34</f>
        <v>1261.6742249999998</v>
      </c>
      <c r="E16" s="14">
        <f>E7*Assumptions!E34</f>
        <v>1337.3746785000001</v>
      </c>
      <c r="F16" s="14">
        <f>F7*Assumptions!F34</f>
        <v>1417.61715921</v>
      </c>
      <c r="G16" s="14">
        <f>G7*Assumptions!G34</f>
        <v>1495.5861029665498</v>
      </c>
      <c r="H16" s="14">
        <f>H7*Assumptions!H34</f>
        <v>1570.3654081148773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3">
      <c r="A17" s="1" t="s">
        <v>19</v>
      </c>
      <c r="B17" s="14">
        <f>Assumptions!B13</f>
        <v>0</v>
      </c>
      <c r="C17" s="14">
        <f>Assumptions!C13</f>
        <v>4526</v>
      </c>
      <c r="D17" s="14">
        <f>0</f>
        <v>0</v>
      </c>
      <c r="E17" s="14">
        <f>0</f>
        <v>0</v>
      </c>
      <c r="F17" s="14">
        <f>0</f>
        <v>0</v>
      </c>
      <c r="G17" s="14">
        <f>0</f>
        <v>0</v>
      </c>
      <c r="H17" s="14">
        <f>0</f>
        <v>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3">
      <c r="A18" s="16" t="s">
        <v>62</v>
      </c>
      <c r="B18" s="17">
        <f t="shared" ref="B18:H18" si="5">B13+B15-B16-B17</f>
        <v>65331</v>
      </c>
      <c r="C18" s="17">
        <f t="shared" si="5"/>
        <v>65487</v>
      </c>
      <c r="D18" s="17">
        <f t="shared" si="5"/>
        <v>73597.663125000021</v>
      </c>
      <c r="E18" s="17">
        <f t="shared" si="5"/>
        <v>78607.911658500001</v>
      </c>
      <c r="F18" s="17">
        <f t="shared" si="5"/>
        <v>84269.464464149991</v>
      </c>
      <c r="G18" s="17">
        <f t="shared" si="5"/>
        <v>89236.637477004144</v>
      </c>
      <c r="H18" s="17">
        <f t="shared" si="5"/>
        <v>93698.469350854371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3">
      <c r="A19" s="1" t="s">
        <v>20</v>
      </c>
      <c r="B19" s="15">
        <f>Assumptions!B14</f>
        <v>16534</v>
      </c>
      <c r="C19" s="15">
        <f>Assumptions!C14</f>
        <v>16033</v>
      </c>
      <c r="D19" s="15">
        <f>D18*Assumptions!D35</f>
        <v>18399.415781250005</v>
      </c>
      <c r="E19" s="15">
        <f>E18*Assumptions!E35</f>
        <v>19651.977914625</v>
      </c>
      <c r="F19" s="15">
        <f>F18*Assumptions!F35</f>
        <v>21067.366116037498</v>
      </c>
      <c r="G19" s="15">
        <f>G18*Assumptions!G35</f>
        <v>22309.159369251036</v>
      </c>
      <c r="H19" s="15">
        <f>H18*Assumptions!H35</f>
        <v>23424.617337713593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3">
      <c r="A20" s="1" t="s">
        <v>40</v>
      </c>
      <c r="B20" s="15">
        <f t="shared" ref="B20:H20" si="6">B19/B18</f>
        <v>0.25308046715954141</v>
      </c>
      <c r="C20" s="15">
        <f t="shared" si="6"/>
        <v>0.24482721761571</v>
      </c>
      <c r="D20" s="15">
        <f t="shared" si="6"/>
        <v>0.25</v>
      </c>
      <c r="E20" s="15">
        <f t="shared" si="6"/>
        <v>0.25</v>
      </c>
      <c r="F20" s="15">
        <f t="shared" si="6"/>
        <v>0.25</v>
      </c>
      <c r="G20" s="15">
        <f t="shared" si="6"/>
        <v>0.25</v>
      </c>
      <c r="H20" s="15">
        <f t="shared" si="6"/>
        <v>0.25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3">
      <c r="A21" s="16" t="s">
        <v>21</v>
      </c>
      <c r="B21" s="17">
        <f>Assumptions!B15</f>
        <v>48797</v>
      </c>
      <c r="C21" s="17">
        <f>Assumptions!C15</f>
        <v>49454</v>
      </c>
      <c r="D21" s="17">
        <f>D18-D19</f>
        <v>55198.247343750016</v>
      </c>
      <c r="E21" s="17">
        <f>E18-E19</f>
        <v>58955.933743875001</v>
      </c>
      <c r="F21" s="17">
        <f>F18-F19</f>
        <v>63202.098348112493</v>
      </c>
      <c r="G21" s="17">
        <f>G18-G19</f>
        <v>66927.478107753108</v>
      </c>
      <c r="H21" s="17">
        <f>H18-H19</f>
        <v>70273.852013140771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3">
      <c r="A22" s="1" t="s">
        <v>63</v>
      </c>
      <c r="B22" s="15">
        <f t="shared" ref="B22:H22" si="7">B21/B7</f>
        <v>0.19111795209224358</v>
      </c>
      <c r="C22" s="15">
        <f t="shared" si="7"/>
        <v>0.18520640698671639</v>
      </c>
      <c r="D22" s="15">
        <f t="shared" si="7"/>
        <v>0.19687500000000008</v>
      </c>
      <c r="E22" s="15">
        <f t="shared" si="7"/>
        <v>0.198375</v>
      </c>
      <c r="F22" s="15">
        <f t="shared" si="7"/>
        <v>0.20062499999999997</v>
      </c>
      <c r="G22" s="15">
        <f t="shared" si="7"/>
        <v>0.201375</v>
      </c>
      <c r="H22" s="15">
        <f t="shared" si="7"/>
        <v>0.20137500000000003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3">
      <c r="A23" s="1"/>
      <c r="B23" s="2"/>
      <c r="C23" s="2"/>
      <c r="D23" s="2"/>
      <c r="E23" s="2"/>
      <c r="F23" s="2"/>
      <c r="G23" s="2"/>
      <c r="H23" s="2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3">
      <c r="A24" s="16"/>
      <c r="B24" s="21"/>
      <c r="C24" s="21"/>
      <c r="D24" s="21"/>
      <c r="E24" s="21"/>
      <c r="F24" s="21"/>
      <c r="G24" s="21"/>
      <c r="H24" s="2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3">
      <c r="A25" s="20"/>
      <c r="B25" s="19"/>
      <c r="C25" s="19"/>
      <c r="D25" s="19"/>
      <c r="E25" s="19"/>
      <c r="F25" s="19"/>
      <c r="G25" s="19"/>
      <c r="H25" s="19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3">
      <c r="A26" s="1"/>
      <c r="B26" s="2"/>
      <c r="C26" s="2"/>
      <c r="D26" s="2"/>
      <c r="E26" s="2"/>
      <c r="F26" s="2"/>
      <c r="G26" s="2"/>
      <c r="H26" s="2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3">
      <c r="A27" s="1"/>
      <c r="B27" s="2"/>
      <c r="C27" s="2"/>
      <c r="D27" s="2"/>
      <c r="E27" s="2"/>
      <c r="F27" s="2"/>
      <c r="G27" s="2"/>
      <c r="H27" s="2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3">
      <c r="A28" s="1"/>
      <c r="B28" s="2"/>
      <c r="C28" s="2"/>
      <c r="D28" s="2"/>
      <c r="E28" s="2"/>
      <c r="F28" s="2"/>
      <c r="G28" s="2"/>
      <c r="H28" s="2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2"/>
      <c r="C29" s="2"/>
      <c r="D29" s="2"/>
      <c r="E29" s="2"/>
      <c r="F29" s="2"/>
      <c r="G29" s="2"/>
      <c r="H29" s="2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3">
      <c r="A30" s="1"/>
      <c r="B30" s="2"/>
      <c r="C30" s="2"/>
      <c r="D30" s="2"/>
      <c r="E30" s="2"/>
      <c r="F30" s="2"/>
      <c r="G30" s="2"/>
      <c r="H30" s="2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2"/>
      <c r="C31" s="2"/>
      <c r="D31" s="2"/>
      <c r="E31" s="2"/>
      <c r="F31" s="2"/>
      <c r="G31" s="2"/>
      <c r="H31" s="2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3">
      <c r="A32" s="1"/>
      <c r="B32" s="2"/>
      <c r="C32" s="2"/>
      <c r="D32" s="2"/>
      <c r="E32" s="2"/>
      <c r="F32" s="2"/>
      <c r="G32" s="2"/>
      <c r="H32" s="2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2"/>
      <c r="C33" s="2"/>
      <c r="D33" s="2"/>
      <c r="E33" s="2"/>
      <c r="F33" s="2"/>
      <c r="G33" s="2"/>
      <c r="H33" s="2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2"/>
      <c r="C34" s="2"/>
      <c r="D34" s="2"/>
      <c r="E34" s="2"/>
      <c r="F34" s="2"/>
      <c r="G34" s="2"/>
      <c r="H34" s="2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2"/>
      <c r="C35" s="2"/>
      <c r="D35" s="2"/>
      <c r="E35" s="2"/>
      <c r="F35" s="2"/>
      <c r="G35" s="2"/>
      <c r="H35" s="2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1"/>
      <c r="B36" s="2"/>
      <c r="C36" s="2"/>
      <c r="D36" s="2"/>
      <c r="E36" s="2"/>
      <c r="F36" s="2"/>
      <c r="G36" s="2"/>
      <c r="H36" s="2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">
      <c r="A37" s="1"/>
      <c r="B37" s="2"/>
      <c r="C37" s="2"/>
      <c r="D37" s="2"/>
      <c r="E37" s="2"/>
      <c r="F37" s="2"/>
      <c r="G37" s="2"/>
      <c r="H37" s="2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">
      <c r="A38" s="1"/>
      <c r="B38" s="2"/>
      <c r="C38" s="2"/>
      <c r="D38" s="2"/>
      <c r="E38" s="2"/>
      <c r="F38" s="2"/>
      <c r="G38" s="2"/>
      <c r="H38" s="2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">
      <c r="A39" s="1"/>
      <c r="B39" s="2"/>
      <c r="C39" s="2"/>
      <c r="D39" s="2"/>
      <c r="E39" s="2"/>
      <c r="F39" s="2"/>
      <c r="G39" s="2"/>
      <c r="H39" s="2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">
      <c r="A40" s="1"/>
      <c r="B40" s="2"/>
      <c r="C40" s="2"/>
      <c r="D40" s="2"/>
      <c r="E40" s="2"/>
      <c r="F40" s="2"/>
      <c r="G40" s="2"/>
      <c r="H40" s="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">
      <c r="A41" s="1"/>
      <c r="B41" s="2"/>
      <c r="C41" s="2"/>
      <c r="D41" s="2"/>
      <c r="E41" s="2"/>
      <c r="F41" s="2"/>
      <c r="G41" s="2"/>
      <c r="H41" s="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">
      <c r="A42" s="1"/>
      <c r="B42" s="2"/>
      <c r="C42" s="2"/>
      <c r="D42" s="2"/>
      <c r="E42" s="2"/>
      <c r="F42" s="2"/>
      <c r="G42" s="2"/>
      <c r="H42" s="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">
      <c r="A43" s="1"/>
      <c r="B43" s="2"/>
      <c r="C43" s="2"/>
      <c r="D43" s="2"/>
      <c r="E43" s="2"/>
      <c r="F43" s="2"/>
      <c r="G43" s="2"/>
      <c r="H43" s="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">
      <c r="A44" s="1"/>
      <c r="B44" s="2"/>
      <c r="C44" s="2"/>
      <c r="D44" s="2"/>
      <c r="E44" s="2"/>
      <c r="F44" s="2"/>
      <c r="G44" s="2"/>
      <c r="H44" s="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">
      <c r="A45" s="1"/>
      <c r="B45" s="2"/>
      <c r="C45" s="2"/>
      <c r="D45" s="2"/>
      <c r="E45" s="2"/>
      <c r="F45" s="2"/>
      <c r="G45" s="2"/>
      <c r="H45" s="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">
      <c r="A46" s="1"/>
      <c r="B46" s="2"/>
      <c r="C46" s="2"/>
      <c r="D46" s="2"/>
      <c r="E46" s="2"/>
      <c r="F46" s="2"/>
      <c r="G46" s="2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">
      <c r="A47" s="1"/>
      <c r="B47" s="2"/>
      <c r="C47" s="2"/>
      <c r="D47" s="2"/>
      <c r="E47" s="2"/>
      <c r="F47" s="2"/>
      <c r="G47" s="2"/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">
      <c r="A48" s="1"/>
      <c r="B48" s="2"/>
      <c r="C48" s="2"/>
      <c r="D48" s="2"/>
      <c r="E48" s="2"/>
      <c r="F48" s="2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3">
      <c r="A49" s="1"/>
      <c r="B49" s="2"/>
      <c r="C49" s="2"/>
      <c r="D49" s="2"/>
      <c r="E49" s="2"/>
      <c r="F49" s="2"/>
      <c r="G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3">
      <c r="A50" s="1"/>
      <c r="B50" s="2"/>
      <c r="C50" s="2"/>
      <c r="D50" s="2"/>
      <c r="E50" s="2"/>
      <c r="F50" s="2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3">
      <c r="A51" s="1"/>
      <c r="B51" s="2"/>
      <c r="C51" s="2"/>
      <c r="D51" s="2"/>
      <c r="E51" s="2"/>
      <c r="F51" s="2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3">
      <c r="A52" s="1"/>
      <c r="B52" s="2"/>
      <c r="C52" s="2"/>
      <c r="D52" s="2"/>
      <c r="E52" s="2"/>
      <c r="F52" s="2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3">
      <c r="A53" s="1"/>
      <c r="B53" s="2"/>
      <c r="C53" s="2"/>
      <c r="D53" s="2"/>
      <c r="E53" s="2"/>
      <c r="F53" s="2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3">
      <c r="A54" s="1"/>
      <c r="B54" s="2"/>
      <c r="C54" s="2"/>
      <c r="D54" s="2"/>
      <c r="E54" s="2"/>
      <c r="F54" s="2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3">
      <c r="A55" s="1"/>
      <c r="B55" s="2"/>
      <c r="C55" s="2"/>
      <c r="D55" s="2"/>
      <c r="E55" s="2"/>
      <c r="F55" s="2"/>
      <c r="G55" s="2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3">
      <c r="A56" s="1"/>
      <c r="B56" s="2"/>
      <c r="C56" s="2"/>
      <c r="D56" s="2"/>
      <c r="E56" s="2"/>
      <c r="F56" s="2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3">
      <c r="A57" s="1"/>
      <c r="B57" s="2"/>
      <c r="C57" s="2"/>
      <c r="D57" s="2"/>
      <c r="E57" s="2"/>
      <c r="F57" s="2"/>
      <c r="G57" s="2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3">
      <c r="A58" s="1"/>
      <c r="B58" s="2"/>
      <c r="C58" s="2"/>
      <c r="D58" s="2"/>
      <c r="E58" s="2"/>
      <c r="F58" s="2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3">
      <c r="A59" s="1"/>
      <c r="B59" s="2"/>
      <c r="C59" s="2"/>
      <c r="D59" s="2"/>
      <c r="E59" s="2"/>
      <c r="F59" s="2"/>
      <c r="G59" s="2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3">
      <c r="A60" s="1"/>
      <c r="B60" s="2"/>
      <c r="C60" s="2"/>
      <c r="D60" s="2"/>
      <c r="E60" s="2"/>
      <c r="F60" s="2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3">
      <c r="A61" s="1"/>
      <c r="B61" s="2"/>
      <c r="C61" s="2"/>
      <c r="D61" s="2"/>
      <c r="E61" s="2"/>
      <c r="F61" s="2"/>
      <c r="G61" s="2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3">
      <c r="A62" s="1"/>
      <c r="B62" s="2"/>
      <c r="C62" s="2"/>
      <c r="D62" s="2"/>
      <c r="E62" s="2"/>
      <c r="F62" s="2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3">
      <c r="A63" s="1"/>
      <c r="B63" s="2"/>
      <c r="C63" s="2"/>
      <c r="D63" s="2"/>
      <c r="E63" s="2"/>
      <c r="F63" s="2"/>
      <c r="G63" s="2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3">
      <c r="A64" s="1"/>
      <c r="B64" s="2"/>
      <c r="C64" s="2"/>
      <c r="D64" s="2"/>
      <c r="E64" s="2"/>
      <c r="F64" s="2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3">
      <c r="A65" s="1"/>
      <c r="B65" s="2"/>
      <c r="C65" s="2"/>
      <c r="D65" s="2"/>
      <c r="E65" s="2"/>
      <c r="F65" s="2"/>
      <c r="G65" s="2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3">
      <c r="A66" s="1"/>
      <c r="B66" s="2"/>
      <c r="C66" s="2"/>
      <c r="D66" s="2"/>
      <c r="E66" s="2"/>
      <c r="F66" s="2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3">
      <c r="A67" s="1"/>
      <c r="B67" s="2"/>
      <c r="C67" s="2"/>
      <c r="D67" s="2"/>
      <c r="E67" s="2"/>
      <c r="F67" s="2"/>
      <c r="G67" s="2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3">
      <c r="A68" s="1"/>
      <c r="B68" s="2"/>
      <c r="C68" s="2"/>
      <c r="D68" s="2"/>
      <c r="E68" s="2"/>
      <c r="F68" s="2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3">
      <c r="A69" s="1"/>
      <c r="B69" s="2"/>
      <c r="C69" s="2"/>
      <c r="D69" s="2"/>
      <c r="E69" s="2"/>
      <c r="F69" s="2"/>
      <c r="G69" s="2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3">
      <c r="A70" s="1"/>
      <c r="B70" s="2"/>
      <c r="C70" s="2"/>
      <c r="D70" s="2"/>
      <c r="E70" s="2"/>
      <c r="F70" s="2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3">
      <c r="A71" s="1"/>
      <c r="B71" s="2"/>
      <c r="C71" s="2"/>
      <c r="D71" s="2"/>
      <c r="E71" s="2"/>
      <c r="F71" s="2"/>
      <c r="G71" s="2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3">
      <c r="A72" s="1"/>
      <c r="B72" s="2"/>
      <c r="C72" s="2"/>
      <c r="D72" s="2"/>
      <c r="E72" s="2"/>
      <c r="F72" s="2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3">
      <c r="A73" s="1"/>
      <c r="B73" s="2"/>
      <c r="C73" s="2"/>
      <c r="D73" s="2"/>
      <c r="E73" s="2"/>
      <c r="F73" s="2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3">
      <c r="A74" s="1"/>
      <c r="B74" s="2"/>
      <c r="C74" s="2"/>
      <c r="D74" s="2"/>
      <c r="E74" s="2"/>
      <c r="F74" s="2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3">
      <c r="A75" s="1"/>
      <c r="B75" s="2"/>
      <c r="C75" s="2"/>
      <c r="D75" s="2"/>
      <c r="E75" s="2"/>
      <c r="F75" s="2"/>
      <c r="G75" s="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3">
      <c r="A76" s="1"/>
      <c r="B76" s="2"/>
      <c r="C76" s="2"/>
      <c r="D76" s="2"/>
      <c r="E76" s="2"/>
      <c r="F76" s="2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3">
      <c r="A77" s="1"/>
      <c r="B77" s="2"/>
      <c r="C77" s="2"/>
      <c r="D77" s="2"/>
      <c r="E77" s="2"/>
      <c r="F77" s="2"/>
      <c r="G77" s="2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3">
      <c r="A78" s="1"/>
      <c r="B78" s="2"/>
      <c r="C78" s="2"/>
      <c r="D78" s="2"/>
      <c r="E78" s="2"/>
      <c r="F78" s="2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3">
      <c r="A79" s="1"/>
      <c r="B79" s="2"/>
      <c r="C79" s="2"/>
      <c r="D79" s="2"/>
      <c r="E79" s="2"/>
      <c r="F79" s="2"/>
      <c r="G79" s="2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3">
      <c r="A80" s="1"/>
      <c r="B80" s="2"/>
      <c r="C80" s="2"/>
      <c r="D80" s="2"/>
      <c r="E80" s="2"/>
      <c r="F80" s="2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3">
      <c r="A81" s="1"/>
      <c r="B81" s="2"/>
      <c r="C81" s="2"/>
      <c r="D81" s="2"/>
      <c r="E81" s="2"/>
      <c r="F81" s="2"/>
      <c r="G81" s="2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3">
      <c r="A82" s="1"/>
      <c r="B82" s="2"/>
      <c r="C82" s="2"/>
      <c r="D82" s="2"/>
      <c r="E82" s="2"/>
      <c r="F82" s="2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3">
      <c r="A83" s="1"/>
      <c r="B83" s="2"/>
      <c r="C83" s="2"/>
      <c r="D83" s="2"/>
      <c r="E83" s="2"/>
      <c r="F83" s="2"/>
      <c r="G83" s="2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3">
      <c r="A84" s="1"/>
      <c r="B84" s="2"/>
      <c r="C84" s="2"/>
      <c r="D84" s="2"/>
      <c r="E84" s="2"/>
      <c r="F84" s="2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3">
      <c r="A85" s="1"/>
      <c r="B85" s="2"/>
      <c r="C85" s="2"/>
      <c r="D85" s="2"/>
      <c r="E85" s="2"/>
      <c r="F85" s="2"/>
      <c r="G85" s="2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3">
      <c r="A86" s="1"/>
      <c r="B86" s="2"/>
      <c r="C86" s="2"/>
      <c r="D86" s="2"/>
      <c r="E86" s="2"/>
      <c r="F86" s="2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3">
      <c r="A87" s="1"/>
      <c r="B87" s="2"/>
      <c r="C87" s="2"/>
      <c r="D87" s="2"/>
      <c r="E87" s="2"/>
      <c r="F87" s="2"/>
      <c r="G87" s="2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3">
      <c r="A88" s="1"/>
      <c r="B88" s="2"/>
      <c r="C88" s="2"/>
      <c r="D88" s="2"/>
      <c r="E88" s="2"/>
      <c r="F88" s="2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3">
      <c r="A89" s="1"/>
      <c r="B89" s="2"/>
      <c r="C89" s="2"/>
      <c r="D89" s="2"/>
      <c r="E89" s="2"/>
      <c r="F89" s="2"/>
      <c r="G89" s="2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3">
      <c r="A90" s="1"/>
      <c r="B90" s="2"/>
      <c r="C90" s="2"/>
      <c r="D90" s="2"/>
      <c r="E90" s="2"/>
      <c r="F90" s="2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3">
      <c r="A91" s="1"/>
      <c r="B91" s="2"/>
      <c r="C91" s="2"/>
      <c r="D91" s="2"/>
      <c r="E91" s="2"/>
      <c r="F91" s="2"/>
      <c r="G91" s="2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3">
      <c r="A92" s="1"/>
      <c r="B92" s="2"/>
      <c r="C92" s="2"/>
      <c r="D92" s="2"/>
      <c r="E92" s="2"/>
      <c r="F92" s="2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3">
      <c r="A93" s="1"/>
      <c r="B93" s="2"/>
      <c r="C93" s="2"/>
      <c r="D93" s="2"/>
      <c r="E93" s="2"/>
      <c r="F93" s="2"/>
      <c r="G93" s="2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3">
      <c r="A94" s="1"/>
      <c r="B94" s="2"/>
      <c r="C94" s="2"/>
      <c r="D94" s="2"/>
      <c r="E94" s="2"/>
      <c r="F94" s="2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3">
      <c r="A95" s="1"/>
      <c r="B95" s="2"/>
      <c r="C95" s="2"/>
      <c r="D95" s="2"/>
      <c r="E95" s="2"/>
      <c r="F95" s="2"/>
      <c r="G95" s="2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3">
      <c r="A96" s="1"/>
      <c r="B96" s="2"/>
      <c r="C96" s="2"/>
      <c r="D96" s="2"/>
      <c r="E96" s="2"/>
      <c r="F96" s="2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3">
      <c r="A97" s="1"/>
      <c r="B97" s="2"/>
      <c r="C97" s="2"/>
      <c r="D97" s="2"/>
      <c r="E97" s="2"/>
      <c r="F97" s="2"/>
      <c r="G97" s="2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3">
      <c r="A98" s="1"/>
      <c r="B98" s="2"/>
      <c r="C98" s="2"/>
      <c r="D98" s="2"/>
      <c r="E98" s="2"/>
      <c r="F98" s="2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3">
      <c r="A99" s="1"/>
      <c r="B99" s="2"/>
      <c r="C99" s="2"/>
      <c r="D99" s="2"/>
      <c r="E99" s="2"/>
      <c r="F99" s="2"/>
      <c r="G99" s="2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3">
      <c r="A100" s="1"/>
      <c r="B100" s="2"/>
      <c r="C100" s="2"/>
      <c r="D100" s="2"/>
      <c r="E100" s="2"/>
      <c r="F100" s="2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3">
      <c r="A101" s="1"/>
      <c r="B101" s="2"/>
      <c r="C101" s="2"/>
      <c r="D101" s="2"/>
      <c r="E101" s="2"/>
      <c r="F101" s="2"/>
      <c r="G101" s="2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3">
      <c r="A102" s="1"/>
      <c r="B102" s="2"/>
      <c r="C102" s="2"/>
      <c r="D102" s="2"/>
      <c r="E102" s="2"/>
      <c r="F102" s="2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3">
      <c r="A103" s="1"/>
      <c r="B103" s="2"/>
      <c r="C103" s="2"/>
      <c r="D103" s="2"/>
      <c r="E103" s="2"/>
      <c r="F103" s="2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3">
      <c r="A104" s="1"/>
      <c r="B104" s="2"/>
      <c r="C104" s="2"/>
      <c r="D104" s="2"/>
      <c r="E104" s="2"/>
      <c r="F104" s="2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3">
      <c r="A105" s="1"/>
      <c r="B105" s="2"/>
      <c r="C105" s="2"/>
      <c r="D105" s="2"/>
      <c r="E105" s="2"/>
      <c r="F105" s="2"/>
      <c r="G105" s="2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3">
      <c r="A106" s="1"/>
      <c r="B106" s="2"/>
      <c r="C106" s="2"/>
      <c r="D106" s="2"/>
      <c r="E106" s="2"/>
      <c r="F106" s="2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3">
      <c r="A107" s="1"/>
      <c r="B107" s="2"/>
      <c r="C107" s="2"/>
      <c r="D107" s="2"/>
      <c r="E107" s="2"/>
      <c r="F107" s="2"/>
      <c r="G107" s="2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3">
      <c r="A108" s="1"/>
      <c r="B108" s="2"/>
      <c r="C108" s="2"/>
      <c r="D108" s="2"/>
      <c r="E108" s="2"/>
      <c r="F108" s="2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3">
      <c r="A109" s="1"/>
      <c r="B109" s="2"/>
      <c r="C109" s="2"/>
      <c r="D109" s="2"/>
      <c r="E109" s="2"/>
      <c r="F109" s="2"/>
      <c r="G109" s="2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3">
      <c r="A110" s="1"/>
      <c r="B110" s="2"/>
      <c r="C110" s="2"/>
      <c r="D110" s="2"/>
      <c r="E110" s="2"/>
      <c r="F110" s="2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3">
      <c r="A111" s="1"/>
      <c r="B111" s="2"/>
      <c r="C111" s="2"/>
      <c r="D111" s="2"/>
      <c r="E111" s="2"/>
      <c r="F111" s="2"/>
      <c r="G111" s="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3">
      <c r="A112" s="1"/>
      <c r="B112" s="2"/>
      <c r="C112" s="2"/>
      <c r="D112" s="2"/>
      <c r="E112" s="2"/>
      <c r="F112" s="2"/>
      <c r="G112" s="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3">
      <c r="A113" s="1"/>
      <c r="B113" s="2"/>
      <c r="C113" s="2"/>
      <c r="D113" s="2"/>
      <c r="E113" s="2"/>
      <c r="F113" s="2"/>
      <c r="G113" s="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3">
      <c r="A114" s="1"/>
      <c r="B114" s="2"/>
      <c r="C114" s="2"/>
      <c r="D114" s="2"/>
      <c r="E114" s="2"/>
      <c r="F114" s="2"/>
      <c r="G114" s="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3">
      <c r="A115" s="1"/>
      <c r="B115" s="2"/>
      <c r="C115" s="2"/>
      <c r="D115" s="2"/>
      <c r="E115" s="2"/>
      <c r="F115" s="2"/>
      <c r="G115" s="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3">
      <c r="A116" s="1"/>
      <c r="B116" s="2"/>
      <c r="C116" s="2"/>
      <c r="D116" s="2"/>
      <c r="E116" s="2"/>
      <c r="F116" s="2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3">
      <c r="A117" s="1"/>
      <c r="B117" s="2"/>
      <c r="C117" s="2"/>
      <c r="D117" s="2"/>
      <c r="E117" s="2"/>
      <c r="F117" s="2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3">
      <c r="A118" s="1"/>
      <c r="B118" s="2"/>
      <c r="C118" s="2"/>
      <c r="D118" s="2"/>
      <c r="E118" s="2"/>
      <c r="F118" s="2"/>
      <c r="G118" s="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3">
      <c r="A119" s="1"/>
      <c r="B119" s="2"/>
      <c r="C119" s="2"/>
      <c r="D119" s="2"/>
      <c r="E119" s="2"/>
      <c r="F119" s="2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3">
      <c r="A120" s="1"/>
      <c r="B120" s="2"/>
      <c r="C120" s="2"/>
      <c r="D120" s="2"/>
      <c r="E120" s="2"/>
      <c r="F120" s="2"/>
      <c r="G120" s="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3">
      <c r="A121" s="1"/>
      <c r="B121" s="2"/>
      <c r="C121" s="2"/>
      <c r="D121" s="2"/>
      <c r="E121" s="2"/>
      <c r="F121" s="2"/>
      <c r="G121" s="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3">
      <c r="A122" s="1"/>
      <c r="B122" s="2"/>
      <c r="C122" s="2"/>
      <c r="D122" s="2"/>
      <c r="E122" s="2"/>
      <c r="F122" s="2"/>
      <c r="G122" s="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3">
      <c r="A123" s="1"/>
      <c r="B123" s="2"/>
      <c r="C123" s="2"/>
      <c r="D123" s="2"/>
      <c r="E123" s="2"/>
      <c r="F123" s="2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3">
      <c r="A124" s="1"/>
      <c r="B124" s="2"/>
      <c r="C124" s="2"/>
      <c r="D124" s="2"/>
      <c r="E124" s="2"/>
      <c r="F124" s="2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3">
      <c r="A125" s="1"/>
      <c r="B125" s="2"/>
      <c r="C125" s="2"/>
      <c r="D125" s="2"/>
      <c r="E125" s="2"/>
      <c r="F125" s="2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3">
      <c r="A126" s="1"/>
      <c r="B126" s="2"/>
      <c r="C126" s="2"/>
      <c r="D126" s="2"/>
      <c r="E126" s="2"/>
      <c r="F126" s="2"/>
      <c r="G126" s="2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3">
      <c r="A127" s="1"/>
      <c r="B127" s="2"/>
      <c r="C127" s="2"/>
      <c r="D127" s="2"/>
      <c r="E127" s="2"/>
      <c r="F127" s="2"/>
      <c r="G127" s="2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3">
      <c r="A128" s="1"/>
      <c r="B128" s="2"/>
      <c r="C128" s="2"/>
      <c r="D128" s="2"/>
      <c r="E128" s="2"/>
      <c r="F128" s="2"/>
      <c r="G128" s="2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3">
      <c r="A129" s="1"/>
      <c r="B129" s="2"/>
      <c r="C129" s="2"/>
      <c r="D129" s="2"/>
      <c r="E129" s="2"/>
      <c r="F129" s="2"/>
      <c r="G129" s="2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3">
      <c r="A130" s="1"/>
      <c r="B130" s="2"/>
      <c r="C130" s="2"/>
      <c r="D130" s="2"/>
      <c r="E130" s="2"/>
      <c r="F130" s="2"/>
      <c r="G130" s="2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3">
      <c r="A131" s="1"/>
      <c r="B131" s="2"/>
      <c r="C131" s="2"/>
      <c r="D131" s="2"/>
      <c r="E131" s="2"/>
      <c r="F131" s="2"/>
      <c r="G131" s="2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3">
      <c r="A132" s="1"/>
      <c r="B132" s="2"/>
      <c r="C132" s="2"/>
      <c r="D132" s="2"/>
      <c r="E132" s="2"/>
      <c r="F132" s="2"/>
      <c r="G132" s="2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3">
      <c r="A133" s="1"/>
      <c r="B133" s="2"/>
      <c r="C133" s="2"/>
      <c r="D133" s="2"/>
      <c r="E133" s="2"/>
      <c r="F133" s="2"/>
      <c r="G133" s="2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3">
      <c r="A134" s="1"/>
      <c r="B134" s="2"/>
      <c r="C134" s="2"/>
      <c r="D134" s="2"/>
      <c r="E134" s="2"/>
      <c r="F134" s="2"/>
      <c r="G134" s="2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3">
      <c r="A135" s="1"/>
      <c r="B135" s="2"/>
      <c r="C135" s="2"/>
      <c r="D135" s="2"/>
      <c r="E135" s="2"/>
      <c r="F135" s="2"/>
      <c r="G135" s="2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3">
      <c r="A136" s="1"/>
      <c r="B136" s="2"/>
      <c r="C136" s="2"/>
      <c r="D136" s="2"/>
      <c r="E136" s="2"/>
      <c r="F136" s="2"/>
      <c r="G136" s="2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3">
      <c r="A137" s="1"/>
      <c r="B137" s="2"/>
      <c r="C137" s="2"/>
      <c r="D137" s="2"/>
      <c r="E137" s="2"/>
      <c r="F137" s="2"/>
      <c r="G137" s="2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3">
      <c r="A138" s="1"/>
      <c r="B138" s="2"/>
      <c r="C138" s="2"/>
      <c r="D138" s="2"/>
      <c r="E138" s="2"/>
      <c r="F138" s="2"/>
      <c r="G138" s="2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3">
      <c r="A139" s="1"/>
      <c r="B139" s="2"/>
      <c r="C139" s="2"/>
      <c r="D139" s="2"/>
      <c r="E139" s="2"/>
      <c r="F139" s="2"/>
      <c r="G139" s="2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3">
      <c r="A140" s="1"/>
      <c r="B140" s="2"/>
      <c r="C140" s="2"/>
      <c r="D140" s="2"/>
      <c r="E140" s="2"/>
      <c r="F140" s="2"/>
      <c r="G140" s="2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3">
      <c r="A141" s="1"/>
      <c r="B141" s="2"/>
      <c r="C141" s="2"/>
      <c r="D141" s="2"/>
      <c r="E141" s="2"/>
      <c r="F141" s="2"/>
      <c r="G141" s="2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3">
      <c r="A142" s="1"/>
      <c r="B142" s="2"/>
      <c r="C142" s="2"/>
      <c r="D142" s="2"/>
      <c r="E142" s="2"/>
      <c r="F142" s="2"/>
      <c r="G142" s="2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3">
      <c r="A143" s="1"/>
      <c r="B143" s="2"/>
      <c r="C143" s="2"/>
      <c r="D143" s="2"/>
      <c r="E143" s="2"/>
      <c r="F143" s="2"/>
      <c r="G143" s="2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3">
      <c r="A144" s="1"/>
      <c r="B144" s="2"/>
      <c r="C144" s="2"/>
      <c r="D144" s="2"/>
      <c r="E144" s="2"/>
      <c r="F144" s="2"/>
      <c r="G144" s="2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3">
      <c r="A145" s="1"/>
      <c r="B145" s="2"/>
      <c r="C145" s="2"/>
      <c r="D145" s="2"/>
      <c r="E145" s="2"/>
      <c r="F145" s="2"/>
      <c r="G145" s="2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3">
      <c r="A146" s="1"/>
      <c r="B146" s="2"/>
      <c r="C146" s="2"/>
      <c r="D146" s="2"/>
      <c r="E146" s="2"/>
      <c r="F146" s="2"/>
      <c r="G146" s="2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3">
      <c r="A147" s="1"/>
      <c r="B147" s="2"/>
      <c r="C147" s="2"/>
      <c r="D147" s="2"/>
      <c r="E147" s="2"/>
      <c r="F147" s="2"/>
      <c r="G147" s="2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3">
      <c r="A148" s="1"/>
      <c r="B148" s="2"/>
      <c r="C148" s="2"/>
      <c r="D148" s="2"/>
      <c r="E148" s="2"/>
      <c r="F148" s="2"/>
      <c r="G148" s="2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3">
      <c r="A149" s="1"/>
      <c r="B149" s="2"/>
      <c r="C149" s="2"/>
      <c r="D149" s="2"/>
      <c r="E149" s="2"/>
      <c r="F149" s="2"/>
      <c r="G149" s="2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3">
      <c r="A150" s="1"/>
      <c r="B150" s="2"/>
      <c r="C150" s="2"/>
      <c r="D150" s="2"/>
      <c r="E150" s="2"/>
      <c r="F150" s="2"/>
      <c r="G150" s="2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3">
      <c r="A151" s="1"/>
      <c r="B151" s="2"/>
      <c r="C151" s="2"/>
      <c r="D151" s="2"/>
      <c r="E151" s="2"/>
      <c r="F151" s="2"/>
      <c r="G151" s="2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3">
      <c r="A152" s="1"/>
      <c r="B152" s="2"/>
      <c r="C152" s="2"/>
      <c r="D152" s="2"/>
      <c r="E152" s="2"/>
      <c r="F152" s="2"/>
      <c r="G152" s="2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3">
      <c r="A153" s="1"/>
      <c r="B153" s="2"/>
      <c r="C153" s="2"/>
      <c r="D153" s="2"/>
      <c r="E153" s="2"/>
      <c r="F153" s="2"/>
      <c r="G153" s="2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3">
      <c r="A154" s="1"/>
      <c r="B154" s="2"/>
      <c r="C154" s="2"/>
      <c r="D154" s="2"/>
      <c r="E154" s="2"/>
      <c r="F154" s="2"/>
      <c r="G154" s="2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3">
      <c r="A155" s="1"/>
      <c r="B155" s="2"/>
      <c r="C155" s="2"/>
      <c r="D155" s="2"/>
      <c r="E155" s="2"/>
      <c r="F155" s="2"/>
      <c r="G155" s="2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3">
      <c r="A156" s="1"/>
      <c r="B156" s="2"/>
      <c r="C156" s="2"/>
      <c r="D156" s="2"/>
      <c r="E156" s="2"/>
      <c r="F156" s="2"/>
      <c r="G156" s="2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3">
      <c r="A157" s="1"/>
      <c r="B157" s="2"/>
      <c r="C157" s="2"/>
      <c r="D157" s="2"/>
      <c r="E157" s="2"/>
      <c r="F157" s="2"/>
      <c r="G157" s="2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3">
      <c r="A158" s="1"/>
      <c r="B158" s="2"/>
      <c r="C158" s="2"/>
      <c r="D158" s="2"/>
      <c r="E158" s="2"/>
      <c r="F158" s="2"/>
      <c r="G158" s="2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3">
      <c r="A159" s="1"/>
      <c r="B159" s="2"/>
      <c r="C159" s="2"/>
      <c r="D159" s="2"/>
      <c r="E159" s="2"/>
      <c r="F159" s="2"/>
      <c r="G159" s="2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3">
      <c r="A160" s="1"/>
      <c r="B160" s="2"/>
      <c r="C160" s="2"/>
      <c r="D160" s="2"/>
      <c r="E160" s="2"/>
      <c r="F160" s="2"/>
      <c r="G160" s="2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3">
      <c r="A161" s="1"/>
      <c r="B161" s="2"/>
      <c r="C161" s="2"/>
      <c r="D161" s="2"/>
      <c r="E161" s="2"/>
      <c r="F161" s="2"/>
      <c r="G161" s="2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3">
      <c r="A162" s="1"/>
      <c r="B162" s="2"/>
      <c r="C162" s="2"/>
      <c r="D162" s="2"/>
      <c r="E162" s="2"/>
      <c r="F162" s="2"/>
      <c r="G162" s="2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3">
      <c r="A163" s="1"/>
      <c r="B163" s="2"/>
      <c r="C163" s="2"/>
      <c r="D163" s="2"/>
      <c r="E163" s="2"/>
      <c r="F163" s="2"/>
      <c r="G163" s="2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3">
      <c r="A164" s="1"/>
      <c r="B164" s="2"/>
      <c r="C164" s="2"/>
      <c r="D164" s="2"/>
      <c r="E164" s="2"/>
      <c r="F164" s="2"/>
      <c r="G164" s="2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3">
      <c r="A165" s="1"/>
      <c r="B165" s="2"/>
      <c r="C165" s="2"/>
      <c r="D165" s="2"/>
      <c r="E165" s="2"/>
      <c r="F165" s="2"/>
      <c r="G165" s="2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3">
      <c r="A166" s="1"/>
      <c r="B166" s="2"/>
      <c r="C166" s="2"/>
      <c r="D166" s="2"/>
      <c r="E166" s="2"/>
      <c r="F166" s="2"/>
      <c r="G166" s="2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3">
      <c r="A167" s="1"/>
      <c r="B167" s="2"/>
      <c r="C167" s="2"/>
      <c r="D167" s="2"/>
      <c r="E167" s="2"/>
      <c r="F167" s="2"/>
      <c r="G167" s="2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3">
      <c r="A168" s="1"/>
      <c r="B168" s="2"/>
      <c r="C168" s="2"/>
      <c r="D168" s="2"/>
      <c r="E168" s="2"/>
      <c r="F168" s="2"/>
      <c r="G168" s="2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3">
      <c r="A169" s="1"/>
      <c r="B169" s="2"/>
      <c r="C169" s="2"/>
      <c r="D169" s="2"/>
      <c r="E169" s="2"/>
      <c r="F169" s="2"/>
      <c r="G169" s="2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3">
      <c r="A170" s="1"/>
      <c r="B170" s="2"/>
      <c r="C170" s="2"/>
      <c r="D170" s="2"/>
      <c r="E170" s="2"/>
      <c r="F170" s="2"/>
      <c r="G170" s="2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3">
      <c r="A171" s="1"/>
      <c r="B171" s="2"/>
      <c r="C171" s="2"/>
      <c r="D171" s="2"/>
      <c r="E171" s="2"/>
      <c r="F171" s="2"/>
      <c r="G171" s="2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3">
      <c r="A172" s="1"/>
      <c r="B172" s="2"/>
      <c r="C172" s="2"/>
      <c r="D172" s="2"/>
      <c r="E172" s="2"/>
      <c r="F172" s="2"/>
      <c r="G172" s="2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3">
      <c r="A173" s="1"/>
      <c r="B173" s="2"/>
      <c r="C173" s="2"/>
      <c r="D173" s="2"/>
      <c r="E173" s="2"/>
      <c r="F173" s="2"/>
      <c r="G173" s="2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3">
      <c r="A174" s="1"/>
      <c r="B174" s="2"/>
      <c r="C174" s="2"/>
      <c r="D174" s="2"/>
      <c r="E174" s="2"/>
      <c r="F174" s="2"/>
      <c r="G174" s="2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3">
      <c r="A175" s="1"/>
      <c r="B175" s="2"/>
      <c r="C175" s="2"/>
      <c r="D175" s="2"/>
      <c r="E175" s="2"/>
      <c r="F175" s="2"/>
      <c r="G175" s="2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3">
      <c r="A176" s="1"/>
      <c r="B176" s="2"/>
      <c r="C176" s="2"/>
      <c r="D176" s="2"/>
      <c r="E176" s="2"/>
      <c r="F176" s="2"/>
      <c r="G176" s="2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3">
      <c r="A177" s="1"/>
      <c r="B177" s="2"/>
      <c r="C177" s="2"/>
      <c r="D177" s="2"/>
      <c r="E177" s="2"/>
      <c r="F177" s="2"/>
      <c r="G177" s="2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3">
      <c r="A178" s="1"/>
      <c r="B178" s="2"/>
      <c r="C178" s="2"/>
      <c r="D178" s="2"/>
      <c r="E178" s="2"/>
      <c r="F178" s="2"/>
      <c r="G178" s="2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3">
      <c r="A179" s="1"/>
      <c r="B179" s="2"/>
      <c r="C179" s="2"/>
      <c r="D179" s="2"/>
      <c r="E179" s="2"/>
      <c r="F179" s="2"/>
      <c r="G179" s="2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3">
      <c r="A180" s="1"/>
      <c r="B180" s="2"/>
      <c r="C180" s="2"/>
      <c r="D180" s="2"/>
      <c r="E180" s="2"/>
      <c r="F180" s="2"/>
      <c r="G180" s="2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3">
      <c r="A181" s="1"/>
      <c r="B181" s="2"/>
      <c r="C181" s="2"/>
      <c r="D181" s="2"/>
      <c r="E181" s="2"/>
      <c r="F181" s="2"/>
      <c r="G181" s="2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3">
      <c r="A182" s="1"/>
      <c r="B182" s="2"/>
      <c r="C182" s="2"/>
      <c r="D182" s="2"/>
      <c r="E182" s="2"/>
      <c r="F182" s="2"/>
      <c r="G182" s="2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3">
      <c r="A183" s="1"/>
      <c r="B183" s="2"/>
      <c r="C183" s="2"/>
      <c r="D183" s="2"/>
      <c r="E183" s="2"/>
      <c r="F183" s="2"/>
      <c r="G183" s="2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3">
      <c r="A184" s="1"/>
      <c r="B184" s="2"/>
      <c r="C184" s="2"/>
      <c r="D184" s="2"/>
      <c r="E184" s="2"/>
      <c r="F184" s="2"/>
      <c r="G184" s="2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3">
      <c r="A185" s="1"/>
      <c r="B185" s="2"/>
      <c r="C185" s="2"/>
      <c r="D185" s="2"/>
      <c r="E185" s="2"/>
      <c r="F185" s="2"/>
      <c r="G185" s="2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3">
      <c r="A186" s="1"/>
      <c r="B186" s="2"/>
      <c r="C186" s="2"/>
      <c r="D186" s="2"/>
      <c r="E186" s="2"/>
      <c r="F186" s="2"/>
      <c r="G186" s="2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3">
      <c r="A187" s="1"/>
      <c r="B187" s="2"/>
      <c r="C187" s="2"/>
      <c r="D187" s="2"/>
      <c r="E187" s="2"/>
      <c r="F187" s="2"/>
      <c r="G187" s="2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3">
      <c r="A188" s="1"/>
      <c r="B188" s="2"/>
      <c r="C188" s="2"/>
      <c r="D188" s="2"/>
      <c r="E188" s="2"/>
      <c r="F188" s="2"/>
      <c r="G188" s="2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3">
      <c r="A189" s="1"/>
      <c r="B189" s="2"/>
      <c r="C189" s="2"/>
      <c r="D189" s="2"/>
      <c r="E189" s="2"/>
      <c r="F189" s="2"/>
      <c r="G189" s="2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3">
      <c r="A190" s="1"/>
      <c r="B190" s="2"/>
      <c r="C190" s="2"/>
      <c r="D190" s="2"/>
      <c r="E190" s="2"/>
      <c r="F190" s="2"/>
      <c r="G190" s="2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3">
      <c r="A191" s="1"/>
      <c r="B191" s="2"/>
      <c r="C191" s="2"/>
      <c r="D191" s="2"/>
      <c r="E191" s="2"/>
      <c r="F191" s="2"/>
      <c r="G191" s="2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3">
      <c r="A192" s="1"/>
      <c r="B192" s="2"/>
      <c r="C192" s="2"/>
      <c r="D192" s="2"/>
      <c r="E192" s="2"/>
      <c r="F192" s="2"/>
      <c r="G192" s="2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3">
      <c r="A193" s="1"/>
      <c r="B193" s="2"/>
      <c r="C193" s="2"/>
      <c r="D193" s="2"/>
      <c r="E193" s="2"/>
      <c r="F193" s="2"/>
      <c r="G193" s="2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3">
      <c r="A194" s="1"/>
      <c r="B194" s="2"/>
      <c r="C194" s="2"/>
      <c r="D194" s="2"/>
      <c r="E194" s="2"/>
      <c r="F194" s="2"/>
      <c r="G194" s="2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3">
      <c r="A195" s="1"/>
      <c r="B195" s="2"/>
      <c r="C195" s="2"/>
      <c r="D195" s="2"/>
      <c r="E195" s="2"/>
      <c r="F195" s="2"/>
      <c r="G195" s="2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3">
      <c r="A196" s="1"/>
      <c r="B196" s="2"/>
      <c r="C196" s="2"/>
      <c r="D196" s="2"/>
      <c r="E196" s="2"/>
      <c r="F196" s="2"/>
      <c r="G196" s="2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3">
      <c r="A197" s="1"/>
      <c r="B197" s="2"/>
      <c r="C197" s="2"/>
      <c r="D197" s="2"/>
      <c r="E197" s="2"/>
      <c r="F197" s="2"/>
      <c r="G197" s="2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3">
      <c r="A198" s="1"/>
      <c r="B198" s="2"/>
      <c r="C198" s="2"/>
      <c r="D198" s="2"/>
      <c r="E198" s="2"/>
      <c r="F198" s="2"/>
      <c r="G198" s="2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3">
      <c r="A199" s="1"/>
      <c r="B199" s="2"/>
      <c r="C199" s="2"/>
      <c r="D199" s="2"/>
      <c r="E199" s="2"/>
      <c r="F199" s="2"/>
      <c r="G199" s="2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3">
      <c r="A200" s="1"/>
      <c r="B200" s="2"/>
      <c r="C200" s="2"/>
      <c r="D200" s="2"/>
      <c r="E200" s="2"/>
      <c r="F200" s="2"/>
      <c r="G200" s="2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D009C-ED03-4B4E-9BEA-E30184D4393F}">
  <sheetPr>
    <tabColor rgb="FF9BBB59"/>
  </sheetPr>
  <dimension ref="A1:Z200"/>
  <sheetViews>
    <sheetView topLeftCell="A2" workbookViewId="0"/>
  </sheetViews>
  <sheetFormatPr defaultRowHeight="14.4" x14ac:dyDescent="0.3"/>
  <cols>
    <col min="1" max="1" width="40.77734375" customWidth="1"/>
    <col min="2" max="8" width="17.5546875" style="3" customWidth="1"/>
  </cols>
  <sheetData>
    <row r="1" spans="1:26" ht="18" x14ac:dyDescent="0.35">
      <c r="A1" s="5" t="s">
        <v>64</v>
      </c>
      <c r="B1" s="6"/>
      <c r="C1" s="6"/>
      <c r="D1" s="6"/>
      <c r="E1" s="6"/>
      <c r="F1" s="6"/>
      <c r="G1" s="6"/>
      <c r="H1" s="6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7" t="s">
        <v>58</v>
      </c>
      <c r="B2" s="8"/>
      <c r="C2" s="8"/>
      <c r="D2" s="8"/>
      <c r="E2" s="8"/>
      <c r="F2" s="8"/>
      <c r="G2" s="8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9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9" t="s">
        <v>10</v>
      </c>
      <c r="B5" s="10" t="s">
        <v>11</v>
      </c>
      <c r="C5" s="10" t="s">
        <v>11</v>
      </c>
      <c r="D5" s="10" t="s">
        <v>12</v>
      </c>
      <c r="E5" s="10" t="s">
        <v>12</v>
      </c>
      <c r="F5" s="10" t="s">
        <v>12</v>
      </c>
      <c r="G5" s="10" t="s">
        <v>12</v>
      </c>
      <c r="H5" s="10" t="s">
        <v>12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2"/>
      <c r="C6" s="2"/>
      <c r="D6" s="2"/>
      <c r="E6" s="2"/>
      <c r="F6" s="2"/>
      <c r="G6" s="2"/>
      <c r="H6" s="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 t="s">
        <v>22</v>
      </c>
      <c r="B7" s="14">
        <f>Assumptions!B16</f>
        <v>15463</v>
      </c>
      <c r="C7" s="14">
        <f>Assumptions!C16</f>
        <v>12908</v>
      </c>
      <c r="D7" s="14">
        <f>'Income Statement'!D7*Assumptions!D37</f>
        <v>13457.858399999999</v>
      </c>
      <c r="E7" s="14">
        <f>'Income Statement'!E7*Assumptions!E37</f>
        <v>14265.329904000002</v>
      </c>
      <c r="F7" s="14">
        <f>'Income Statement'!F7*Assumptions!F37</f>
        <v>15121.249698240001</v>
      </c>
      <c r="G7" s="14">
        <f>'Income Statement'!G7*Assumptions!G37</f>
        <v>15952.9184316432</v>
      </c>
      <c r="H7" s="14">
        <f>'Income Statement'!H7*Assumptions!H37</f>
        <v>16750.56435322536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 t="s">
        <v>65</v>
      </c>
      <c r="B8" s="14">
        <f>Assumptions!B17</f>
        <v>30964</v>
      </c>
      <c r="C8" s="14">
        <f>Assumptions!C17</f>
        <v>33988</v>
      </c>
      <c r="D8" s="14">
        <f>D24-(D7+D9+D10+D12+D13+D14)</f>
        <v>41013.475468749995</v>
      </c>
      <c r="E8" s="14">
        <f>E24-(E7+E9+E10+E12+E13+E14)</f>
        <v>48688.800523524988</v>
      </c>
      <c r="F8" s="14">
        <f>F24-(F7+F9+F10+F12+F13+F14)</f>
        <v>57865.15515070589</v>
      </c>
      <c r="G8" s="14">
        <f>G24-(G7+G9+G10+G12+G13+G14)</f>
        <v>66848.377699078119</v>
      </c>
      <c r="H8" s="14">
        <f>H24-(H7+H9+H10+H12+H13+H14)</f>
        <v>76378.829411225277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 t="s">
        <v>24</v>
      </c>
      <c r="B9" s="14">
        <f>Assumptions!B18</f>
        <v>59046</v>
      </c>
      <c r="C9" s="14">
        <f>Assumptions!C18</f>
        <v>67714</v>
      </c>
      <c r="D9" s="14">
        <f>'Income Statement'!D7*Assumptions!D38/365</f>
        <v>71437.262054794512</v>
      </c>
      <c r="E9" s="14">
        <f>'Income Statement'!E7*Assumptions!E38/365</f>
        <v>75723.497778082194</v>
      </c>
      <c r="F9" s="14">
        <f>'Income Statement'!F7*Assumptions!F38/365</f>
        <v>79403.822616328762</v>
      </c>
      <c r="G9" s="14">
        <f>'Income Statement'!G7*Assumptions!G38/365</f>
        <v>83771.032860226842</v>
      </c>
      <c r="H9" s="14">
        <f>'Income Statement'!H7*Assumptions!H38/365</f>
        <v>87959.584503238191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6" t="s">
        <v>25</v>
      </c>
      <c r="B10" s="18">
        <f>Assumptions!B19</f>
        <v>17396</v>
      </c>
      <c r="C10" s="18">
        <f>Assumptions!C19</f>
        <v>21095</v>
      </c>
      <c r="D10" s="18">
        <f>'Income Statement'!D7*Assumptions!D39</f>
        <v>22149.391950000001</v>
      </c>
      <c r="E10" s="18">
        <f>'Income Statement'!E7*Assumptions!E39</f>
        <v>23478.355467000001</v>
      </c>
      <c r="F10" s="18">
        <f>'Income Statement'!F7*Assumptions!F39</f>
        <v>24572.030759640002</v>
      </c>
      <c r="G10" s="18">
        <f>'Income Statement'!G7*Assumptions!G39</f>
        <v>25923.492451420199</v>
      </c>
      <c r="H10" s="18">
        <f>'Income Statement'!H7*Assumptions!H39</f>
        <v>27219.667073991208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6" t="s">
        <v>66</v>
      </c>
      <c r="B11" s="17">
        <f t="shared" ref="B11:H11" si="0">SUM(B7:B10)</f>
        <v>122869</v>
      </c>
      <c r="C11" s="17">
        <f t="shared" si="0"/>
        <v>135705</v>
      </c>
      <c r="D11" s="17">
        <f t="shared" si="0"/>
        <v>148057.98787354451</v>
      </c>
      <c r="E11" s="17">
        <f t="shared" si="0"/>
        <v>162155.98367260717</v>
      </c>
      <c r="F11" s="17">
        <f t="shared" si="0"/>
        <v>176962.25822491467</v>
      </c>
      <c r="G11" s="17">
        <f t="shared" si="0"/>
        <v>192495.82144236835</v>
      </c>
      <c r="H11" s="17">
        <f t="shared" si="0"/>
        <v>208308.64534168004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3">
      <c r="A12" s="1" t="s">
        <v>26</v>
      </c>
      <c r="B12" s="14">
        <f>Assumptions!B20</f>
        <v>12407</v>
      </c>
      <c r="C12" s="14">
        <f>Assumptions!C20</f>
        <v>13441</v>
      </c>
      <c r="D12" s="14">
        <f>'Income Statement'!D7*Assumptions!D40</f>
        <v>14018.602500000001</v>
      </c>
      <c r="E12" s="14">
        <f>'Income Statement'!E7*Assumptions!E40</f>
        <v>14859.718650000003</v>
      </c>
      <c r="F12" s="14">
        <f>'Income Statement'!F7*Assumptions!F40</f>
        <v>15751.301769000002</v>
      </c>
      <c r="G12" s="14">
        <f>'Income Statement'!G7*Assumptions!G40</f>
        <v>16617.623366295</v>
      </c>
      <c r="H12" s="14">
        <f>'Income Statement'!H7*Assumptions!H40</f>
        <v>17448.50453460975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3">
      <c r="A13" s="16" t="s">
        <v>27</v>
      </c>
      <c r="B13" s="18">
        <f>Assumptions!B21</f>
        <v>2800</v>
      </c>
      <c r="C13" s="18">
        <f>Assumptions!C21</f>
        <v>9284</v>
      </c>
      <c r="D13" s="18">
        <f>'Income Statement'!D7*Assumptions!D41</f>
        <v>9813.0217499999999</v>
      </c>
      <c r="E13" s="18">
        <f>'Income Statement'!E7*Assumptions!E41</f>
        <v>9807.4143090000016</v>
      </c>
      <c r="F13" s="18">
        <f>'Income Statement'!F7*Assumptions!F41</f>
        <v>9765.8070967800013</v>
      </c>
      <c r="G13" s="18">
        <f>'Income Statement'!G7*Assumptions!G41</f>
        <v>9970.5740197769992</v>
      </c>
      <c r="H13" s="18">
        <f>'Income Statement'!H7*Assumptions!H41</f>
        <v>10469.10272076585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3">
      <c r="A14" s="1" t="s">
        <v>28</v>
      </c>
      <c r="B14" s="14">
        <f>Assumptions!B22</f>
        <v>21410</v>
      </c>
      <c r="C14" s="14">
        <f>Assumptions!C22</f>
        <v>23942</v>
      </c>
      <c r="D14" s="14">
        <f>'Income Statement'!D7*Assumptions!D42</f>
        <v>25233.484499999999</v>
      </c>
      <c r="E14" s="14">
        <f>'Income Statement'!E7*Assumptions!E42</f>
        <v>26450.299197</v>
      </c>
      <c r="F14" s="14">
        <f>'Income Statement'!F7*Assumptions!F42</f>
        <v>27722.291113439998</v>
      </c>
      <c r="G14" s="14">
        <f>'Income Statement'!G7*Assumptions!G42</f>
        <v>28914.664657353296</v>
      </c>
      <c r="H14" s="14">
        <f>'Income Statement'!H7*Assumptions!H42</f>
        <v>30360.397890220964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3">
      <c r="A15" s="16" t="s">
        <v>67</v>
      </c>
      <c r="B15" s="17">
        <f t="shared" ref="B15:H15" si="1">SUM(B11:B14)</f>
        <v>159486</v>
      </c>
      <c r="C15" s="17">
        <f t="shared" si="1"/>
        <v>182372</v>
      </c>
      <c r="D15" s="17">
        <f t="shared" si="1"/>
        <v>197123.09662354449</v>
      </c>
      <c r="E15" s="17">
        <f t="shared" si="1"/>
        <v>213273.41582860716</v>
      </c>
      <c r="F15" s="17">
        <f t="shared" si="1"/>
        <v>230201.65820413467</v>
      </c>
      <c r="G15" s="17">
        <f t="shared" si="1"/>
        <v>247998.68348579368</v>
      </c>
      <c r="H15" s="17">
        <f t="shared" si="1"/>
        <v>266586.65048727661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3">
      <c r="A16" s="1" t="s">
        <v>29</v>
      </c>
      <c r="B16" s="14">
        <f>Assumptions!B23</f>
        <v>13909</v>
      </c>
      <c r="C16" s="14">
        <f>Assumptions!C23</f>
        <v>14808</v>
      </c>
      <c r="D16" s="14">
        <f>'Income Statement'!D7*Assumptions!D43/365</f>
        <v>15362.852054794521</v>
      </c>
      <c r="E16" s="14">
        <f>'Income Statement'!E7*Assumptions!E43/365</f>
        <v>16284.623178082194</v>
      </c>
      <c r="F16" s="14">
        <f>'Income Statement'!F7*Assumptions!F43/365</f>
        <v>17261.700568767123</v>
      </c>
      <c r="G16" s="14">
        <f>'Income Statement'!G7*Assumptions!G43/365</f>
        <v>18211.094100049315</v>
      </c>
      <c r="H16" s="14">
        <f>'Income Statement'!H7*Assumptions!H43/365</f>
        <v>19121.64880505178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3">
      <c r="A17" s="1" t="s">
        <v>30</v>
      </c>
      <c r="B17" s="14">
        <f>Assumptions!B24</f>
        <v>39092</v>
      </c>
      <c r="C17" s="14">
        <f>Assumptions!C24</f>
        <v>46106</v>
      </c>
      <c r="D17" s="14">
        <f>'Income Statement'!D7*Assumptions!D44</f>
        <v>48504.364649999996</v>
      </c>
      <c r="E17" s="14">
        <f>'Income Statement'!E7*Assumptions!E44</f>
        <v>51117.432156000003</v>
      </c>
      <c r="F17" s="14">
        <f>'Income Statement'!F7*Assumptions!F44</f>
        <v>53869.452049980006</v>
      </c>
      <c r="G17" s="14">
        <f>'Income Statement'!G7*Assumptions!G44</f>
        <v>56499.919445403</v>
      </c>
      <c r="H17" s="14">
        <f>'Income Statement'!H7*Assumptions!H44</f>
        <v>59324.915417673154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3">
      <c r="A18" s="16" t="s">
        <v>68</v>
      </c>
      <c r="B18" s="18">
        <f t="shared" ref="B18:H18" si="2">SUM(B16:B17)</f>
        <v>53001</v>
      </c>
      <c r="C18" s="18">
        <f t="shared" si="2"/>
        <v>60914</v>
      </c>
      <c r="D18" s="18">
        <f t="shared" si="2"/>
        <v>63867.216704794519</v>
      </c>
      <c r="E18" s="18">
        <f t="shared" si="2"/>
        <v>67402.055334082193</v>
      </c>
      <c r="F18" s="18">
        <f t="shared" si="2"/>
        <v>71131.152618747132</v>
      </c>
      <c r="G18" s="18">
        <f t="shared" si="2"/>
        <v>74711.013545452312</v>
      </c>
      <c r="H18" s="18">
        <f t="shared" si="2"/>
        <v>78446.564222724934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3">
      <c r="A19" s="1" t="s">
        <v>31</v>
      </c>
      <c r="B19" s="15">
        <f>Assumptions!B25</f>
        <v>10857</v>
      </c>
      <c r="C19" s="15">
        <f>Assumptions!C25</f>
        <v>12980</v>
      </c>
      <c r="D19" s="15">
        <f>'Income Statement'!D7*Assumptions!D45</f>
        <v>13738.230449999999</v>
      </c>
      <c r="E19" s="15">
        <f>'Income Statement'!E7*Assumptions!E45</f>
        <v>14562.524277000002</v>
      </c>
      <c r="F19" s="15">
        <f>'Income Statement'!F7*Assumptions!F45</f>
        <v>15121.249698240001</v>
      </c>
      <c r="G19" s="15">
        <f>'Income Statement'!G7*Assumptions!G45</f>
        <v>15952.9184316432</v>
      </c>
      <c r="H19" s="15">
        <f>'Income Statement'!H7*Assumptions!H45</f>
        <v>16750.56435322536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3">
      <c r="A20" s="1" t="s">
        <v>69</v>
      </c>
      <c r="B20" s="15">
        <f t="shared" ref="B20:H20" si="3">SUM(B18:B19)</f>
        <v>63858</v>
      </c>
      <c r="C20" s="15">
        <f t="shared" si="3"/>
        <v>73894</v>
      </c>
      <c r="D20" s="15">
        <f t="shared" si="3"/>
        <v>77605.447154794514</v>
      </c>
      <c r="E20" s="15">
        <f t="shared" si="3"/>
        <v>81964.579611082198</v>
      </c>
      <c r="F20" s="15">
        <f t="shared" si="3"/>
        <v>86252.402316987136</v>
      </c>
      <c r="G20" s="15">
        <f t="shared" si="3"/>
        <v>90663.931977095519</v>
      </c>
      <c r="H20" s="15">
        <f t="shared" si="3"/>
        <v>95197.128575950293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3">
      <c r="A21" s="16" t="s">
        <v>32</v>
      </c>
      <c r="B21" s="17">
        <f>Assumptions!B26</f>
        <v>362</v>
      </c>
      <c r="C21" s="17">
        <f>Assumptions!C26</f>
        <v>362</v>
      </c>
      <c r="D21" s="17">
        <f>C21</f>
        <v>362</v>
      </c>
      <c r="E21" s="17">
        <f>D21</f>
        <v>362</v>
      </c>
      <c r="F21" s="17">
        <f>E21</f>
        <v>362</v>
      </c>
      <c r="G21" s="17">
        <f>F21</f>
        <v>362</v>
      </c>
      <c r="H21" s="17">
        <f>G21</f>
        <v>362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3">
      <c r="A22" s="1" t="s">
        <v>33</v>
      </c>
      <c r="B22" s="15">
        <f>Assumptions!B27</f>
        <v>95266</v>
      </c>
      <c r="C22" s="15">
        <f>Assumptions!C27</f>
        <v>108116</v>
      </c>
      <c r="D22" s="15">
        <f>C22+'Income Statement'!D21-(-'Cash Flow'!D14)</f>
        <v>119155.64946875002</v>
      </c>
      <c r="E22" s="15">
        <f>D22+'Income Statement'!E21-(-'Cash Flow'!E14)</f>
        <v>130946.83621752504</v>
      </c>
      <c r="F22" s="15">
        <f>E22+'Income Statement'!F21-(-'Cash Flow'!F14)</f>
        <v>143587.25588714753</v>
      </c>
      <c r="G22" s="15">
        <f>F22+'Income Statement'!G21-(-'Cash Flow'!G14)</f>
        <v>156972.75150869816</v>
      </c>
      <c r="H22" s="15">
        <f>G22+'Income Statement'!H21-(-'Cash Flow'!H14)</f>
        <v>171027.5219113263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3">
      <c r="A23" s="1" t="s">
        <v>70</v>
      </c>
      <c r="B23" s="15">
        <f t="shared" ref="B23:H23" si="4">SUM(B21:B22)</f>
        <v>95628</v>
      </c>
      <c r="C23" s="15">
        <f t="shared" si="4"/>
        <v>108478</v>
      </c>
      <c r="D23" s="15">
        <f t="shared" si="4"/>
        <v>119517.64946875002</v>
      </c>
      <c r="E23" s="15">
        <f t="shared" si="4"/>
        <v>131308.83621752504</v>
      </c>
      <c r="F23" s="15">
        <f t="shared" si="4"/>
        <v>143949.25588714753</v>
      </c>
      <c r="G23" s="15">
        <f t="shared" si="4"/>
        <v>157334.75150869816</v>
      </c>
      <c r="H23" s="15">
        <f t="shared" si="4"/>
        <v>171389.5219113263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3">
      <c r="A24" s="16" t="s">
        <v>71</v>
      </c>
      <c r="B24" s="17">
        <f t="shared" ref="B24:H24" si="5">B20+B23</f>
        <v>159486</v>
      </c>
      <c r="C24" s="17">
        <f t="shared" si="5"/>
        <v>182372</v>
      </c>
      <c r="D24" s="17">
        <f t="shared" si="5"/>
        <v>197123.09662354452</v>
      </c>
      <c r="E24" s="17">
        <f t="shared" si="5"/>
        <v>213273.41582860722</v>
      </c>
      <c r="F24" s="17">
        <f t="shared" si="5"/>
        <v>230201.65820413467</v>
      </c>
      <c r="G24" s="17">
        <f t="shared" si="5"/>
        <v>247998.68348579368</v>
      </c>
      <c r="H24" s="17">
        <f t="shared" si="5"/>
        <v>266586.65048727661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3">
      <c r="A25" s="22" t="s">
        <v>72</v>
      </c>
      <c r="B25" s="23">
        <f t="shared" ref="B25:H25" si="6">B15-B24</f>
        <v>0</v>
      </c>
      <c r="C25" s="23">
        <f t="shared" si="6"/>
        <v>0</v>
      </c>
      <c r="D25" s="23">
        <f t="shared" si="6"/>
        <v>0</v>
      </c>
      <c r="E25" s="23">
        <f t="shared" si="6"/>
        <v>0</v>
      </c>
      <c r="F25" s="23">
        <f t="shared" si="6"/>
        <v>0</v>
      </c>
      <c r="G25" s="23">
        <f t="shared" si="6"/>
        <v>0</v>
      </c>
      <c r="H25" s="23">
        <f t="shared" si="6"/>
        <v>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3">
      <c r="A26" s="1"/>
      <c r="B26" s="2"/>
      <c r="C26" s="2"/>
      <c r="D26" s="2"/>
      <c r="E26" s="2"/>
      <c r="F26" s="2"/>
      <c r="G26" s="2"/>
      <c r="H26" s="2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3">
      <c r="A27" s="1"/>
      <c r="B27" s="2"/>
      <c r="C27" s="2"/>
      <c r="D27" s="2"/>
      <c r="E27" s="2"/>
      <c r="F27" s="2"/>
      <c r="G27" s="2"/>
      <c r="H27" s="2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3">
      <c r="A28" s="1"/>
      <c r="B28" s="2"/>
      <c r="C28" s="2"/>
      <c r="D28" s="2"/>
      <c r="E28" s="2"/>
      <c r="F28" s="2"/>
      <c r="G28" s="2"/>
      <c r="H28" s="2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2"/>
      <c r="C29" s="2"/>
      <c r="D29" s="2"/>
      <c r="E29" s="2"/>
      <c r="F29" s="2"/>
      <c r="G29" s="2"/>
      <c r="H29" s="2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3">
      <c r="A30" s="1"/>
      <c r="B30" s="2"/>
      <c r="C30" s="2"/>
      <c r="D30" s="2"/>
      <c r="E30" s="2"/>
      <c r="F30" s="2"/>
      <c r="G30" s="2"/>
      <c r="H30" s="2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2"/>
      <c r="C31" s="2"/>
      <c r="D31" s="2"/>
      <c r="E31" s="2"/>
      <c r="F31" s="2"/>
      <c r="G31" s="2"/>
      <c r="H31" s="2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3">
      <c r="A32" s="1"/>
      <c r="B32" s="2"/>
      <c r="C32" s="2"/>
      <c r="D32" s="2"/>
      <c r="E32" s="2"/>
      <c r="F32" s="2"/>
      <c r="G32" s="2"/>
      <c r="H32" s="2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2"/>
      <c r="C33" s="2"/>
      <c r="D33" s="2"/>
      <c r="E33" s="2"/>
      <c r="F33" s="2"/>
      <c r="G33" s="2"/>
      <c r="H33" s="2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2"/>
      <c r="C34" s="2"/>
      <c r="D34" s="2"/>
      <c r="E34" s="2"/>
      <c r="F34" s="2"/>
      <c r="G34" s="2"/>
      <c r="H34" s="2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2"/>
      <c r="C35" s="2"/>
      <c r="D35" s="2"/>
      <c r="E35" s="2"/>
      <c r="F35" s="2"/>
      <c r="G35" s="2"/>
      <c r="H35" s="2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1"/>
      <c r="B36" s="2"/>
      <c r="C36" s="2"/>
      <c r="D36" s="2"/>
      <c r="E36" s="2"/>
      <c r="F36" s="2"/>
      <c r="G36" s="2"/>
      <c r="H36" s="2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">
      <c r="A37" s="1"/>
      <c r="B37" s="2"/>
      <c r="C37" s="2"/>
      <c r="D37" s="2"/>
      <c r="E37" s="2"/>
      <c r="F37" s="2"/>
      <c r="G37" s="2"/>
      <c r="H37" s="2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">
      <c r="A38" s="1"/>
      <c r="B38" s="2"/>
      <c r="C38" s="2"/>
      <c r="D38" s="2"/>
      <c r="E38" s="2"/>
      <c r="F38" s="2"/>
      <c r="G38" s="2"/>
      <c r="H38" s="2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">
      <c r="A39" s="1"/>
      <c r="B39" s="2"/>
      <c r="C39" s="2"/>
      <c r="D39" s="2"/>
      <c r="E39" s="2"/>
      <c r="F39" s="2"/>
      <c r="G39" s="2"/>
      <c r="H39" s="2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">
      <c r="A40" s="1"/>
      <c r="B40" s="2"/>
      <c r="C40" s="2"/>
      <c r="D40" s="2"/>
      <c r="E40" s="2"/>
      <c r="F40" s="2"/>
      <c r="G40" s="2"/>
      <c r="H40" s="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">
      <c r="A41" s="1"/>
      <c r="B41" s="2"/>
      <c r="C41" s="2"/>
      <c r="D41" s="2"/>
      <c r="E41" s="2"/>
      <c r="F41" s="2"/>
      <c r="G41" s="2"/>
      <c r="H41" s="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">
      <c r="A42" s="1"/>
      <c r="B42" s="2"/>
      <c r="C42" s="2"/>
      <c r="D42" s="2"/>
      <c r="E42" s="2"/>
      <c r="F42" s="2"/>
      <c r="G42" s="2"/>
      <c r="H42" s="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">
      <c r="A43" s="1"/>
      <c r="B43" s="2"/>
      <c r="C43" s="2"/>
      <c r="D43" s="2"/>
      <c r="E43" s="2"/>
      <c r="F43" s="2"/>
      <c r="G43" s="2"/>
      <c r="H43" s="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">
      <c r="A44" s="1"/>
      <c r="B44" s="2"/>
      <c r="C44" s="2"/>
      <c r="D44" s="2"/>
      <c r="E44" s="2"/>
      <c r="F44" s="2"/>
      <c r="G44" s="2"/>
      <c r="H44" s="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">
      <c r="A45" s="1"/>
      <c r="B45" s="2"/>
      <c r="C45" s="2"/>
      <c r="D45" s="2"/>
      <c r="E45" s="2"/>
      <c r="F45" s="2"/>
      <c r="G45" s="2"/>
      <c r="H45" s="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">
      <c r="A46" s="1"/>
      <c r="B46" s="2"/>
      <c r="C46" s="2"/>
      <c r="D46" s="2"/>
      <c r="E46" s="2"/>
      <c r="F46" s="2"/>
      <c r="G46" s="2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">
      <c r="A47" s="1"/>
      <c r="B47" s="2"/>
      <c r="C47" s="2"/>
      <c r="D47" s="2"/>
      <c r="E47" s="2"/>
      <c r="F47" s="2"/>
      <c r="G47" s="2"/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">
      <c r="A48" s="1"/>
      <c r="B48" s="2"/>
      <c r="C48" s="2"/>
      <c r="D48" s="2"/>
      <c r="E48" s="2"/>
      <c r="F48" s="2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3">
      <c r="A49" s="1"/>
      <c r="B49" s="2"/>
      <c r="C49" s="2"/>
      <c r="D49" s="2"/>
      <c r="E49" s="2"/>
      <c r="F49" s="2"/>
      <c r="G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3">
      <c r="A50" s="1"/>
      <c r="B50" s="2"/>
      <c r="C50" s="2"/>
      <c r="D50" s="2"/>
      <c r="E50" s="2"/>
      <c r="F50" s="2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3">
      <c r="A51" s="1"/>
      <c r="B51" s="2"/>
      <c r="C51" s="2"/>
      <c r="D51" s="2"/>
      <c r="E51" s="2"/>
      <c r="F51" s="2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3">
      <c r="A52" s="1"/>
      <c r="B52" s="2"/>
      <c r="C52" s="2"/>
      <c r="D52" s="2"/>
      <c r="E52" s="2"/>
      <c r="F52" s="2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3">
      <c r="A53" s="1"/>
      <c r="B53" s="2"/>
      <c r="C53" s="2"/>
      <c r="D53" s="2"/>
      <c r="E53" s="2"/>
      <c r="F53" s="2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3">
      <c r="A54" s="1"/>
      <c r="B54" s="2"/>
      <c r="C54" s="2"/>
      <c r="D54" s="2"/>
      <c r="E54" s="2"/>
      <c r="F54" s="2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3">
      <c r="A55" s="1"/>
      <c r="B55" s="2"/>
      <c r="C55" s="2"/>
      <c r="D55" s="2"/>
      <c r="E55" s="2"/>
      <c r="F55" s="2"/>
      <c r="G55" s="2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3">
      <c r="A56" s="1"/>
      <c r="B56" s="2"/>
      <c r="C56" s="2"/>
      <c r="D56" s="2"/>
      <c r="E56" s="2"/>
      <c r="F56" s="2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3">
      <c r="A57" s="1"/>
      <c r="B57" s="2"/>
      <c r="C57" s="2"/>
      <c r="D57" s="2"/>
      <c r="E57" s="2"/>
      <c r="F57" s="2"/>
      <c r="G57" s="2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3">
      <c r="A58" s="1"/>
      <c r="B58" s="2"/>
      <c r="C58" s="2"/>
      <c r="D58" s="2"/>
      <c r="E58" s="2"/>
      <c r="F58" s="2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3">
      <c r="A59" s="1"/>
      <c r="B59" s="2"/>
      <c r="C59" s="2"/>
      <c r="D59" s="2"/>
      <c r="E59" s="2"/>
      <c r="F59" s="2"/>
      <c r="G59" s="2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3">
      <c r="A60" s="1"/>
      <c r="B60" s="2"/>
      <c r="C60" s="2"/>
      <c r="D60" s="2"/>
      <c r="E60" s="2"/>
      <c r="F60" s="2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3">
      <c r="A61" s="1"/>
      <c r="B61" s="2"/>
      <c r="C61" s="2"/>
      <c r="D61" s="2"/>
      <c r="E61" s="2"/>
      <c r="F61" s="2"/>
      <c r="G61" s="2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3">
      <c r="A62" s="1"/>
      <c r="B62" s="2"/>
      <c r="C62" s="2"/>
      <c r="D62" s="2"/>
      <c r="E62" s="2"/>
      <c r="F62" s="2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3">
      <c r="A63" s="1"/>
      <c r="B63" s="2"/>
      <c r="C63" s="2"/>
      <c r="D63" s="2"/>
      <c r="E63" s="2"/>
      <c r="F63" s="2"/>
      <c r="G63" s="2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3">
      <c r="A64" s="1"/>
      <c r="B64" s="2"/>
      <c r="C64" s="2"/>
      <c r="D64" s="2"/>
      <c r="E64" s="2"/>
      <c r="F64" s="2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3">
      <c r="A65" s="1"/>
      <c r="B65" s="2"/>
      <c r="C65" s="2"/>
      <c r="D65" s="2"/>
      <c r="E65" s="2"/>
      <c r="F65" s="2"/>
      <c r="G65" s="2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3">
      <c r="A66" s="1"/>
      <c r="B66" s="2"/>
      <c r="C66" s="2"/>
      <c r="D66" s="2"/>
      <c r="E66" s="2"/>
      <c r="F66" s="2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3">
      <c r="A67" s="1"/>
      <c r="B67" s="2"/>
      <c r="C67" s="2"/>
      <c r="D67" s="2"/>
      <c r="E67" s="2"/>
      <c r="F67" s="2"/>
      <c r="G67" s="2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3">
      <c r="A68" s="1"/>
      <c r="B68" s="2"/>
      <c r="C68" s="2"/>
      <c r="D68" s="2"/>
      <c r="E68" s="2"/>
      <c r="F68" s="2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3">
      <c r="A69" s="1"/>
      <c r="B69" s="2"/>
      <c r="C69" s="2"/>
      <c r="D69" s="2"/>
      <c r="E69" s="2"/>
      <c r="F69" s="2"/>
      <c r="G69" s="2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3">
      <c r="A70" s="1"/>
      <c r="B70" s="2"/>
      <c r="C70" s="2"/>
      <c r="D70" s="2"/>
      <c r="E70" s="2"/>
      <c r="F70" s="2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3">
      <c r="A71" s="1"/>
      <c r="B71" s="2"/>
      <c r="C71" s="2"/>
      <c r="D71" s="2"/>
      <c r="E71" s="2"/>
      <c r="F71" s="2"/>
      <c r="G71" s="2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3">
      <c r="A72" s="1"/>
      <c r="B72" s="2"/>
      <c r="C72" s="2"/>
      <c r="D72" s="2"/>
      <c r="E72" s="2"/>
      <c r="F72" s="2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3">
      <c r="A73" s="1"/>
      <c r="B73" s="2"/>
      <c r="C73" s="2"/>
      <c r="D73" s="2"/>
      <c r="E73" s="2"/>
      <c r="F73" s="2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3">
      <c r="A74" s="1"/>
      <c r="B74" s="2"/>
      <c r="C74" s="2"/>
      <c r="D74" s="2"/>
      <c r="E74" s="2"/>
      <c r="F74" s="2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3">
      <c r="A75" s="1"/>
      <c r="B75" s="2"/>
      <c r="C75" s="2"/>
      <c r="D75" s="2"/>
      <c r="E75" s="2"/>
      <c r="F75" s="2"/>
      <c r="G75" s="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3">
      <c r="A76" s="1"/>
      <c r="B76" s="2"/>
      <c r="C76" s="2"/>
      <c r="D76" s="2"/>
      <c r="E76" s="2"/>
      <c r="F76" s="2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3">
      <c r="A77" s="1"/>
      <c r="B77" s="2"/>
      <c r="C77" s="2"/>
      <c r="D77" s="2"/>
      <c r="E77" s="2"/>
      <c r="F77" s="2"/>
      <c r="G77" s="2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3">
      <c r="A78" s="1"/>
      <c r="B78" s="2"/>
      <c r="C78" s="2"/>
      <c r="D78" s="2"/>
      <c r="E78" s="2"/>
      <c r="F78" s="2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3">
      <c r="A79" s="1"/>
      <c r="B79" s="2"/>
      <c r="C79" s="2"/>
      <c r="D79" s="2"/>
      <c r="E79" s="2"/>
      <c r="F79" s="2"/>
      <c r="G79" s="2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3">
      <c r="A80" s="1"/>
      <c r="B80" s="2"/>
      <c r="C80" s="2"/>
      <c r="D80" s="2"/>
      <c r="E80" s="2"/>
      <c r="F80" s="2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3">
      <c r="A81" s="1"/>
      <c r="B81" s="2"/>
      <c r="C81" s="2"/>
      <c r="D81" s="2"/>
      <c r="E81" s="2"/>
      <c r="F81" s="2"/>
      <c r="G81" s="2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3">
      <c r="A82" s="1"/>
      <c r="B82" s="2"/>
      <c r="C82" s="2"/>
      <c r="D82" s="2"/>
      <c r="E82" s="2"/>
      <c r="F82" s="2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3">
      <c r="A83" s="1"/>
      <c r="B83" s="2"/>
      <c r="C83" s="2"/>
      <c r="D83" s="2"/>
      <c r="E83" s="2"/>
      <c r="F83" s="2"/>
      <c r="G83" s="2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3">
      <c r="A84" s="1"/>
      <c r="B84" s="2"/>
      <c r="C84" s="2"/>
      <c r="D84" s="2"/>
      <c r="E84" s="2"/>
      <c r="F84" s="2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3">
      <c r="A85" s="1"/>
      <c r="B85" s="2"/>
      <c r="C85" s="2"/>
      <c r="D85" s="2"/>
      <c r="E85" s="2"/>
      <c r="F85" s="2"/>
      <c r="G85" s="2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3">
      <c r="A86" s="1"/>
      <c r="B86" s="2"/>
      <c r="C86" s="2"/>
      <c r="D86" s="2"/>
      <c r="E86" s="2"/>
      <c r="F86" s="2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3">
      <c r="A87" s="1"/>
      <c r="B87" s="2"/>
      <c r="C87" s="2"/>
      <c r="D87" s="2"/>
      <c r="E87" s="2"/>
      <c r="F87" s="2"/>
      <c r="G87" s="2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3">
      <c r="A88" s="1"/>
      <c r="B88" s="2"/>
      <c r="C88" s="2"/>
      <c r="D88" s="2"/>
      <c r="E88" s="2"/>
      <c r="F88" s="2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3">
      <c r="A89" s="1"/>
      <c r="B89" s="2"/>
      <c r="C89" s="2"/>
      <c r="D89" s="2"/>
      <c r="E89" s="2"/>
      <c r="F89" s="2"/>
      <c r="G89" s="2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3">
      <c r="A90" s="1"/>
      <c r="B90" s="2"/>
      <c r="C90" s="2"/>
      <c r="D90" s="2"/>
      <c r="E90" s="2"/>
      <c r="F90" s="2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3">
      <c r="A91" s="1"/>
      <c r="B91" s="2"/>
      <c r="C91" s="2"/>
      <c r="D91" s="2"/>
      <c r="E91" s="2"/>
      <c r="F91" s="2"/>
      <c r="G91" s="2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3">
      <c r="A92" s="1"/>
      <c r="B92" s="2"/>
      <c r="C92" s="2"/>
      <c r="D92" s="2"/>
      <c r="E92" s="2"/>
      <c r="F92" s="2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3">
      <c r="A93" s="1"/>
      <c r="B93" s="2"/>
      <c r="C93" s="2"/>
      <c r="D93" s="2"/>
      <c r="E93" s="2"/>
      <c r="F93" s="2"/>
      <c r="G93" s="2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3">
      <c r="A94" s="1"/>
      <c r="B94" s="2"/>
      <c r="C94" s="2"/>
      <c r="D94" s="2"/>
      <c r="E94" s="2"/>
      <c r="F94" s="2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3">
      <c r="A95" s="1"/>
      <c r="B95" s="2"/>
      <c r="C95" s="2"/>
      <c r="D95" s="2"/>
      <c r="E95" s="2"/>
      <c r="F95" s="2"/>
      <c r="G95" s="2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3">
      <c r="A96" s="1"/>
      <c r="B96" s="2"/>
      <c r="C96" s="2"/>
      <c r="D96" s="2"/>
      <c r="E96" s="2"/>
      <c r="F96" s="2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3">
      <c r="A97" s="1"/>
      <c r="B97" s="2"/>
      <c r="C97" s="2"/>
      <c r="D97" s="2"/>
      <c r="E97" s="2"/>
      <c r="F97" s="2"/>
      <c r="G97" s="2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3">
      <c r="A98" s="1"/>
      <c r="B98" s="2"/>
      <c r="C98" s="2"/>
      <c r="D98" s="2"/>
      <c r="E98" s="2"/>
      <c r="F98" s="2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3">
      <c r="A99" s="1"/>
      <c r="B99" s="2"/>
      <c r="C99" s="2"/>
      <c r="D99" s="2"/>
      <c r="E99" s="2"/>
      <c r="F99" s="2"/>
      <c r="G99" s="2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3">
      <c r="A100" s="1"/>
      <c r="B100" s="2"/>
      <c r="C100" s="2"/>
      <c r="D100" s="2"/>
      <c r="E100" s="2"/>
      <c r="F100" s="2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3">
      <c r="A101" s="1"/>
      <c r="B101" s="2"/>
      <c r="C101" s="2"/>
      <c r="D101" s="2"/>
      <c r="E101" s="2"/>
      <c r="F101" s="2"/>
      <c r="G101" s="2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3">
      <c r="A102" s="1"/>
      <c r="B102" s="2"/>
      <c r="C102" s="2"/>
      <c r="D102" s="2"/>
      <c r="E102" s="2"/>
      <c r="F102" s="2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3">
      <c r="A103" s="1"/>
      <c r="B103" s="2"/>
      <c r="C103" s="2"/>
      <c r="D103" s="2"/>
      <c r="E103" s="2"/>
      <c r="F103" s="2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3">
      <c r="A104" s="1"/>
      <c r="B104" s="2"/>
      <c r="C104" s="2"/>
      <c r="D104" s="2"/>
      <c r="E104" s="2"/>
      <c r="F104" s="2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3">
      <c r="A105" s="1"/>
      <c r="B105" s="2"/>
      <c r="C105" s="2"/>
      <c r="D105" s="2"/>
      <c r="E105" s="2"/>
      <c r="F105" s="2"/>
      <c r="G105" s="2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3">
      <c r="A106" s="1"/>
      <c r="B106" s="2"/>
      <c r="C106" s="2"/>
      <c r="D106" s="2"/>
      <c r="E106" s="2"/>
      <c r="F106" s="2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3">
      <c r="A107" s="1"/>
      <c r="B107" s="2"/>
      <c r="C107" s="2"/>
      <c r="D107" s="2"/>
      <c r="E107" s="2"/>
      <c r="F107" s="2"/>
      <c r="G107" s="2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3">
      <c r="A108" s="1"/>
      <c r="B108" s="2"/>
      <c r="C108" s="2"/>
      <c r="D108" s="2"/>
      <c r="E108" s="2"/>
      <c r="F108" s="2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3">
      <c r="A109" s="1"/>
      <c r="B109" s="2"/>
      <c r="C109" s="2"/>
      <c r="D109" s="2"/>
      <c r="E109" s="2"/>
      <c r="F109" s="2"/>
      <c r="G109" s="2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3">
      <c r="A110" s="1"/>
      <c r="B110" s="2"/>
      <c r="C110" s="2"/>
      <c r="D110" s="2"/>
      <c r="E110" s="2"/>
      <c r="F110" s="2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3">
      <c r="A111" s="1"/>
      <c r="B111" s="2"/>
      <c r="C111" s="2"/>
      <c r="D111" s="2"/>
      <c r="E111" s="2"/>
      <c r="F111" s="2"/>
      <c r="G111" s="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3">
      <c r="A112" s="1"/>
      <c r="B112" s="2"/>
      <c r="C112" s="2"/>
      <c r="D112" s="2"/>
      <c r="E112" s="2"/>
      <c r="F112" s="2"/>
      <c r="G112" s="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3">
      <c r="A113" s="1"/>
      <c r="B113" s="2"/>
      <c r="C113" s="2"/>
      <c r="D113" s="2"/>
      <c r="E113" s="2"/>
      <c r="F113" s="2"/>
      <c r="G113" s="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3">
      <c r="A114" s="1"/>
      <c r="B114" s="2"/>
      <c r="C114" s="2"/>
      <c r="D114" s="2"/>
      <c r="E114" s="2"/>
      <c r="F114" s="2"/>
      <c r="G114" s="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3">
      <c r="A115" s="1"/>
      <c r="B115" s="2"/>
      <c r="C115" s="2"/>
      <c r="D115" s="2"/>
      <c r="E115" s="2"/>
      <c r="F115" s="2"/>
      <c r="G115" s="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3">
      <c r="A116" s="1"/>
      <c r="B116" s="2"/>
      <c r="C116" s="2"/>
      <c r="D116" s="2"/>
      <c r="E116" s="2"/>
      <c r="F116" s="2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3">
      <c r="A117" s="1"/>
      <c r="B117" s="2"/>
      <c r="C117" s="2"/>
      <c r="D117" s="2"/>
      <c r="E117" s="2"/>
      <c r="F117" s="2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3">
      <c r="A118" s="1"/>
      <c r="B118" s="2"/>
      <c r="C118" s="2"/>
      <c r="D118" s="2"/>
      <c r="E118" s="2"/>
      <c r="F118" s="2"/>
      <c r="G118" s="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3">
      <c r="A119" s="1"/>
      <c r="B119" s="2"/>
      <c r="C119" s="2"/>
      <c r="D119" s="2"/>
      <c r="E119" s="2"/>
      <c r="F119" s="2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3">
      <c r="A120" s="1"/>
      <c r="B120" s="2"/>
      <c r="C120" s="2"/>
      <c r="D120" s="2"/>
      <c r="E120" s="2"/>
      <c r="F120" s="2"/>
      <c r="G120" s="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3">
      <c r="A121" s="1"/>
      <c r="B121" s="2"/>
      <c r="C121" s="2"/>
      <c r="D121" s="2"/>
      <c r="E121" s="2"/>
      <c r="F121" s="2"/>
      <c r="G121" s="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3">
      <c r="A122" s="1"/>
      <c r="B122" s="2"/>
      <c r="C122" s="2"/>
      <c r="D122" s="2"/>
      <c r="E122" s="2"/>
      <c r="F122" s="2"/>
      <c r="G122" s="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3">
      <c r="A123" s="1"/>
      <c r="B123" s="2"/>
      <c r="C123" s="2"/>
      <c r="D123" s="2"/>
      <c r="E123" s="2"/>
      <c r="F123" s="2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3">
      <c r="A124" s="1"/>
      <c r="B124" s="2"/>
      <c r="C124" s="2"/>
      <c r="D124" s="2"/>
      <c r="E124" s="2"/>
      <c r="F124" s="2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3">
      <c r="A125" s="1"/>
      <c r="B125" s="2"/>
      <c r="C125" s="2"/>
      <c r="D125" s="2"/>
      <c r="E125" s="2"/>
      <c r="F125" s="2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3">
      <c r="A126" s="1"/>
      <c r="B126" s="2"/>
      <c r="C126" s="2"/>
      <c r="D126" s="2"/>
      <c r="E126" s="2"/>
      <c r="F126" s="2"/>
      <c r="G126" s="2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3">
      <c r="A127" s="1"/>
      <c r="B127" s="2"/>
      <c r="C127" s="2"/>
      <c r="D127" s="2"/>
      <c r="E127" s="2"/>
      <c r="F127" s="2"/>
      <c r="G127" s="2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3">
      <c r="A128" s="1"/>
      <c r="B128" s="2"/>
      <c r="C128" s="2"/>
      <c r="D128" s="2"/>
      <c r="E128" s="2"/>
      <c r="F128" s="2"/>
      <c r="G128" s="2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3">
      <c r="A129" s="1"/>
      <c r="B129" s="2"/>
      <c r="C129" s="2"/>
      <c r="D129" s="2"/>
      <c r="E129" s="2"/>
      <c r="F129" s="2"/>
      <c r="G129" s="2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3">
      <c r="A130" s="1"/>
      <c r="B130" s="2"/>
      <c r="C130" s="2"/>
      <c r="D130" s="2"/>
      <c r="E130" s="2"/>
      <c r="F130" s="2"/>
      <c r="G130" s="2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3">
      <c r="A131" s="1"/>
      <c r="B131" s="2"/>
      <c r="C131" s="2"/>
      <c r="D131" s="2"/>
      <c r="E131" s="2"/>
      <c r="F131" s="2"/>
      <c r="G131" s="2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3">
      <c r="A132" s="1"/>
      <c r="B132" s="2"/>
      <c r="C132" s="2"/>
      <c r="D132" s="2"/>
      <c r="E132" s="2"/>
      <c r="F132" s="2"/>
      <c r="G132" s="2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3">
      <c r="A133" s="1"/>
      <c r="B133" s="2"/>
      <c r="C133" s="2"/>
      <c r="D133" s="2"/>
      <c r="E133" s="2"/>
      <c r="F133" s="2"/>
      <c r="G133" s="2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3">
      <c r="A134" s="1"/>
      <c r="B134" s="2"/>
      <c r="C134" s="2"/>
      <c r="D134" s="2"/>
      <c r="E134" s="2"/>
      <c r="F134" s="2"/>
      <c r="G134" s="2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3">
      <c r="A135" s="1"/>
      <c r="B135" s="2"/>
      <c r="C135" s="2"/>
      <c r="D135" s="2"/>
      <c r="E135" s="2"/>
      <c r="F135" s="2"/>
      <c r="G135" s="2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3">
      <c r="A136" s="1"/>
      <c r="B136" s="2"/>
      <c r="C136" s="2"/>
      <c r="D136" s="2"/>
      <c r="E136" s="2"/>
      <c r="F136" s="2"/>
      <c r="G136" s="2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3">
      <c r="A137" s="1"/>
      <c r="B137" s="2"/>
      <c r="C137" s="2"/>
      <c r="D137" s="2"/>
      <c r="E137" s="2"/>
      <c r="F137" s="2"/>
      <c r="G137" s="2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3">
      <c r="A138" s="1"/>
      <c r="B138" s="2"/>
      <c r="C138" s="2"/>
      <c r="D138" s="2"/>
      <c r="E138" s="2"/>
      <c r="F138" s="2"/>
      <c r="G138" s="2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3">
      <c r="A139" s="1"/>
      <c r="B139" s="2"/>
      <c r="C139" s="2"/>
      <c r="D139" s="2"/>
      <c r="E139" s="2"/>
      <c r="F139" s="2"/>
      <c r="G139" s="2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3">
      <c r="A140" s="1"/>
      <c r="B140" s="2"/>
      <c r="C140" s="2"/>
      <c r="D140" s="2"/>
      <c r="E140" s="2"/>
      <c r="F140" s="2"/>
      <c r="G140" s="2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3">
      <c r="A141" s="1"/>
      <c r="B141" s="2"/>
      <c r="C141" s="2"/>
      <c r="D141" s="2"/>
      <c r="E141" s="2"/>
      <c r="F141" s="2"/>
      <c r="G141" s="2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3">
      <c r="A142" s="1"/>
      <c r="B142" s="2"/>
      <c r="C142" s="2"/>
      <c r="D142" s="2"/>
      <c r="E142" s="2"/>
      <c r="F142" s="2"/>
      <c r="G142" s="2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3">
      <c r="A143" s="1"/>
      <c r="B143" s="2"/>
      <c r="C143" s="2"/>
      <c r="D143" s="2"/>
      <c r="E143" s="2"/>
      <c r="F143" s="2"/>
      <c r="G143" s="2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3">
      <c r="A144" s="1"/>
      <c r="B144" s="2"/>
      <c r="C144" s="2"/>
      <c r="D144" s="2"/>
      <c r="E144" s="2"/>
      <c r="F144" s="2"/>
      <c r="G144" s="2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3">
      <c r="A145" s="1"/>
      <c r="B145" s="2"/>
      <c r="C145" s="2"/>
      <c r="D145" s="2"/>
      <c r="E145" s="2"/>
      <c r="F145" s="2"/>
      <c r="G145" s="2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3">
      <c r="A146" s="1"/>
      <c r="B146" s="2"/>
      <c r="C146" s="2"/>
      <c r="D146" s="2"/>
      <c r="E146" s="2"/>
      <c r="F146" s="2"/>
      <c r="G146" s="2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3">
      <c r="A147" s="1"/>
      <c r="B147" s="2"/>
      <c r="C147" s="2"/>
      <c r="D147" s="2"/>
      <c r="E147" s="2"/>
      <c r="F147" s="2"/>
      <c r="G147" s="2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3">
      <c r="A148" s="1"/>
      <c r="B148" s="2"/>
      <c r="C148" s="2"/>
      <c r="D148" s="2"/>
      <c r="E148" s="2"/>
      <c r="F148" s="2"/>
      <c r="G148" s="2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3">
      <c r="A149" s="1"/>
      <c r="B149" s="2"/>
      <c r="C149" s="2"/>
      <c r="D149" s="2"/>
      <c r="E149" s="2"/>
      <c r="F149" s="2"/>
      <c r="G149" s="2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3">
      <c r="A150" s="1"/>
      <c r="B150" s="2"/>
      <c r="C150" s="2"/>
      <c r="D150" s="2"/>
      <c r="E150" s="2"/>
      <c r="F150" s="2"/>
      <c r="G150" s="2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3">
      <c r="A151" s="1"/>
      <c r="B151" s="2"/>
      <c r="C151" s="2"/>
      <c r="D151" s="2"/>
      <c r="E151" s="2"/>
      <c r="F151" s="2"/>
      <c r="G151" s="2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3">
      <c r="A152" s="1"/>
      <c r="B152" s="2"/>
      <c r="C152" s="2"/>
      <c r="D152" s="2"/>
      <c r="E152" s="2"/>
      <c r="F152" s="2"/>
      <c r="G152" s="2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3">
      <c r="A153" s="1"/>
      <c r="B153" s="2"/>
      <c r="C153" s="2"/>
      <c r="D153" s="2"/>
      <c r="E153" s="2"/>
      <c r="F153" s="2"/>
      <c r="G153" s="2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3">
      <c r="A154" s="1"/>
      <c r="B154" s="2"/>
      <c r="C154" s="2"/>
      <c r="D154" s="2"/>
      <c r="E154" s="2"/>
      <c r="F154" s="2"/>
      <c r="G154" s="2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3">
      <c r="A155" s="1"/>
      <c r="B155" s="2"/>
      <c r="C155" s="2"/>
      <c r="D155" s="2"/>
      <c r="E155" s="2"/>
      <c r="F155" s="2"/>
      <c r="G155" s="2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3">
      <c r="A156" s="1"/>
      <c r="B156" s="2"/>
      <c r="C156" s="2"/>
      <c r="D156" s="2"/>
      <c r="E156" s="2"/>
      <c r="F156" s="2"/>
      <c r="G156" s="2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3">
      <c r="A157" s="1"/>
      <c r="B157" s="2"/>
      <c r="C157" s="2"/>
      <c r="D157" s="2"/>
      <c r="E157" s="2"/>
      <c r="F157" s="2"/>
      <c r="G157" s="2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3">
      <c r="A158" s="1"/>
      <c r="B158" s="2"/>
      <c r="C158" s="2"/>
      <c r="D158" s="2"/>
      <c r="E158" s="2"/>
      <c r="F158" s="2"/>
      <c r="G158" s="2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3">
      <c r="A159" s="1"/>
      <c r="B159" s="2"/>
      <c r="C159" s="2"/>
      <c r="D159" s="2"/>
      <c r="E159" s="2"/>
      <c r="F159" s="2"/>
      <c r="G159" s="2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3">
      <c r="A160" s="1"/>
      <c r="B160" s="2"/>
      <c r="C160" s="2"/>
      <c r="D160" s="2"/>
      <c r="E160" s="2"/>
      <c r="F160" s="2"/>
      <c r="G160" s="2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3">
      <c r="A161" s="1"/>
      <c r="B161" s="2"/>
      <c r="C161" s="2"/>
      <c r="D161" s="2"/>
      <c r="E161" s="2"/>
      <c r="F161" s="2"/>
      <c r="G161" s="2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3">
      <c r="A162" s="1"/>
      <c r="B162" s="2"/>
      <c r="C162" s="2"/>
      <c r="D162" s="2"/>
      <c r="E162" s="2"/>
      <c r="F162" s="2"/>
      <c r="G162" s="2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3">
      <c r="A163" s="1"/>
      <c r="B163" s="2"/>
      <c r="C163" s="2"/>
      <c r="D163" s="2"/>
      <c r="E163" s="2"/>
      <c r="F163" s="2"/>
      <c r="G163" s="2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3">
      <c r="A164" s="1"/>
      <c r="B164" s="2"/>
      <c r="C164" s="2"/>
      <c r="D164" s="2"/>
      <c r="E164" s="2"/>
      <c r="F164" s="2"/>
      <c r="G164" s="2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3">
      <c r="A165" s="1"/>
      <c r="B165" s="2"/>
      <c r="C165" s="2"/>
      <c r="D165" s="2"/>
      <c r="E165" s="2"/>
      <c r="F165" s="2"/>
      <c r="G165" s="2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3">
      <c r="A166" s="1"/>
      <c r="B166" s="2"/>
      <c r="C166" s="2"/>
      <c r="D166" s="2"/>
      <c r="E166" s="2"/>
      <c r="F166" s="2"/>
      <c r="G166" s="2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3">
      <c r="A167" s="1"/>
      <c r="B167" s="2"/>
      <c r="C167" s="2"/>
      <c r="D167" s="2"/>
      <c r="E167" s="2"/>
      <c r="F167" s="2"/>
      <c r="G167" s="2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3">
      <c r="A168" s="1"/>
      <c r="B168" s="2"/>
      <c r="C168" s="2"/>
      <c r="D168" s="2"/>
      <c r="E168" s="2"/>
      <c r="F168" s="2"/>
      <c r="G168" s="2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3">
      <c r="A169" s="1"/>
      <c r="B169" s="2"/>
      <c r="C169" s="2"/>
      <c r="D169" s="2"/>
      <c r="E169" s="2"/>
      <c r="F169" s="2"/>
      <c r="G169" s="2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3">
      <c r="A170" s="1"/>
      <c r="B170" s="2"/>
      <c r="C170" s="2"/>
      <c r="D170" s="2"/>
      <c r="E170" s="2"/>
      <c r="F170" s="2"/>
      <c r="G170" s="2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3">
      <c r="A171" s="1"/>
      <c r="B171" s="2"/>
      <c r="C171" s="2"/>
      <c r="D171" s="2"/>
      <c r="E171" s="2"/>
      <c r="F171" s="2"/>
      <c r="G171" s="2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3">
      <c r="A172" s="1"/>
      <c r="B172" s="2"/>
      <c r="C172" s="2"/>
      <c r="D172" s="2"/>
      <c r="E172" s="2"/>
      <c r="F172" s="2"/>
      <c r="G172" s="2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3">
      <c r="A173" s="1"/>
      <c r="B173" s="2"/>
      <c r="C173" s="2"/>
      <c r="D173" s="2"/>
      <c r="E173" s="2"/>
      <c r="F173" s="2"/>
      <c r="G173" s="2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3">
      <c r="A174" s="1"/>
      <c r="B174" s="2"/>
      <c r="C174" s="2"/>
      <c r="D174" s="2"/>
      <c r="E174" s="2"/>
      <c r="F174" s="2"/>
      <c r="G174" s="2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3">
      <c r="A175" s="1"/>
      <c r="B175" s="2"/>
      <c r="C175" s="2"/>
      <c r="D175" s="2"/>
      <c r="E175" s="2"/>
      <c r="F175" s="2"/>
      <c r="G175" s="2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3">
      <c r="A176" s="1"/>
      <c r="B176" s="2"/>
      <c r="C176" s="2"/>
      <c r="D176" s="2"/>
      <c r="E176" s="2"/>
      <c r="F176" s="2"/>
      <c r="G176" s="2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3">
      <c r="A177" s="1"/>
      <c r="B177" s="2"/>
      <c r="C177" s="2"/>
      <c r="D177" s="2"/>
      <c r="E177" s="2"/>
      <c r="F177" s="2"/>
      <c r="G177" s="2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3">
      <c r="A178" s="1"/>
      <c r="B178" s="2"/>
      <c r="C178" s="2"/>
      <c r="D178" s="2"/>
      <c r="E178" s="2"/>
      <c r="F178" s="2"/>
      <c r="G178" s="2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3">
      <c r="A179" s="1"/>
      <c r="B179" s="2"/>
      <c r="C179" s="2"/>
      <c r="D179" s="2"/>
      <c r="E179" s="2"/>
      <c r="F179" s="2"/>
      <c r="G179" s="2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3">
      <c r="A180" s="1"/>
      <c r="B180" s="2"/>
      <c r="C180" s="2"/>
      <c r="D180" s="2"/>
      <c r="E180" s="2"/>
      <c r="F180" s="2"/>
      <c r="G180" s="2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3">
      <c r="A181" s="1"/>
      <c r="B181" s="2"/>
      <c r="C181" s="2"/>
      <c r="D181" s="2"/>
      <c r="E181" s="2"/>
      <c r="F181" s="2"/>
      <c r="G181" s="2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3">
      <c r="A182" s="1"/>
      <c r="B182" s="2"/>
      <c r="C182" s="2"/>
      <c r="D182" s="2"/>
      <c r="E182" s="2"/>
      <c r="F182" s="2"/>
      <c r="G182" s="2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3">
      <c r="A183" s="1"/>
      <c r="B183" s="2"/>
      <c r="C183" s="2"/>
      <c r="D183" s="2"/>
      <c r="E183" s="2"/>
      <c r="F183" s="2"/>
      <c r="G183" s="2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3">
      <c r="A184" s="1"/>
      <c r="B184" s="2"/>
      <c r="C184" s="2"/>
      <c r="D184" s="2"/>
      <c r="E184" s="2"/>
      <c r="F184" s="2"/>
      <c r="G184" s="2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3">
      <c r="A185" s="1"/>
      <c r="B185" s="2"/>
      <c r="C185" s="2"/>
      <c r="D185" s="2"/>
      <c r="E185" s="2"/>
      <c r="F185" s="2"/>
      <c r="G185" s="2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3">
      <c r="A186" s="1"/>
      <c r="B186" s="2"/>
      <c r="C186" s="2"/>
      <c r="D186" s="2"/>
      <c r="E186" s="2"/>
      <c r="F186" s="2"/>
      <c r="G186" s="2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3">
      <c r="A187" s="1"/>
      <c r="B187" s="2"/>
      <c r="C187" s="2"/>
      <c r="D187" s="2"/>
      <c r="E187" s="2"/>
      <c r="F187" s="2"/>
      <c r="G187" s="2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3">
      <c r="A188" s="1"/>
      <c r="B188" s="2"/>
      <c r="C188" s="2"/>
      <c r="D188" s="2"/>
      <c r="E188" s="2"/>
      <c r="F188" s="2"/>
      <c r="G188" s="2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3">
      <c r="A189" s="1"/>
      <c r="B189" s="2"/>
      <c r="C189" s="2"/>
      <c r="D189" s="2"/>
      <c r="E189" s="2"/>
      <c r="F189" s="2"/>
      <c r="G189" s="2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3">
      <c r="A190" s="1"/>
      <c r="B190" s="2"/>
      <c r="C190" s="2"/>
      <c r="D190" s="2"/>
      <c r="E190" s="2"/>
      <c r="F190" s="2"/>
      <c r="G190" s="2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3">
      <c r="A191" s="1"/>
      <c r="B191" s="2"/>
      <c r="C191" s="2"/>
      <c r="D191" s="2"/>
      <c r="E191" s="2"/>
      <c r="F191" s="2"/>
      <c r="G191" s="2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3">
      <c r="A192" s="1"/>
      <c r="B192" s="2"/>
      <c r="C192" s="2"/>
      <c r="D192" s="2"/>
      <c r="E192" s="2"/>
      <c r="F192" s="2"/>
      <c r="G192" s="2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3">
      <c r="A193" s="1"/>
      <c r="B193" s="2"/>
      <c r="C193" s="2"/>
      <c r="D193" s="2"/>
      <c r="E193" s="2"/>
      <c r="F193" s="2"/>
      <c r="G193" s="2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3">
      <c r="A194" s="1"/>
      <c r="B194" s="2"/>
      <c r="C194" s="2"/>
      <c r="D194" s="2"/>
      <c r="E194" s="2"/>
      <c r="F194" s="2"/>
      <c r="G194" s="2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3">
      <c r="A195" s="1"/>
      <c r="B195" s="2"/>
      <c r="C195" s="2"/>
      <c r="D195" s="2"/>
      <c r="E195" s="2"/>
      <c r="F195" s="2"/>
      <c r="G195" s="2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3">
      <c r="A196" s="1"/>
      <c r="B196" s="2"/>
      <c r="C196" s="2"/>
      <c r="D196" s="2"/>
      <c r="E196" s="2"/>
      <c r="F196" s="2"/>
      <c r="G196" s="2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3">
      <c r="A197" s="1"/>
      <c r="B197" s="2"/>
      <c r="C197" s="2"/>
      <c r="D197" s="2"/>
      <c r="E197" s="2"/>
      <c r="F197" s="2"/>
      <c r="G197" s="2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3">
      <c r="A198" s="1"/>
      <c r="B198" s="2"/>
      <c r="C198" s="2"/>
      <c r="D198" s="2"/>
      <c r="E198" s="2"/>
      <c r="F198" s="2"/>
      <c r="G198" s="2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3">
      <c r="A199" s="1"/>
      <c r="B199" s="2"/>
      <c r="C199" s="2"/>
      <c r="D199" s="2"/>
      <c r="E199" s="2"/>
      <c r="F199" s="2"/>
      <c r="G199" s="2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3">
      <c r="A200" s="1"/>
      <c r="B200" s="2"/>
      <c r="C200" s="2"/>
      <c r="D200" s="2"/>
      <c r="E200" s="2"/>
      <c r="F200" s="2"/>
      <c r="G200" s="2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B6B0A-485D-4B57-B753-D497DBC37FA8}">
  <sheetPr>
    <tabColor rgb="FFC0504D"/>
  </sheetPr>
  <dimension ref="A1:Z200"/>
  <sheetViews>
    <sheetView workbookViewId="0"/>
  </sheetViews>
  <sheetFormatPr defaultRowHeight="14.4" x14ac:dyDescent="0.3"/>
  <cols>
    <col min="1" max="1" width="40.77734375" customWidth="1"/>
    <col min="2" max="8" width="17.5546875" style="3" customWidth="1"/>
  </cols>
  <sheetData>
    <row r="1" spans="1:26" ht="18" x14ac:dyDescent="0.35">
      <c r="A1" s="5" t="s">
        <v>73</v>
      </c>
      <c r="B1" s="6"/>
      <c r="C1" s="6"/>
      <c r="D1" s="6"/>
      <c r="E1" s="6"/>
      <c r="F1" s="6"/>
      <c r="G1" s="6"/>
      <c r="H1" s="6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7" t="s">
        <v>58</v>
      </c>
      <c r="B2" s="8"/>
      <c r="C2" s="8"/>
      <c r="D2" s="8"/>
      <c r="E2" s="8"/>
      <c r="F2" s="8"/>
      <c r="G2" s="8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9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9" t="s">
        <v>10</v>
      </c>
      <c r="B5" s="10" t="s">
        <v>11</v>
      </c>
      <c r="C5" s="10" t="s">
        <v>11</v>
      </c>
      <c r="D5" s="10" t="s">
        <v>12</v>
      </c>
      <c r="E5" s="10" t="s">
        <v>12</v>
      </c>
      <c r="F5" s="10" t="s">
        <v>12</v>
      </c>
      <c r="G5" s="10" t="s">
        <v>12</v>
      </c>
      <c r="H5" s="10" t="s">
        <v>12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2"/>
      <c r="C6" s="2"/>
      <c r="D6" s="2"/>
      <c r="E6" s="2"/>
      <c r="F6" s="2"/>
      <c r="G6" s="2"/>
      <c r="H6" s="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 t="s">
        <v>52</v>
      </c>
      <c r="B7" s="14">
        <f>Assumptions!B48</f>
        <v>13286</v>
      </c>
      <c r="C7" s="14">
        <f>Assumptions!C48</f>
        <v>15463</v>
      </c>
      <c r="D7" s="14">
        <f>C17</f>
        <v>12908</v>
      </c>
      <c r="E7" s="14">
        <f>D17</f>
        <v>13457.858399999999</v>
      </c>
      <c r="F7" s="14">
        <f>E17</f>
        <v>14265.329904000002</v>
      </c>
      <c r="G7" s="14">
        <f>F17</f>
        <v>15121.249698240001</v>
      </c>
      <c r="H7" s="14">
        <f>G17</f>
        <v>15952.9184316432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 t="s">
        <v>21</v>
      </c>
      <c r="B8" s="14">
        <f>'Income Statement'!B21</f>
        <v>48797</v>
      </c>
      <c r="C8" s="14">
        <f>'Income Statement'!C21</f>
        <v>49454</v>
      </c>
      <c r="D8" s="14">
        <f>'Income Statement'!D21</f>
        <v>55198.247343750016</v>
      </c>
      <c r="E8" s="14">
        <f>'Income Statement'!E21</f>
        <v>58955.933743875001</v>
      </c>
      <c r="F8" s="14">
        <f>'Income Statement'!F21</f>
        <v>63202.098348112493</v>
      </c>
      <c r="G8" s="14">
        <f>'Income Statement'!G21</f>
        <v>66927.478107753108</v>
      </c>
      <c r="H8" s="14">
        <f>'Income Statement'!H21</f>
        <v>70273.852013140771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 t="s">
        <v>16</v>
      </c>
      <c r="B9" s="14">
        <f>'Income Statement'!B12</f>
        <v>5242</v>
      </c>
      <c r="C9" s="14">
        <f>'Income Statement'!C12</f>
        <v>5560</v>
      </c>
      <c r="D9" s="14">
        <f>'Income Statement'!D12</f>
        <v>5887.8130499999997</v>
      </c>
      <c r="E9" s="14">
        <f>'Income Statement'!E12</f>
        <v>6241.0818330000011</v>
      </c>
      <c r="F9" s="14">
        <f>'Income Statement'!F12</f>
        <v>6615.546742980001</v>
      </c>
      <c r="G9" s="14">
        <f>'Income Statement'!G12</f>
        <v>6979.4018138439005</v>
      </c>
      <c r="H9" s="14">
        <f>'Income Statement'!H12</f>
        <v>7328.3719045360949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6" t="s">
        <v>74</v>
      </c>
      <c r="B10" s="17">
        <f>Assumptions!B49-B8-B9</f>
        <v>-5131</v>
      </c>
      <c r="C10" s="17">
        <f>Assumptions!C49-C8-C9</f>
        <v>-2920</v>
      </c>
      <c r="D10" s="17">
        <f>-(('Balance Sheet'!D9+'Balance Sheet'!D10-'Balance Sheet'!D16-'Balance Sheet'!D17)-('Balance Sheet'!C9+'Balance Sheet'!C10-'Balance Sheet'!C16-'Balance Sheet'!C17))</f>
        <v>-1824.4372999999978</v>
      </c>
      <c r="E10" s="17">
        <f>-(('Balance Sheet'!E9+'Balance Sheet'!E10-'Balance Sheet'!E16-'Balance Sheet'!E17)-('Balance Sheet'!D9+'Balance Sheet'!D10-'Balance Sheet'!D16-'Balance Sheet'!D17))</f>
        <v>-2080.3606109999964</v>
      </c>
      <c r="F10" s="17">
        <f>-(('Balance Sheet'!F9+'Balance Sheet'!F10-'Balance Sheet'!F16-'Balance Sheet'!F17)-('Balance Sheet'!E9+'Balance Sheet'!E10-'Balance Sheet'!E16-'Balance Sheet'!E17))</f>
        <v>-1044.9028462216374</v>
      </c>
      <c r="G10" s="17">
        <f>-(('Balance Sheet'!G9+'Balance Sheet'!G10-'Balance Sheet'!G16-'Balance Sheet'!G17)-('Balance Sheet'!F9+'Balance Sheet'!F10-'Balance Sheet'!F16-'Balance Sheet'!F17))</f>
        <v>-2138.8110089730908</v>
      </c>
      <c r="H10" s="17">
        <f>-(('Balance Sheet'!H9+'Balance Sheet'!H10-'Balance Sheet'!H16-'Balance Sheet'!H17)-('Balance Sheet'!G9+'Balance Sheet'!G10-'Balance Sheet'!G16-'Balance Sheet'!G17))</f>
        <v>-1749.175588309743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6" t="s">
        <v>53</v>
      </c>
      <c r="B11" s="17">
        <f>Assumptions!B49</f>
        <v>48908</v>
      </c>
      <c r="C11" s="17">
        <f>Assumptions!C49</f>
        <v>52094</v>
      </c>
      <c r="D11" s="17">
        <f>SUM(D8:D10)</f>
        <v>59261.623093750015</v>
      </c>
      <c r="E11" s="17">
        <f>SUM(E8:E10)</f>
        <v>63116.654965875008</v>
      </c>
      <c r="F11" s="17">
        <f>SUM(F8:F10)</f>
        <v>68772.742244870853</v>
      </c>
      <c r="G11" s="17">
        <f>SUM(G8:G10)</f>
        <v>71768.068912623916</v>
      </c>
      <c r="H11" s="17">
        <f>SUM(H8:H10)</f>
        <v>75853.048329367128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3">
      <c r="A12" s="1" t="s">
        <v>54</v>
      </c>
      <c r="B12" s="15">
        <f>Assumptions!B50</f>
        <v>-3861</v>
      </c>
      <c r="C12" s="15">
        <f>Assumptions!C50</f>
        <v>-4037</v>
      </c>
      <c r="D12" s="15">
        <f>-('Balance Sheet'!D12-'Balance Sheet'!C12+D9)</f>
        <v>-6465.4155500000006</v>
      </c>
      <c r="E12" s="15">
        <f>-('Balance Sheet'!E12-'Balance Sheet'!D12+E9)</f>
        <v>-7082.1979830000028</v>
      </c>
      <c r="F12" s="15">
        <f>-('Balance Sheet'!F12-'Balance Sheet'!E12+F9)</f>
        <v>-7507.12986198</v>
      </c>
      <c r="G12" s="15">
        <f>-('Balance Sheet'!G12-'Balance Sheet'!F12+G9)</f>
        <v>-7845.7234111388989</v>
      </c>
      <c r="H12" s="15">
        <f>-('Balance Sheet'!H12-'Balance Sheet'!G12+H9)</f>
        <v>-8159.2530728508455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3">
      <c r="A13" s="16" t="s">
        <v>75</v>
      </c>
      <c r="B13" s="17">
        <f t="shared" ref="B13:H13" si="0">B11+B12</f>
        <v>45047</v>
      </c>
      <c r="C13" s="17">
        <f t="shared" si="0"/>
        <v>48057</v>
      </c>
      <c r="D13" s="17">
        <f t="shared" si="0"/>
        <v>52796.207543750017</v>
      </c>
      <c r="E13" s="17">
        <f t="shared" si="0"/>
        <v>56034.456982875003</v>
      </c>
      <c r="F13" s="17">
        <f t="shared" si="0"/>
        <v>61265.612382890853</v>
      </c>
      <c r="G13" s="17">
        <f t="shared" si="0"/>
        <v>63922.345501485019</v>
      </c>
      <c r="H13" s="17">
        <f t="shared" si="0"/>
        <v>67693.795256516285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3">
      <c r="A14" s="1" t="s">
        <v>55</v>
      </c>
      <c r="B14" s="15">
        <f>Assumptions!B51</f>
        <v>-44860</v>
      </c>
      <c r="C14" s="15">
        <f>Assumptions!C51</f>
        <v>-39440</v>
      </c>
      <c r="D14" s="15">
        <f>-D8*Assumptions!D36</f>
        <v>-44158.597875000014</v>
      </c>
      <c r="E14" s="15">
        <f>-E8*Assumptions!E36</f>
        <v>-47164.746995100002</v>
      </c>
      <c r="F14" s="15">
        <f>-F8*Assumptions!F36</f>
        <v>-50561.678678489996</v>
      </c>
      <c r="G14" s="15">
        <f>-G8*Assumptions!G36</f>
        <v>-53541.982486202491</v>
      </c>
      <c r="H14" s="15">
        <f>-H8*Assumptions!H36</f>
        <v>-56219.081610512621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3">
      <c r="A15" s="16" t="s">
        <v>76</v>
      </c>
      <c r="B15" s="17">
        <f t="shared" ref="B15:H15" si="1">B17-B7-B11-B12-B14</f>
        <v>1990</v>
      </c>
      <c r="C15" s="17">
        <f t="shared" si="1"/>
        <v>-11172</v>
      </c>
      <c r="D15" s="17">
        <f t="shared" si="1"/>
        <v>-8087.7512687500057</v>
      </c>
      <c r="E15" s="17">
        <f t="shared" si="1"/>
        <v>-8062.2384837749996</v>
      </c>
      <c r="F15" s="17">
        <f t="shared" si="1"/>
        <v>-9848.0139101608656</v>
      </c>
      <c r="G15" s="17">
        <f t="shared" si="1"/>
        <v>-9548.694281879325</v>
      </c>
      <c r="H15" s="17">
        <f t="shared" si="1"/>
        <v>-10677.067724421511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3">
      <c r="A16" s="1" t="s">
        <v>77</v>
      </c>
      <c r="B16" s="15">
        <f t="shared" ref="B16:H16" si="2">B11+B12+B14+B15</f>
        <v>2177</v>
      </c>
      <c r="C16" s="15">
        <f t="shared" si="2"/>
        <v>-2555</v>
      </c>
      <c r="D16" s="15">
        <f t="shared" si="2"/>
        <v>549.85839999999735</v>
      </c>
      <c r="E16" s="15">
        <f t="shared" si="2"/>
        <v>807.471504000001</v>
      </c>
      <c r="F16" s="15">
        <f t="shared" si="2"/>
        <v>855.91979423999146</v>
      </c>
      <c r="G16" s="15">
        <f t="shared" si="2"/>
        <v>831.66873340320308</v>
      </c>
      <c r="H16" s="15">
        <f t="shared" si="2"/>
        <v>797.64592158215237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3">
      <c r="A17" s="1" t="s">
        <v>56</v>
      </c>
      <c r="B17" s="15">
        <f>Assumptions!B52</f>
        <v>15463</v>
      </c>
      <c r="C17" s="15">
        <f>Assumptions!C52</f>
        <v>12908</v>
      </c>
      <c r="D17" s="15">
        <f>'Balance Sheet'!D7</f>
        <v>13457.858399999999</v>
      </c>
      <c r="E17" s="15">
        <f>'Balance Sheet'!E7</f>
        <v>14265.329904000002</v>
      </c>
      <c r="F17" s="15">
        <f>'Balance Sheet'!F7</f>
        <v>15121.249698240001</v>
      </c>
      <c r="G17" s="15">
        <f>'Balance Sheet'!G7</f>
        <v>15952.9184316432</v>
      </c>
      <c r="H17" s="15">
        <f>'Balance Sheet'!H7</f>
        <v>16750.56435322536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3">
      <c r="A18" s="24" t="s">
        <v>78</v>
      </c>
      <c r="B18" s="25">
        <f t="shared" ref="B18:H18" si="3">B7+B16-B17</f>
        <v>0</v>
      </c>
      <c r="C18" s="25">
        <f t="shared" si="3"/>
        <v>0</v>
      </c>
      <c r="D18" s="25">
        <f t="shared" si="3"/>
        <v>0</v>
      </c>
      <c r="E18" s="25">
        <f t="shared" si="3"/>
        <v>0</v>
      </c>
      <c r="F18" s="25">
        <f t="shared" si="3"/>
        <v>0</v>
      </c>
      <c r="G18" s="25">
        <f t="shared" si="3"/>
        <v>0</v>
      </c>
      <c r="H18" s="25">
        <f t="shared" si="3"/>
        <v>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3">
      <c r="A19" s="1"/>
      <c r="B19" s="2"/>
      <c r="C19" s="2"/>
      <c r="D19" s="2"/>
      <c r="E19" s="2"/>
      <c r="F19" s="2"/>
      <c r="G19" s="2"/>
      <c r="H19" s="2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3">
      <c r="A20" s="1"/>
      <c r="B20" s="2"/>
      <c r="C20" s="2"/>
      <c r="D20" s="2"/>
      <c r="E20" s="2"/>
      <c r="F20" s="2"/>
      <c r="G20" s="2"/>
      <c r="H20" s="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3">
      <c r="A21" s="16"/>
      <c r="B21" s="21"/>
      <c r="C21" s="21"/>
      <c r="D21" s="21"/>
      <c r="E21" s="21"/>
      <c r="F21" s="21"/>
      <c r="G21" s="21"/>
      <c r="H21" s="2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3">
      <c r="A22" s="1"/>
      <c r="B22" s="2"/>
      <c r="C22" s="2"/>
      <c r="D22" s="2"/>
      <c r="E22" s="2"/>
      <c r="F22" s="2"/>
      <c r="G22" s="2"/>
      <c r="H22" s="2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3">
      <c r="A23" s="1"/>
      <c r="B23" s="2"/>
      <c r="C23" s="2"/>
      <c r="D23" s="2"/>
      <c r="E23" s="2"/>
      <c r="F23" s="2"/>
      <c r="G23" s="2"/>
      <c r="H23" s="2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3">
      <c r="A24" s="16"/>
      <c r="B24" s="21"/>
      <c r="C24" s="21"/>
      <c r="D24" s="21"/>
      <c r="E24" s="21"/>
      <c r="F24" s="21"/>
      <c r="G24" s="21"/>
      <c r="H24" s="2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3">
      <c r="A25" s="20"/>
      <c r="B25" s="19"/>
      <c r="C25" s="19"/>
      <c r="D25" s="19"/>
      <c r="E25" s="19"/>
      <c r="F25" s="19"/>
      <c r="G25" s="19"/>
      <c r="H25" s="19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3">
      <c r="A26" s="1"/>
      <c r="B26" s="2"/>
      <c r="C26" s="2"/>
      <c r="D26" s="2"/>
      <c r="E26" s="2"/>
      <c r="F26" s="2"/>
      <c r="G26" s="2"/>
      <c r="H26" s="2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3">
      <c r="A27" s="1"/>
      <c r="B27" s="2"/>
      <c r="C27" s="2"/>
      <c r="D27" s="2"/>
      <c r="E27" s="2"/>
      <c r="F27" s="2"/>
      <c r="G27" s="2"/>
      <c r="H27" s="2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3">
      <c r="A28" s="1"/>
      <c r="B28" s="2"/>
      <c r="C28" s="2"/>
      <c r="D28" s="2"/>
      <c r="E28" s="2"/>
      <c r="F28" s="2"/>
      <c r="G28" s="2"/>
      <c r="H28" s="2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2"/>
      <c r="C29" s="2"/>
      <c r="D29" s="2"/>
      <c r="E29" s="2"/>
      <c r="F29" s="2"/>
      <c r="G29" s="2"/>
      <c r="H29" s="2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3">
      <c r="A30" s="1"/>
      <c r="B30" s="2"/>
      <c r="C30" s="2"/>
      <c r="D30" s="2"/>
      <c r="E30" s="2"/>
      <c r="F30" s="2"/>
      <c r="G30" s="2"/>
      <c r="H30" s="2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2"/>
      <c r="C31" s="2"/>
      <c r="D31" s="2"/>
      <c r="E31" s="2"/>
      <c r="F31" s="2"/>
      <c r="G31" s="2"/>
      <c r="H31" s="2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3">
      <c r="A32" s="1"/>
      <c r="B32" s="2"/>
      <c r="C32" s="2"/>
      <c r="D32" s="2"/>
      <c r="E32" s="2"/>
      <c r="F32" s="2"/>
      <c r="G32" s="2"/>
      <c r="H32" s="2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2"/>
      <c r="C33" s="2"/>
      <c r="D33" s="2"/>
      <c r="E33" s="2"/>
      <c r="F33" s="2"/>
      <c r="G33" s="2"/>
      <c r="H33" s="2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2"/>
      <c r="C34" s="2"/>
      <c r="D34" s="2"/>
      <c r="E34" s="2"/>
      <c r="F34" s="2"/>
      <c r="G34" s="2"/>
      <c r="H34" s="2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2"/>
      <c r="C35" s="2"/>
      <c r="D35" s="2"/>
      <c r="E35" s="2"/>
      <c r="F35" s="2"/>
      <c r="G35" s="2"/>
      <c r="H35" s="2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1"/>
      <c r="B36" s="2"/>
      <c r="C36" s="2"/>
      <c r="D36" s="2"/>
      <c r="E36" s="2"/>
      <c r="F36" s="2"/>
      <c r="G36" s="2"/>
      <c r="H36" s="2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">
      <c r="A37" s="1"/>
      <c r="B37" s="2"/>
      <c r="C37" s="2"/>
      <c r="D37" s="2"/>
      <c r="E37" s="2"/>
      <c r="F37" s="2"/>
      <c r="G37" s="2"/>
      <c r="H37" s="2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">
      <c r="A38" s="1"/>
      <c r="B38" s="2"/>
      <c r="C38" s="2"/>
      <c r="D38" s="2"/>
      <c r="E38" s="2"/>
      <c r="F38" s="2"/>
      <c r="G38" s="2"/>
      <c r="H38" s="2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">
      <c r="A39" s="1"/>
      <c r="B39" s="2"/>
      <c r="C39" s="2"/>
      <c r="D39" s="2"/>
      <c r="E39" s="2"/>
      <c r="F39" s="2"/>
      <c r="G39" s="2"/>
      <c r="H39" s="2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">
      <c r="A40" s="1"/>
      <c r="B40" s="2"/>
      <c r="C40" s="2"/>
      <c r="D40" s="2"/>
      <c r="E40" s="2"/>
      <c r="F40" s="2"/>
      <c r="G40" s="2"/>
      <c r="H40" s="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">
      <c r="A41" s="1"/>
      <c r="B41" s="2"/>
      <c r="C41" s="2"/>
      <c r="D41" s="2"/>
      <c r="E41" s="2"/>
      <c r="F41" s="2"/>
      <c r="G41" s="2"/>
      <c r="H41" s="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">
      <c r="A42" s="1"/>
      <c r="B42" s="2"/>
      <c r="C42" s="2"/>
      <c r="D42" s="2"/>
      <c r="E42" s="2"/>
      <c r="F42" s="2"/>
      <c r="G42" s="2"/>
      <c r="H42" s="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">
      <c r="A43" s="1"/>
      <c r="B43" s="2"/>
      <c r="C43" s="2"/>
      <c r="D43" s="2"/>
      <c r="E43" s="2"/>
      <c r="F43" s="2"/>
      <c r="G43" s="2"/>
      <c r="H43" s="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">
      <c r="A44" s="1"/>
      <c r="B44" s="2"/>
      <c r="C44" s="2"/>
      <c r="D44" s="2"/>
      <c r="E44" s="2"/>
      <c r="F44" s="2"/>
      <c r="G44" s="2"/>
      <c r="H44" s="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">
      <c r="A45" s="1"/>
      <c r="B45" s="2"/>
      <c r="C45" s="2"/>
      <c r="D45" s="2"/>
      <c r="E45" s="2"/>
      <c r="F45" s="2"/>
      <c r="G45" s="2"/>
      <c r="H45" s="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">
      <c r="A46" s="1"/>
      <c r="B46" s="2"/>
      <c r="C46" s="2"/>
      <c r="D46" s="2"/>
      <c r="E46" s="2"/>
      <c r="F46" s="2"/>
      <c r="G46" s="2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">
      <c r="A47" s="1"/>
      <c r="B47" s="2"/>
      <c r="C47" s="2"/>
      <c r="D47" s="2"/>
      <c r="E47" s="2"/>
      <c r="F47" s="2"/>
      <c r="G47" s="2"/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">
      <c r="A48" s="1"/>
      <c r="B48" s="2"/>
      <c r="C48" s="2"/>
      <c r="D48" s="2"/>
      <c r="E48" s="2"/>
      <c r="F48" s="2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3">
      <c r="A49" s="1"/>
      <c r="B49" s="2"/>
      <c r="C49" s="2"/>
      <c r="D49" s="2"/>
      <c r="E49" s="2"/>
      <c r="F49" s="2"/>
      <c r="G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3">
      <c r="A50" s="1"/>
      <c r="B50" s="2"/>
      <c r="C50" s="2"/>
      <c r="D50" s="2"/>
      <c r="E50" s="2"/>
      <c r="F50" s="2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3">
      <c r="A51" s="1"/>
      <c r="B51" s="2"/>
      <c r="C51" s="2"/>
      <c r="D51" s="2"/>
      <c r="E51" s="2"/>
      <c r="F51" s="2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3">
      <c r="A52" s="1"/>
      <c r="B52" s="2"/>
      <c r="C52" s="2"/>
      <c r="D52" s="2"/>
      <c r="E52" s="2"/>
      <c r="F52" s="2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3">
      <c r="A53" s="1"/>
      <c r="B53" s="2"/>
      <c r="C53" s="2"/>
      <c r="D53" s="2"/>
      <c r="E53" s="2"/>
      <c r="F53" s="2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3">
      <c r="A54" s="1"/>
      <c r="B54" s="2"/>
      <c r="C54" s="2"/>
      <c r="D54" s="2"/>
      <c r="E54" s="2"/>
      <c r="F54" s="2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3">
      <c r="A55" s="1"/>
      <c r="B55" s="2"/>
      <c r="C55" s="2"/>
      <c r="D55" s="2"/>
      <c r="E55" s="2"/>
      <c r="F55" s="2"/>
      <c r="G55" s="2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3">
      <c r="A56" s="1"/>
      <c r="B56" s="2"/>
      <c r="C56" s="2"/>
      <c r="D56" s="2"/>
      <c r="E56" s="2"/>
      <c r="F56" s="2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3">
      <c r="A57" s="1"/>
      <c r="B57" s="2"/>
      <c r="C57" s="2"/>
      <c r="D57" s="2"/>
      <c r="E57" s="2"/>
      <c r="F57" s="2"/>
      <c r="G57" s="2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3">
      <c r="A58" s="1"/>
      <c r="B58" s="2"/>
      <c r="C58" s="2"/>
      <c r="D58" s="2"/>
      <c r="E58" s="2"/>
      <c r="F58" s="2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3">
      <c r="A59" s="1"/>
      <c r="B59" s="2"/>
      <c r="C59" s="2"/>
      <c r="D59" s="2"/>
      <c r="E59" s="2"/>
      <c r="F59" s="2"/>
      <c r="G59" s="2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3">
      <c r="A60" s="1"/>
      <c r="B60" s="2"/>
      <c r="C60" s="2"/>
      <c r="D60" s="2"/>
      <c r="E60" s="2"/>
      <c r="F60" s="2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3">
      <c r="A61" s="1"/>
      <c r="B61" s="2"/>
      <c r="C61" s="2"/>
      <c r="D61" s="2"/>
      <c r="E61" s="2"/>
      <c r="F61" s="2"/>
      <c r="G61" s="2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3">
      <c r="A62" s="1"/>
      <c r="B62" s="2"/>
      <c r="C62" s="2"/>
      <c r="D62" s="2"/>
      <c r="E62" s="2"/>
      <c r="F62" s="2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3">
      <c r="A63" s="1"/>
      <c r="B63" s="2"/>
      <c r="C63" s="2"/>
      <c r="D63" s="2"/>
      <c r="E63" s="2"/>
      <c r="F63" s="2"/>
      <c r="G63" s="2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3">
      <c r="A64" s="1"/>
      <c r="B64" s="2"/>
      <c r="C64" s="2"/>
      <c r="D64" s="2"/>
      <c r="E64" s="2"/>
      <c r="F64" s="2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3">
      <c r="A65" s="1"/>
      <c r="B65" s="2"/>
      <c r="C65" s="2"/>
      <c r="D65" s="2"/>
      <c r="E65" s="2"/>
      <c r="F65" s="2"/>
      <c r="G65" s="2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3">
      <c r="A66" s="1"/>
      <c r="B66" s="2"/>
      <c r="C66" s="2"/>
      <c r="D66" s="2"/>
      <c r="E66" s="2"/>
      <c r="F66" s="2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3">
      <c r="A67" s="1"/>
      <c r="B67" s="2"/>
      <c r="C67" s="2"/>
      <c r="D67" s="2"/>
      <c r="E67" s="2"/>
      <c r="F67" s="2"/>
      <c r="G67" s="2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3">
      <c r="A68" s="1"/>
      <c r="B68" s="2"/>
      <c r="C68" s="2"/>
      <c r="D68" s="2"/>
      <c r="E68" s="2"/>
      <c r="F68" s="2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3">
      <c r="A69" s="1"/>
      <c r="B69" s="2"/>
      <c r="C69" s="2"/>
      <c r="D69" s="2"/>
      <c r="E69" s="2"/>
      <c r="F69" s="2"/>
      <c r="G69" s="2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3">
      <c r="A70" s="1"/>
      <c r="B70" s="2"/>
      <c r="C70" s="2"/>
      <c r="D70" s="2"/>
      <c r="E70" s="2"/>
      <c r="F70" s="2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3">
      <c r="A71" s="1"/>
      <c r="B71" s="2"/>
      <c r="C71" s="2"/>
      <c r="D71" s="2"/>
      <c r="E71" s="2"/>
      <c r="F71" s="2"/>
      <c r="G71" s="2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3">
      <c r="A72" s="1"/>
      <c r="B72" s="2"/>
      <c r="C72" s="2"/>
      <c r="D72" s="2"/>
      <c r="E72" s="2"/>
      <c r="F72" s="2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3">
      <c r="A73" s="1"/>
      <c r="B73" s="2"/>
      <c r="C73" s="2"/>
      <c r="D73" s="2"/>
      <c r="E73" s="2"/>
      <c r="F73" s="2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3">
      <c r="A74" s="1"/>
      <c r="B74" s="2"/>
      <c r="C74" s="2"/>
      <c r="D74" s="2"/>
      <c r="E74" s="2"/>
      <c r="F74" s="2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3">
      <c r="A75" s="1"/>
      <c r="B75" s="2"/>
      <c r="C75" s="2"/>
      <c r="D75" s="2"/>
      <c r="E75" s="2"/>
      <c r="F75" s="2"/>
      <c r="G75" s="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3">
      <c r="A76" s="1"/>
      <c r="B76" s="2"/>
      <c r="C76" s="2"/>
      <c r="D76" s="2"/>
      <c r="E76" s="2"/>
      <c r="F76" s="2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3">
      <c r="A77" s="1"/>
      <c r="B77" s="2"/>
      <c r="C77" s="2"/>
      <c r="D77" s="2"/>
      <c r="E77" s="2"/>
      <c r="F77" s="2"/>
      <c r="G77" s="2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3">
      <c r="A78" s="1"/>
      <c r="B78" s="2"/>
      <c r="C78" s="2"/>
      <c r="D78" s="2"/>
      <c r="E78" s="2"/>
      <c r="F78" s="2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3">
      <c r="A79" s="1"/>
      <c r="B79" s="2"/>
      <c r="C79" s="2"/>
      <c r="D79" s="2"/>
      <c r="E79" s="2"/>
      <c r="F79" s="2"/>
      <c r="G79" s="2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3">
      <c r="A80" s="1"/>
      <c r="B80" s="2"/>
      <c r="C80" s="2"/>
      <c r="D80" s="2"/>
      <c r="E80" s="2"/>
      <c r="F80" s="2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3">
      <c r="A81" s="1"/>
      <c r="B81" s="2"/>
      <c r="C81" s="2"/>
      <c r="D81" s="2"/>
      <c r="E81" s="2"/>
      <c r="F81" s="2"/>
      <c r="G81" s="2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3">
      <c r="A82" s="1"/>
      <c r="B82" s="2"/>
      <c r="C82" s="2"/>
      <c r="D82" s="2"/>
      <c r="E82" s="2"/>
      <c r="F82" s="2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3">
      <c r="A83" s="1"/>
      <c r="B83" s="2"/>
      <c r="C83" s="2"/>
      <c r="D83" s="2"/>
      <c r="E83" s="2"/>
      <c r="F83" s="2"/>
      <c r="G83" s="2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3">
      <c r="A84" s="1"/>
      <c r="B84" s="2"/>
      <c r="C84" s="2"/>
      <c r="D84" s="2"/>
      <c r="E84" s="2"/>
      <c r="F84" s="2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3">
      <c r="A85" s="1"/>
      <c r="B85" s="2"/>
      <c r="C85" s="2"/>
      <c r="D85" s="2"/>
      <c r="E85" s="2"/>
      <c r="F85" s="2"/>
      <c r="G85" s="2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3">
      <c r="A86" s="1"/>
      <c r="B86" s="2"/>
      <c r="C86" s="2"/>
      <c r="D86" s="2"/>
      <c r="E86" s="2"/>
      <c r="F86" s="2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3">
      <c r="A87" s="1"/>
      <c r="B87" s="2"/>
      <c r="C87" s="2"/>
      <c r="D87" s="2"/>
      <c r="E87" s="2"/>
      <c r="F87" s="2"/>
      <c r="G87" s="2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3">
      <c r="A88" s="1"/>
      <c r="B88" s="2"/>
      <c r="C88" s="2"/>
      <c r="D88" s="2"/>
      <c r="E88" s="2"/>
      <c r="F88" s="2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3">
      <c r="A89" s="1"/>
      <c r="B89" s="2"/>
      <c r="C89" s="2"/>
      <c r="D89" s="2"/>
      <c r="E89" s="2"/>
      <c r="F89" s="2"/>
      <c r="G89" s="2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3">
      <c r="A90" s="1"/>
      <c r="B90" s="2"/>
      <c r="C90" s="2"/>
      <c r="D90" s="2"/>
      <c r="E90" s="2"/>
      <c r="F90" s="2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3">
      <c r="A91" s="1"/>
      <c r="B91" s="2"/>
      <c r="C91" s="2"/>
      <c r="D91" s="2"/>
      <c r="E91" s="2"/>
      <c r="F91" s="2"/>
      <c r="G91" s="2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3">
      <c r="A92" s="1"/>
      <c r="B92" s="2"/>
      <c r="C92" s="2"/>
      <c r="D92" s="2"/>
      <c r="E92" s="2"/>
      <c r="F92" s="2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3">
      <c r="A93" s="1"/>
      <c r="B93" s="2"/>
      <c r="C93" s="2"/>
      <c r="D93" s="2"/>
      <c r="E93" s="2"/>
      <c r="F93" s="2"/>
      <c r="G93" s="2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3">
      <c r="A94" s="1"/>
      <c r="B94" s="2"/>
      <c r="C94" s="2"/>
      <c r="D94" s="2"/>
      <c r="E94" s="2"/>
      <c r="F94" s="2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3">
      <c r="A95" s="1"/>
      <c r="B95" s="2"/>
      <c r="C95" s="2"/>
      <c r="D95" s="2"/>
      <c r="E95" s="2"/>
      <c r="F95" s="2"/>
      <c r="G95" s="2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3">
      <c r="A96" s="1"/>
      <c r="B96" s="2"/>
      <c r="C96" s="2"/>
      <c r="D96" s="2"/>
      <c r="E96" s="2"/>
      <c r="F96" s="2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3">
      <c r="A97" s="1"/>
      <c r="B97" s="2"/>
      <c r="C97" s="2"/>
      <c r="D97" s="2"/>
      <c r="E97" s="2"/>
      <c r="F97" s="2"/>
      <c r="G97" s="2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3">
      <c r="A98" s="1"/>
      <c r="B98" s="2"/>
      <c r="C98" s="2"/>
      <c r="D98" s="2"/>
      <c r="E98" s="2"/>
      <c r="F98" s="2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3">
      <c r="A99" s="1"/>
      <c r="B99" s="2"/>
      <c r="C99" s="2"/>
      <c r="D99" s="2"/>
      <c r="E99" s="2"/>
      <c r="F99" s="2"/>
      <c r="G99" s="2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3">
      <c r="A100" s="1"/>
      <c r="B100" s="2"/>
      <c r="C100" s="2"/>
      <c r="D100" s="2"/>
      <c r="E100" s="2"/>
      <c r="F100" s="2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3">
      <c r="A101" s="1"/>
      <c r="B101" s="2"/>
      <c r="C101" s="2"/>
      <c r="D101" s="2"/>
      <c r="E101" s="2"/>
      <c r="F101" s="2"/>
      <c r="G101" s="2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3">
      <c r="A102" s="1"/>
      <c r="B102" s="2"/>
      <c r="C102" s="2"/>
      <c r="D102" s="2"/>
      <c r="E102" s="2"/>
      <c r="F102" s="2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3">
      <c r="A103" s="1"/>
      <c r="B103" s="2"/>
      <c r="C103" s="2"/>
      <c r="D103" s="2"/>
      <c r="E103" s="2"/>
      <c r="F103" s="2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3">
      <c r="A104" s="1"/>
      <c r="B104" s="2"/>
      <c r="C104" s="2"/>
      <c r="D104" s="2"/>
      <c r="E104" s="2"/>
      <c r="F104" s="2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3">
      <c r="A105" s="1"/>
      <c r="B105" s="2"/>
      <c r="C105" s="2"/>
      <c r="D105" s="2"/>
      <c r="E105" s="2"/>
      <c r="F105" s="2"/>
      <c r="G105" s="2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3">
      <c r="A106" s="1"/>
      <c r="B106" s="2"/>
      <c r="C106" s="2"/>
      <c r="D106" s="2"/>
      <c r="E106" s="2"/>
      <c r="F106" s="2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3">
      <c r="A107" s="1"/>
      <c r="B107" s="2"/>
      <c r="C107" s="2"/>
      <c r="D107" s="2"/>
      <c r="E107" s="2"/>
      <c r="F107" s="2"/>
      <c r="G107" s="2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3">
      <c r="A108" s="1"/>
      <c r="B108" s="2"/>
      <c r="C108" s="2"/>
      <c r="D108" s="2"/>
      <c r="E108" s="2"/>
      <c r="F108" s="2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3">
      <c r="A109" s="1"/>
      <c r="B109" s="2"/>
      <c r="C109" s="2"/>
      <c r="D109" s="2"/>
      <c r="E109" s="2"/>
      <c r="F109" s="2"/>
      <c r="G109" s="2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3">
      <c r="A110" s="1"/>
      <c r="B110" s="2"/>
      <c r="C110" s="2"/>
      <c r="D110" s="2"/>
      <c r="E110" s="2"/>
      <c r="F110" s="2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3">
      <c r="A111" s="1"/>
      <c r="B111" s="2"/>
      <c r="C111" s="2"/>
      <c r="D111" s="2"/>
      <c r="E111" s="2"/>
      <c r="F111" s="2"/>
      <c r="G111" s="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3">
      <c r="A112" s="1"/>
      <c r="B112" s="2"/>
      <c r="C112" s="2"/>
      <c r="D112" s="2"/>
      <c r="E112" s="2"/>
      <c r="F112" s="2"/>
      <c r="G112" s="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3">
      <c r="A113" s="1"/>
      <c r="B113" s="2"/>
      <c r="C113" s="2"/>
      <c r="D113" s="2"/>
      <c r="E113" s="2"/>
      <c r="F113" s="2"/>
      <c r="G113" s="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3">
      <c r="A114" s="1"/>
      <c r="B114" s="2"/>
      <c r="C114" s="2"/>
      <c r="D114" s="2"/>
      <c r="E114" s="2"/>
      <c r="F114" s="2"/>
      <c r="G114" s="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3">
      <c r="A115" s="1"/>
      <c r="B115" s="2"/>
      <c r="C115" s="2"/>
      <c r="D115" s="2"/>
      <c r="E115" s="2"/>
      <c r="F115" s="2"/>
      <c r="G115" s="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3">
      <c r="A116" s="1"/>
      <c r="B116" s="2"/>
      <c r="C116" s="2"/>
      <c r="D116" s="2"/>
      <c r="E116" s="2"/>
      <c r="F116" s="2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3">
      <c r="A117" s="1"/>
      <c r="B117" s="2"/>
      <c r="C117" s="2"/>
      <c r="D117" s="2"/>
      <c r="E117" s="2"/>
      <c r="F117" s="2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3">
      <c r="A118" s="1"/>
      <c r="B118" s="2"/>
      <c r="C118" s="2"/>
      <c r="D118" s="2"/>
      <c r="E118" s="2"/>
      <c r="F118" s="2"/>
      <c r="G118" s="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3">
      <c r="A119" s="1"/>
      <c r="B119" s="2"/>
      <c r="C119" s="2"/>
      <c r="D119" s="2"/>
      <c r="E119" s="2"/>
      <c r="F119" s="2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3">
      <c r="A120" s="1"/>
      <c r="B120" s="2"/>
      <c r="C120" s="2"/>
      <c r="D120" s="2"/>
      <c r="E120" s="2"/>
      <c r="F120" s="2"/>
      <c r="G120" s="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3">
      <c r="A121" s="1"/>
      <c r="B121" s="2"/>
      <c r="C121" s="2"/>
      <c r="D121" s="2"/>
      <c r="E121" s="2"/>
      <c r="F121" s="2"/>
      <c r="G121" s="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3">
      <c r="A122" s="1"/>
      <c r="B122" s="2"/>
      <c r="C122" s="2"/>
      <c r="D122" s="2"/>
      <c r="E122" s="2"/>
      <c r="F122" s="2"/>
      <c r="G122" s="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3">
      <c r="A123" s="1"/>
      <c r="B123" s="2"/>
      <c r="C123" s="2"/>
      <c r="D123" s="2"/>
      <c r="E123" s="2"/>
      <c r="F123" s="2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3">
      <c r="A124" s="1"/>
      <c r="B124" s="2"/>
      <c r="C124" s="2"/>
      <c r="D124" s="2"/>
      <c r="E124" s="2"/>
      <c r="F124" s="2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3">
      <c r="A125" s="1"/>
      <c r="B125" s="2"/>
      <c r="C125" s="2"/>
      <c r="D125" s="2"/>
      <c r="E125" s="2"/>
      <c r="F125" s="2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3">
      <c r="A126" s="1"/>
      <c r="B126" s="2"/>
      <c r="C126" s="2"/>
      <c r="D126" s="2"/>
      <c r="E126" s="2"/>
      <c r="F126" s="2"/>
      <c r="G126" s="2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3">
      <c r="A127" s="1"/>
      <c r="B127" s="2"/>
      <c r="C127" s="2"/>
      <c r="D127" s="2"/>
      <c r="E127" s="2"/>
      <c r="F127" s="2"/>
      <c r="G127" s="2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3">
      <c r="A128" s="1"/>
      <c r="B128" s="2"/>
      <c r="C128" s="2"/>
      <c r="D128" s="2"/>
      <c r="E128" s="2"/>
      <c r="F128" s="2"/>
      <c r="G128" s="2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3">
      <c r="A129" s="1"/>
      <c r="B129" s="2"/>
      <c r="C129" s="2"/>
      <c r="D129" s="2"/>
      <c r="E129" s="2"/>
      <c r="F129" s="2"/>
      <c r="G129" s="2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3">
      <c r="A130" s="1"/>
      <c r="B130" s="2"/>
      <c r="C130" s="2"/>
      <c r="D130" s="2"/>
      <c r="E130" s="2"/>
      <c r="F130" s="2"/>
      <c r="G130" s="2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3">
      <c r="A131" s="1"/>
      <c r="B131" s="2"/>
      <c r="C131" s="2"/>
      <c r="D131" s="2"/>
      <c r="E131" s="2"/>
      <c r="F131" s="2"/>
      <c r="G131" s="2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3">
      <c r="A132" s="1"/>
      <c r="B132" s="2"/>
      <c r="C132" s="2"/>
      <c r="D132" s="2"/>
      <c r="E132" s="2"/>
      <c r="F132" s="2"/>
      <c r="G132" s="2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3">
      <c r="A133" s="1"/>
      <c r="B133" s="2"/>
      <c r="C133" s="2"/>
      <c r="D133" s="2"/>
      <c r="E133" s="2"/>
      <c r="F133" s="2"/>
      <c r="G133" s="2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3">
      <c r="A134" s="1"/>
      <c r="B134" s="2"/>
      <c r="C134" s="2"/>
      <c r="D134" s="2"/>
      <c r="E134" s="2"/>
      <c r="F134" s="2"/>
      <c r="G134" s="2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3">
      <c r="A135" s="1"/>
      <c r="B135" s="2"/>
      <c r="C135" s="2"/>
      <c r="D135" s="2"/>
      <c r="E135" s="2"/>
      <c r="F135" s="2"/>
      <c r="G135" s="2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3">
      <c r="A136" s="1"/>
      <c r="B136" s="2"/>
      <c r="C136" s="2"/>
      <c r="D136" s="2"/>
      <c r="E136" s="2"/>
      <c r="F136" s="2"/>
      <c r="G136" s="2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3">
      <c r="A137" s="1"/>
      <c r="B137" s="2"/>
      <c r="C137" s="2"/>
      <c r="D137" s="2"/>
      <c r="E137" s="2"/>
      <c r="F137" s="2"/>
      <c r="G137" s="2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3">
      <c r="A138" s="1"/>
      <c r="B138" s="2"/>
      <c r="C138" s="2"/>
      <c r="D138" s="2"/>
      <c r="E138" s="2"/>
      <c r="F138" s="2"/>
      <c r="G138" s="2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3">
      <c r="A139" s="1"/>
      <c r="B139" s="2"/>
      <c r="C139" s="2"/>
      <c r="D139" s="2"/>
      <c r="E139" s="2"/>
      <c r="F139" s="2"/>
      <c r="G139" s="2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3">
      <c r="A140" s="1"/>
      <c r="B140" s="2"/>
      <c r="C140" s="2"/>
      <c r="D140" s="2"/>
      <c r="E140" s="2"/>
      <c r="F140" s="2"/>
      <c r="G140" s="2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3">
      <c r="A141" s="1"/>
      <c r="B141" s="2"/>
      <c r="C141" s="2"/>
      <c r="D141" s="2"/>
      <c r="E141" s="2"/>
      <c r="F141" s="2"/>
      <c r="G141" s="2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3">
      <c r="A142" s="1"/>
      <c r="B142" s="2"/>
      <c r="C142" s="2"/>
      <c r="D142" s="2"/>
      <c r="E142" s="2"/>
      <c r="F142" s="2"/>
      <c r="G142" s="2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3">
      <c r="A143" s="1"/>
      <c r="B143" s="2"/>
      <c r="C143" s="2"/>
      <c r="D143" s="2"/>
      <c r="E143" s="2"/>
      <c r="F143" s="2"/>
      <c r="G143" s="2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3">
      <c r="A144" s="1"/>
      <c r="B144" s="2"/>
      <c r="C144" s="2"/>
      <c r="D144" s="2"/>
      <c r="E144" s="2"/>
      <c r="F144" s="2"/>
      <c r="G144" s="2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3">
      <c r="A145" s="1"/>
      <c r="B145" s="2"/>
      <c r="C145" s="2"/>
      <c r="D145" s="2"/>
      <c r="E145" s="2"/>
      <c r="F145" s="2"/>
      <c r="G145" s="2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3">
      <c r="A146" s="1"/>
      <c r="B146" s="2"/>
      <c r="C146" s="2"/>
      <c r="D146" s="2"/>
      <c r="E146" s="2"/>
      <c r="F146" s="2"/>
      <c r="G146" s="2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3">
      <c r="A147" s="1"/>
      <c r="B147" s="2"/>
      <c r="C147" s="2"/>
      <c r="D147" s="2"/>
      <c r="E147" s="2"/>
      <c r="F147" s="2"/>
      <c r="G147" s="2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3">
      <c r="A148" s="1"/>
      <c r="B148" s="2"/>
      <c r="C148" s="2"/>
      <c r="D148" s="2"/>
      <c r="E148" s="2"/>
      <c r="F148" s="2"/>
      <c r="G148" s="2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3">
      <c r="A149" s="1"/>
      <c r="B149" s="2"/>
      <c r="C149" s="2"/>
      <c r="D149" s="2"/>
      <c r="E149" s="2"/>
      <c r="F149" s="2"/>
      <c r="G149" s="2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3">
      <c r="A150" s="1"/>
      <c r="B150" s="2"/>
      <c r="C150" s="2"/>
      <c r="D150" s="2"/>
      <c r="E150" s="2"/>
      <c r="F150" s="2"/>
      <c r="G150" s="2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3">
      <c r="A151" s="1"/>
      <c r="B151" s="2"/>
      <c r="C151" s="2"/>
      <c r="D151" s="2"/>
      <c r="E151" s="2"/>
      <c r="F151" s="2"/>
      <c r="G151" s="2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3">
      <c r="A152" s="1"/>
      <c r="B152" s="2"/>
      <c r="C152" s="2"/>
      <c r="D152" s="2"/>
      <c r="E152" s="2"/>
      <c r="F152" s="2"/>
      <c r="G152" s="2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3">
      <c r="A153" s="1"/>
      <c r="B153" s="2"/>
      <c r="C153" s="2"/>
      <c r="D153" s="2"/>
      <c r="E153" s="2"/>
      <c r="F153" s="2"/>
      <c r="G153" s="2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3">
      <c r="A154" s="1"/>
      <c r="B154" s="2"/>
      <c r="C154" s="2"/>
      <c r="D154" s="2"/>
      <c r="E154" s="2"/>
      <c r="F154" s="2"/>
      <c r="G154" s="2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3">
      <c r="A155" s="1"/>
      <c r="B155" s="2"/>
      <c r="C155" s="2"/>
      <c r="D155" s="2"/>
      <c r="E155" s="2"/>
      <c r="F155" s="2"/>
      <c r="G155" s="2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3">
      <c r="A156" s="1"/>
      <c r="B156" s="2"/>
      <c r="C156" s="2"/>
      <c r="D156" s="2"/>
      <c r="E156" s="2"/>
      <c r="F156" s="2"/>
      <c r="G156" s="2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3">
      <c r="A157" s="1"/>
      <c r="B157" s="2"/>
      <c r="C157" s="2"/>
      <c r="D157" s="2"/>
      <c r="E157" s="2"/>
      <c r="F157" s="2"/>
      <c r="G157" s="2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3">
      <c r="A158" s="1"/>
      <c r="B158" s="2"/>
      <c r="C158" s="2"/>
      <c r="D158" s="2"/>
      <c r="E158" s="2"/>
      <c r="F158" s="2"/>
      <c r="G158" s="2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3">
      <c r="A159" s="1"/>
      <c r="B159" s="2"/>
      <c r="C159" s="2"/>
      <c r="D159" s="2"/>
      <c r="E159" s="2"/>
      <c r="F159" s="2"/>
      <c r="G159" s="2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3">
      <c r="A160" s="1"/>
      <c r="B160" s="2"/>
      <c r="C160" s="2"/>
      <c r="D160" s="2"/>
      <c r="E160" s="2"/>
      <c r="F160" s="2"/>
      <c r="G160" s="2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3">
      <c r="A161" s="1"/>
      <c r="B161" s="2"/>
      <c r="C161" s="2"/>
      <c r="D161" s="2"/>
      <c r="E161" s="2"/>
      <c r="F161" s="2"/>
      <c r="G161" s="2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3">
      <c r="A162" s="1"/>
      <c r="B162" s="2"/>
      <c r="C162" s="2"/>
      <c r="D162" s="2"/>
      <c r="E162" s="2"/>
      <c r="F162" s="2"/>
      <c r="G162" s="2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3">
      <c r="A163" s="1"/>
      <c r="B163" s="2"/>
      <c r="C163" s="2"/>
      <c r="D163" s="2"/>
      <c r="E163" s="2"/>
      <c r="F163" s="2"/>
      <c r="G163" s="2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3">
      <c r="A164" s="1"/>
      <c r="B164" s="2"/>
      <c r="C164" s="2"/>
      <c r="D164" s="2"/>
      <c r="E164" s="2"/>
      <c r="F164" s="2"/>
      <c r="G164" s="2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3">
      <c r="A165" s="1"/>
      <c r="B165" s="2"/>
      <c r="C165" s="2"/>
      <c r="D165" s="2"/>
      <c r="E165" s="2"/>
      <c r="F165" s="2"/>
      <c r="G165" s="2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3">
      <c r="A166" s="1"/>
      <c r="B166" s="2"/>
      <c r="C166" s="2"/>
      <c r="D166" s="2"/>
      <c r="E166" s="2"/>
      <c r="F166" s="2"/>
      <c r="G166" s="2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3">
      <c r="A167" s="1"/>
      <c r="B167" s="2"/>
      <c r="C167" s="2"/>
      <c r="D167" s="2"/>
      <c r="E167" s="2"/>
      <c r="F167" s="2"/>
      <c r="G167" s="2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3">
      <c r="A168" s="1"/>
      <c r="B168" s="2"/>
      <c r="C168" s="2"/>
      <c r="D168" s="2"/>
      <c r="E168" s="2"/>
      <c r="F168" s="2"/>
      <c r="G168" s="2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3">
      <c r="A169" s="1"/>
      <c r="B169" s="2"/>
      <c r="C169" s="2"/>
      <c r="D169" s="2"/>
      <c r="E169" s="2"/>
      <c r="F169" s="2"/>
      <c r="G169" s="2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3">
      <c r="A170" s="1"/>
      <c r="B170" s="2"/>
      <c r="C170" s="2"/>
      <c r="D170" s="2"/>
      <c r="E170" s="2"/>
      <c r="F170" s="2"/>
      <c r="G170" s="2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3">
      <c r="A171" s="1"/>
      <c r="B171" s="2"/>
      <c r="C171" s="2"/>
      <c r="D171" s="2"/>
      <c r="E171" s="2"/>
      <c r="F171" s="2"/>
      <c r="G171" s="2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3">
      <c r="A172" s="1"/>
      <c r="B172" s="2"/>
      <c r="C172" s="2"/>
      <c r="D172" s="2"/>
      <c r="E172" s="2"/>
      <c r="F172" s="2"/>
      <c r="G172" s="2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3">
      <c r="A173" s="1"/>
      <c r="B173" s="2"/>
      <c r="C173" s="2"/>
      <c r="D173" s="2"/>
      <c r="E173" s="2"/>
      <c r="F173" s="2"/>
      <c r="G173" s="2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3">
      <c r="A174" s="1"/>
      <c r="B174" s="2"/>
      <c r="C174" s="2"/>
      <c r="D174" s="2"/>
      <c r="E174" s="2"/>
      <c r="F174" s="2"/>
      <c r="G174" s="2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3">
      <c r="A175" s="1"/>
      <c r="B175" s="2"/>
      <c r="C175" s="2"/>
      <c r="D175" s="2"/>
      <c r="E175" s="2"/>
      <c r="F175" s="2"/>
      <c r="G175" s="2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3">
      <c r="A176" s="1"/>
      <c r="B176" s="2"/>
      <c r="C176" s="2"/>
      <c r="D176" s="2"/>
      <c r="E176" s="2"/>
      <c r="F176" s="2"/>
      <c r="G176" s="2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3">
      <c r="A177" s="1"/>
      <c r="B177" s="2"/>
      <c r="C177" s="2"/>
      <c r="D177" s="2"/>
      <c r="E177" s="2"/>
      <c r="F177" s="2"/>
      <c r="G177" s="2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3">
      <c r="A178" s="1"/>
      <c r="B178" s="2"/>
      <c r="C178" s="2"/>
      <c r="D178" s="2"/>
      <c r="E178" s="2"/>
      <c r="F178" s="2"/>
      <c r="G178" s="2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3">
      <c r="A179" s="1"/>
      <c r="B179" s="2"/>
      <c r="C179" s="2"/>
      <c r="D179" s="2"/>
      <c r="E179" s="2"/>
      <c r="F179" s="2"/>
      <c r="G179" s="2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3">
      <c r="A180" s="1"/>
      <c r="B180" s="2"/>
      <c r="C180" s="2"/>
      <c r="D180" s="2"/>
      <c r="E180" s="2"/>
      <c r="F180" s="2"/>
      <c r="G180" s="2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3">
      <c r="A181" s="1"/>
      <c r="B181" s="2"/>
      <c r="C181" s="2"/>
      <c r="D181" s="2"/>
      <c r="E181" s="2"/>
      <c r="F181" s="2"/>
      <c r="G181" s="2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3">
      <c r="A182" s="1"/>
      <c r="B182" s="2"/>
      <c r="C182" s="2"/>
      <c r="D182" s="2"/>
      <c r="E182" s="2"/>
      <c r="F182" s="2"/>
      <c r="G182" s="2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3">
      <c r="A183" s="1"/>
      <c r="B183" s="2"/>
      <c r="C183" s="2"/>
      <c r="D183" s="2"/>
      <c r="E183" s="2"/>
      <c r="F183" s="2"/>
      <c r="G183" s="2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3">
      <c r="A184" s="1"/>
      <c r="B184" s="2"/>
      <c r="C184" s="2"/>
      <c r="D184" s="2"/>
      <c r="E184" s="2"/>
      <c r="F184" s="2"/>
      <c r="G184" s="2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3">
      <c r="A185" s="1"/>
      <c r="B185" s="2"/>
      <c r="C185" s="2"/>
      <c r="D185" s="2"/>
      <c r="E185" s="2"/>
      <c r="F185" s="2"/>
      <c r="G185" s="2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3">
      <c r="A186" s="1"/>
      <c r="B186" s="2"/>
      <c r="C186" s="2"/>
      <c r="D186" s="2"/>
      <c r="E186" s="2"/>
      <c r="F186" s="2"/>
      <c r="G186" s="2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3">
      <c r="A187" s="1"/>
      <c r="B187" s="2"/>
      <c r="C187" s="2"/>
      <c r="D187" s="2"/>
      <c r="E187" s="2"/>
      <c r="F187" s="2"/>
      <c r="G187" s="2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3">
      <c r="A188" s="1"/>
      <c r="B188" s="2"/>
      <c r="C188" s="2"/>
      <c r="D188" s="2"/>
      <c r="E188" s="2"/>
      <c r="F188" s="2"/>
      <c r="G188" s="2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3">
      <c r="A189" s="1"/>
      <c r="B189" s="2"/>
      <c r="C189" s="2"/>
      <c r="D189" s="2"/>
      <c r="E189" s="2"/>
      <c r="F189" s="2"/>
      <c r="G189" s="2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3">
      <c r="A190" s="1"/>
      <c r="B190" s="2"/>
      <c r="C190" s="2"/>
      <c r="D190" s="2"/>
      <c r="E190" s="2"/>
      <c r="F190" s="2"/>
      <c r="G190" s="2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3">
      <c r="A191" s="1"/>
      <c r="B191" s="2"/>
      <c r="C191" s="2"/>
      <c r="D191" s="2"/>
      <c r="E191" s="2"/>
      <c r="F191" s="2"/>
      <c r="G191" s="2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3">
      <c r="A192" s="1"/>
      <c r="B192" s="2"/>
      <c r="C192" s="2"/>
      <c r="D192" s="2"/>
      <c r="E192" s="2"/>
      <c r="F192" s="2"/>
      <c r="G192" s="2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3">
      <c r="A193" s="1"/>
      <c r="B193" s="2"/>
      <c r="C193" s="2"/>
      <c r="D193" s="2"/>
      <c r="E193" s="2"/>
      <c r="F193" s="2"/>
      <c r="G193" s="2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3">
      <c r="A194" s="1"/>
      <c r="B194" s="2"/>
      <c r="C194" s="2"/>
      <c r="D194" s="2"/>
      <c r="E194" s="2"/>
      <c r="F194" s="2"/>
      <c r="G194" s="2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3">
      <c r="A195" s="1"/>
      <c r="B195" s="2"/>
      <c r="C195" s="2"/>
      <c r="D195" s="2"/>
      <c r="E195" s="2"/>
      <c r="F195" s="2"/>
      <c r="G195" s="2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3">
      <c r="A196" s="1"/>
      <c r="B196" s="2"/>
      <c r="C196" s="2"/>
      <c r="D196" s="2"/>
      <c r="E196" s="2"/>
      <c r="F196" s="2"/>
      <c r="G196" s="2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3">
      <c r="A197" s="1"/>
      <c r="B197" s="2"/>
      <c r="C197" s="2"/>
      <c r="D197" s="2"/>
      <c r="E197" s="2"/>
      <c r="F197" s="2"/>
      <c r="G197" s="2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3">
      <c r="A198" s="1"/>
      <c r="B198" s="2"/>
      <c r="C198" s="2"/>
      <c r="D198" s="2"/>
      <c r="E198" s="2"/>
      <c r="F198" s="2"/>
      <c r="G198" s="2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3">
      <c r="A199" s="1"/>
      <c r="B199" s="2"/>
      <c r="C199" s="2"/>
      <c r="D199" s="2"/>
      <c r="E199" s="2"/>
      <c r="F199" s="2"/>
      <c r="G199" s="2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3">
      <c r="A200" s="1"/>
      <c r="B200" s="2"/>
      <c r="C200" s="2"/>
      <c r="D200" s="2"/>
      <c r="E200" s="2"/>
      <c r="F200" s="2"/>
      <c r="G200" s="2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2D6CC-0F04-48E3-B39C-84C119DC1092}">
  <sheetPr>
    <tabColor rgb="FFF79646"/>
  </sheetPr>
  <dimension ref="A1:Z200"/>
  <sheetViews>
    <sheetView workbookViewId="0"/>
  </sheetViews>
  <sheetFormatPr defaultRowHeight="14.4" x14ac:dyDescent="0.3"/>
  <cols>
    <col min="1" max="1" width="40.77734375" customWidth="1"/>
    <col min="2" max="8" width="17.5546875" style="3" customWidth="1"/>
  </cols>
  <sheetData>
    <row r="1" spans="1:26" ht="18" x14ac:dyDescent="0.35">
      <c r="A1" s="5" t="s">
        <v>79</v>
      </c>
      <c r="B1" s="6"/>
      <c r="C1" s="6"/>
      <c r="D1" s="6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2"/>
      <c r="C2" s="2"/>
      <c r="D2" s="2"/>
      <c r="E2" s="2"/>
      <c r="F2" s="2"/>
      <c r="G2" s="2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26" t="s">
        <v>80</v>
      </c>
      <c r="B3" s="27" t="s">
        <v>10</v>
      </c>
      <c r="C3" s="27" t="s">
        <v>81</v>
      </c>
      <c r="D3" s="27" t="s">
        <v>82</v>
      </c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 t="s">
        <v>83</v>
      </c>
      <c r="B4" s="19" t="str" cm="1">
        <f t="array" ref="B4">IF(MAX(ABS('Balance Sheet'!B25:H25))&lt;1,"PASS","FAIL")</f>
        <v>PASS</v>
      </c>
      <c r="C4" s="2" cm="1">
        <f t="array" ref="C4">MAX(ABS('Balance Sheet'!B25:H25))</f>
        <v>0</v>
      </c>
      <c r="D4" s="2" t="s">
        <v>84</v>
      </c>
      <c r="E4" s="2"/>
      <c r="F4" s="2"/>
      <c r="G4" s="2"/>
      <c r="H4" s="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 t="s">
        <v>85</v>
      </c>
      <c r="B5" s="19" t="str" cm="1">
        <f t="array" ref="B5">IF(MAX(ABS('Cash Flow'!B18:H18))&lt;1,"PASS","FAIL")</f>
        <v>PASS</v>
      </c>
      <c r="C5" s="2" cm="1">
        <f t="array" ref="C5">MAX(ABS('Cash Flow'!B18:H18))</f>
        <v>0</v>
      </c>
      <c r="D5" s="2" t="s">
        <v>86</v>
      </c>
      <c r="E5" s="2"/>
      <c r="F5" s="2"/>
      <c r="G5" s="2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2"/>
      <c r="C6" s="2"/>
      <c r="D6" s="2"/>
      <c r="E6" s="2"/>
      <c r="F6" s="2"/>
      <c r="G6" s="2"/>
      <c r="H6" s="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 t="s">
        <v>87</v>
      </c>
      <c r="B7" s="2" t="s">
        <v>88</v>
      </c>
      <c r="C7" s="2"/>
      <c r="D7" s="2"/>
      <c r="E7" s="2"/>
      <c r="F7" s="2"/>
      <c r="G7" s="2"/>
      <c r="H7" s="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2"/>
      <c r="C8" s="2"/>
      <c r="D8" s="2"/>
      <c r="E8" s="2"/>
      <c r="F8" s="2"/>
      <c r="G8" s="2"/>
      <c r="H8" s="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2"/>
      <c r="C9" s="2"/>
      <c r="D9" s="2"/>
      <c r="E9" s="2"/>
      <c r="F9" s="2"/>
      <c r="G9" s="2"/>
      <c r="H9" s="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2"/>
      <c r="C10" s="2"/>
      <c r="D10" s="2"/>
      <c r="E10" s="2"/>
      <c r="F10" s="2"/>
      <c r="G10" s="2"/>
      <c r="H10" s="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2"/>
      <c r="C11" s="2"/>
      <c r="D11" s="2"/>
      <c r="E11" s="2"/>
      <c r="F11" s="2"/>
      <c r="G11" s="2"/>
      <c r="H11" s="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3">
      <c r="A12" s="1"/>
      <c r="B12" s="2"/>
      <c r="C12" s="2"/>
      <c r="D12" s="2"/>
      <c r="E12" s="2"/>
      <c r="F12" s="2"/>
      <c r="G12" s="2"/>
      <c r="H12" s="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3">
      <c r="A13" s="1"/>
      <c r="B13" s="2"/>
      <c r="C13" s="2"/>
      <c r="D13" s="2"/>
      <c r="E13" s="2"/>
      <c r="F13" s="2"/>
      <c r="G13" s="2"/>
      <c r="H13" s="2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3">
      <c r="A14" s="1"/>
      <c r="B14" s="2"/>
      <c r="C14" s="2"/>
      <c r="D14" s="2"/>
      <c r="E14" s="2"/>
      <c r="F14" s="2"/>
      <c r="G14" s="2"/>
      <c r="H14" s="2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3">
      <c r="A15" s="1"/>
      <c r="B15" s="2"/>
      <c r="C15" s="2"/>
      <c r="D15" s="2"/>
      <c r="E15" s="2"/>
      <c r="F15" s="2"/>
      <c r="G15" s="2"/>
      <c r="H15" s="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3">
      <c r="A16" s="1"/>
      <c r="B16" s="2"/>
      <c r="C16" s="2"/>
      <c r="D16" s="2"/>
      <c r="E16" s="2"/>
      <c r="F16" s="2"/>
      <c r="G16" s="2"/>
      <c r="H16" s="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3">
      <c r="A17" s="1"/>
      <c r="B17" s="2"/>
      <c r="C17" s="2"/>
      <c r="D17" s="2"/>
      <c r="E17" s="2"/>
      <c r="F17" s="2"/>
      <c r="G17" s="2"/>
      <c r="H17" s="2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3">
      <c r="A18" s="1"/>
      <c r="B18" s="2"/>
      <c r="C18" s="2"/>
      <c r="D18" s="2"/>
      <c r="E18" s="2"/>
      <c r="F18" s="2"/>
      <c r="G18" s="2"/>
      <c r="H18" s="2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3">
      <c r="A19" s="1"/>
      <c r="B19" s="2"/>
      <c r="C19" s="2"/>
      <c r="D19" s="2"/>
      <c r="E19" s="2"/>
      <c r="F19" s="2"/>
      <c r="G19" s="2"/>
      <c r="H19" s="2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3">
      <c r="A20" s="1"/>
      <c r="B20" s="2"/>
      <c r="C20" s="2"/>
      <c r="D20" s="2"/>
      <c r="E20" s="2"/>
      <c r="F20" s="2"/>
      <c r="G20" s="2"/>
      <c r="H20" s="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3">
      <c r="A21" s="1"/>
      <c r="B21" s="2"/>
      <c r="C21" s="2"/>
      <c r="D21" s="2"/>
      <c r="E21" s="2"/>
      <c r="F21" s="2"/>
      <c r="G21" s="2"/>
      <c r="H21" s="2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3">
      <c r="A22" s="1"/>
      <c r="B22" s="2"/>
      <c r="C22" s="2"/>
      <c r="D22" s="2"/>
      <c r="E22" s="2"/>
      <c r="F22" s="2"/>
      <c r="G22" s="2"/>
      <c r="H22" s="2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3">
      <c r="A23" s="1"/>
      <c r="B23" s="2"/>
      <c r="C23" s="2"/>
      <c r="D23" s="2"/>
      <c r="E23" s="2"/>
      <c r="F23" s="2"/>
      <c r="G23" s="2"/>
      <c r="H23" s="2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3">
      <c r="A24" s="1"/>
      <c r="B24" s="2"/>
      <c r="C24" s="2"/>
      <c r="D24" s="2"/>
      <c r="E24" s="2"/>
      <c r="F24" s="2"/>
      <c r="G24" s="2"/>
      <c r="H24" s="2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3">
      <c r="A25" s="1"/>
      <c r="B25" s="2"/>
      <c r="C25" s="2"/>
      <c r="D25" s="2"/>
      <c r="E25" s="2"/>
      <c r="F25" s="2"/>
      <c r="G25" s="2"/>
      <c r="H25" s="2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3">
      <c r="A26" s="1"/>
      <c r="B26" s="2"/>
      <c r="C26" s="2"/>
      <c r="D26" s="2"/>
      <c r="E26" s="2"/>
      <c r="F26" s="2"/>
      <c r="G26" s="2"/>
      <c r="H26" s="2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3">
      <c r="A27" s="1"/>
      <c r="B27" s="2"/>
      <c r="C27" s="2"/>
      <c r="D27" s="2"/>
      <c r="E27" s="2"/>
      <c r="F27" s="2"/>
      <c r="G27" s="2"/>
      <c r="H27" s="2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3">
      <c r="A28" s="1"/>
      <c r="B28" s="2"/>
      <c r="C28" s="2"/>
      <c r="D28" s="2"/>
      <c r="E28" s="2"/>
      <c r="F28" s="2"/>
      <c r="G28" s="2"/>
      <c r="H28" s="2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2"/>
      <c r="C29" s="2"/>
      <c r="D29" s="2"/>
      <c r="E29" s="2"/>
      <c r="F29" s="2"/>
      <c r="G29" s="2"/>
      <c r="H29" s="2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3">
      <c r="A30" s="1"/>
      <c r="B30" s="2"/>
      <c r="C30" s="2"/>
      <c r="D30" s="2"/>
      <c r="E30" s="2"/>
      <c r="F30" s="2"/>
      <c r="G30" s="2"/>
      <c r="H30" s="2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2"/>
      <c r="C31" s="2"/>
      <c r="D31" s="2"/>
      <c r="E31" s="2"/>
      <c r="F31" s="2"/>
      <c r="G31" s="2"/>
      <c r="H31" s="2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3">
      <c r="A32" s="1"/>
      <c r="B32" s="2"/>
      <c r="C32" s="2"/>
      <c r="D32" s="2"/>
      <c r="E32" s="2"/>
      <c r="F32" s="2"/>
      <c r="G32" s="2"/>
      <c r="H32" s="2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2"/>
      <c r="C33" s="2"/>
      <c r="D33" s="2"/>
      <c r="E33" s="2"/>
      <c r="F33" s="2"/>
      <c r="G33" s="2"/>
      <c r="H33" s="2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2"/>
      <c r="C34" s="2"/>
      <c r="D34" s="2"/>
      <c r="E34" s="2"/>
      <c r="F34" s="2"/>
      <c r="G34" s="2"/>
      <c r="H34" s="2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2"/>
      <c r="C35" s="2"/>
      <c r="D35" s="2"/>
      <c r="E35" s="2"/>
      <c r="F35" s="2"/>
      <c r="G35" s="2"/>
      <c r="H35" s="2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1"/>
      <c r="B36" s="2"/>
      <c r="C36" s="2"/>
      <c r="D36" s="2"/>
      <c r="E36" s="2"/>
      <c r="F36" s="2"/>
      <c r="G36" s="2"/>
      <c r="H36" s="2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">
      <c r="A37" s="1"/>
      <c r="B37" s="2"/>
      <c r="C37" s="2"/>
      <c r="D37" s="2"/>
      <c r="E37" s="2"/>
      <c r="F37" s="2"/>
      <c r="G37" s="2"/>
      <c r="H37" s="2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">
      <c r="A38" s="1"/>
      <c r="B38" s="2"/>
      <c r="C38" s="2"/>
      <c r="D38" s="2"/>
      <c r="E38" s="2"/>
      <c r="F38" s="2"/>
      <c r="G38" s="2"/>
      <c r="H38" s="2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">
      <c r="A39" s="1"/>
      <c r="B39" s="2"/>
      <c r="C39" s="2"/>
      <c r="D39" s="2"/>
      <c r="E39" s="2"/>
      <c r="F39" s="2"/>
      <c r="G39" s="2"/>
      <c r="H39" s="2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">
      <c r="A40" s="1"/>
      <c r="B40" s="2"/>
      <c r="C40" s="2"/>
      <c r="D40" s="2"/>
      <c r="E40" s="2"/>
      <c r="F40" s="2"/>
      <c r="G40" s="2"/>
      <c r="H40" s="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">
      <c r="A41" s="1"/>
      <c r="B41" s="2"/>
      <c r="C41" s="2"/>
      <c r="D41" s="2"/>
      <c r="E41" s="2"/>
      <c r="F41" s="2"/>
      <c r="G41" s="2"/>
      <c r="H41" s="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">
      <c r="A42" s="1"/>
      <c r="B42" s="2"/>
      <c r="C42" s="2"/>
      <c r="D42" s="2"/>
      <c r="E42" s="2"/>
      <c r="F42" s="2"/>
      <c r="G42" s="2"/>
      <c r="H42" s="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">
      <c r="A43" s="1"/>
      <c r="B43" s="2"/>
      <c r="C43" s="2"/>
      <c r="D43" s="2"/>
      <c r="E43" s="2"/>
      <c r="F43" s="2"/>
      <c r="G43" s="2"/>
      <c r="H43" s="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">
      <c r="A44" s="1"/>
      <c r="B44" s="2"/>
      <c r="C44" s="2"/>
      <c r="D44" s="2"/>
      <c r="E44" s="2"/>
      <c r="F44" s="2"/>
      <c r="G44" s="2"/>
      <c r="H44" s="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">
      <c r="A45" s="1"/>
      <c r="B45" s="2"/>
      <c r="C45" s="2"/>
      <c r="D45" s="2"/>
      <c r="E45" s="2"/>
      <c r="F45" s="2"/>
      <c r="G45" s="2"/>
      <c r="H45" s="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">
      <c r="A46" s="1"/>
      <c r="B46" s="2"/>
      <c r="C46" s="2"/>
      <c r="D46" s="2"/>
      <c r="E46" s="2"/>
      <c r="F46" s="2"/>
      <c r="G46" s="2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">
      <c r="A47" s="1"/>
      <c r="B47" s="2"/>
      <c r="C47" s="2"/>
      <c r="D47" s="2"/>
      <c r="E47" s="2"/>
      <c r="F47" s="2"/>
      <c r="G47" s="2"/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">
      <c r="A48" s="1"/>
      <c r="B48" s="2"/>
      <c r="C48" s="2"/>
      <c r="D48" s="2"/>
      <c r="E48" s="2"/>
      <c r="F48" s="2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3">
      <c r="A49" s="1"/>
      <c r="B49" s="2"/>
      <c r="C49" s="2"/>
      <c r="D49" s="2"/>
      <c r="E49" s="2"/>
      <c r="F49" s="2"/>
      <c r="G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3">
      <c r="A50" s="1"/>
      <c r="B50" s="2"/>
      <c r="C50" s="2"/>
      <c r="D50" s="2"/>
      <c r="E50" s="2"/>
      <c r="F50" s="2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3">
      <c r="A51" s="1"/>
      <c r="B51" s="2"/>
      <c r="C51" s="2"/>
      <c r="D51" s="2"/>
      <c r="E51" s="2"/>
      <c r="F51" s="2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3">
      <c r="A52" s="1"/>
      <c r="B52" s="2"/>
      <c r="C52" s="2"/>
      <c r="D52" s="2"/>
      <c r="E52" s="2"/>
      <c r="F52" s="2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3">
      <c r="A53" s="1"/>
      <c r="B53" s="2"/>
      <c r="C53" s="2"/>
      <c r="D53" s="2"/>
      <c r="E53" s="2"/>
      <c r="F53" s="2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3">
      <c r="A54" s="1"/>
      <c r="B54" s="2"/>
      <c r="C54" s="2"/>
      <c r="D54" s="2"/>
      <c r="E54" s="2"/>
      <c r="F54" s="2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3">
      <c r="A55" s="1"/>
      <c r="B55" s="2"/>
      <c r="C55" s="2"/>
      <c r="D55" s="2"/>
      <c r="E55" s="2"/>
      <c r="F55" s="2"/>
      <c r="G55" s="2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3">
      <c r="A56" s="1"/>
      <c r="B56" s="2"/>
      <c r="C56" s="2"/>
      <c r="D56" s="2"/>
      <c r="E56" s="2"/>
      <c r="F56" s="2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3">
      <c r="A57" s="1"/>
      <c r="B57" s="2"/>
      <c r="C57" s="2"/>
      <c r="D57" s="2"/>
      <c r="E57" s="2"/>
      <c r="F57" s="2"/>
      <c r="G57" s="2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3">
      <c r="A58" s="1"/>
      <c r="B58" s="2"/>
      <c r="C58" s="2"/>
      <c r="D58" s="2"/>
      <c r="E58" s="2"/>
      <c r="F58" s="2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3">
      <c r="A59" s="1"/>
      <c r="B59" s="2"/>
      <c r="C59" s="2"/>
      <c r="D59" s="2"/>
      <c r="E59" s="2"/>
      <c r="F59" s="2"/>
      <c r="G59" s="2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3">
      <c r="A60" s="1"/>
      <c r="B60" s="2"/>
      <c r="C60" s="2"/>
      <c r="D60" s="2"/>
      <c r="E60" s="2"/>
      <c r="F60" s="2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3">
      <c r="A61" s="1"/>
      <c r="B61" s="2"/>
      <c r="C61" s="2"/>
      <c r="D61" s="2"/>
      <c r="E61" s="2"/>
      <c r="F61" s="2"/>
      <c r="G61" s="2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3">
      <c r="A62" s="1"/>
      <c r="B62" s="2"/>
      <c r="C62" s="2"/>
      <c r="D62" s="2"/>
      <c r="E62" s="2"/>
      <c r="F62" s="2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3">
      <c r="A63" s="1"/>
      <c r="B63" s="2"/>
      <c r="C63" s="2"/>
      <c r="D63" s="2"/>
      <c r="E63" s="2"/>
      <c r="F63" s="2"/>
      <c r="G63" s="2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3">
      <c r="A64" s="1"/>
      <c r="B64" s="2"/>
      <c r="C64" s="2"/>
      <c r="D64" s="2"/>
      <c r="E64" s="2"/>
      <c r="F64" s="2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3">
      <c r="A65" s="1"/>
      <c r="B65" s="2"/>
      <c r="C65" s="2"/>
      <c r="D65" s="2"/>
      <c r="E65" s="2"/>
      <c r="F65" s="2"/>
      <c r="G65" s="2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3">
      <c r="A66" s="1"/>
      <c r="B66" s="2"/>
      <c r="C66" s="2"/>
      <c r="D66" s="2"/>
      <c r="E66" s="2"/>
      <c r="F66" s="2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3">
      <c r="A67" s="1"/>
      <c r="B67" s="2"/>
      <c r="C67" s="2"/>
      <c r="D67" s="2"/>
      <c r="E67" s="2"/>
      <c r="F67" s="2"/>
      <c r="G67" s="2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3">
      <c r="A68" s="1"/>
      <c r="B68" s="2"/>
      <c r="C68" s="2"/>
      <c r="D68" s="2"/>
      <c r="E68" s="2"/>
      <c r="F68" s="2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3">
      <c r="A69" s="1"/>
      <c r="B69" s="2"/>
      <c r="C69" s="2"/>
      <c r="D69" s="2"/>
      <c r="E69" s="2"/>
      <c r="F69" s="2"/>
      <c r="G69" s="2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3">
      <c r="A70" s="1"/>
      <c r="B70" s="2"/>
      <c r="C70" s="2"/>
      <c r="D70" s="2"/>
      <c r="E70" s="2"/>
      <c r="F70" s="2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3">
      <c r="A71" s="1"/>
      <c r="B71" s="2"/>
      <c r="C71" s="2"/>
      <c r="D71" s="2"/>
      <c r="E71" s="2"/>
      <c r="F71" s="2"/>
      <c r="G71" s="2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3">
      <c r="A72" s="1"/>
      <c r="B72" s="2"/>
      <c r="C72" s="2"/>
      <c r="D72" s="2"/>
      <c r="E72" s="2"/>
      <c r="F72" s="2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3">
      <c r="A73" s="1"/>
      <c r="B73" s="2"/>
      <c r="C73" s="2"/>
      <c r="D73" s="2"/>
      <c r="E73" s="2"/>
      <c r="F73" s="2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3">
      <c r="A74" s="1"/>
      <c r="B74" s="2"/>
      <c r="C74" s="2"/>
      <c r="D74" s="2"/>
      <c r="E74" s="2"/>
      <c r="F74" s="2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3">
      <c r="A75" s="1"/>
      <c r="B75" s="2"/>
      <c r="C75" s="2"/>
      <c r="D75" s="2"/>
      <c r="E75" s="2"/>
      <c r="F75" s="2"/>
      <c r="G75" s="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3">
      <c r="A76" s="1"/>
      <c r="B76" s="2"/>
      <c r="C76" s="2"/>
      <c r="D76" s="2"/>
      <c r="E76" s="2"/>
      <c r="F76" s="2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3">
      <c r="A77" s="1"/>
      <c r="B77" s="2"/>
      <c r="C77" s="2"/>
      <c r="D77" s="2"/>
      <c r="E77" s="2"/>
      <c r="F77" s="2"/>
      <c r="G77" s="2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3">
      <c r="A78" s="1"/>
      <c r="B78" s="2"/>
      <c r="C78" s="2"/>
      <c r="D78" s="2"/>
      <c r="E78" s="2"/>
      <c r="F78" s="2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3">
      <c r="A79" s="1"/>
      <c r="B79" s="2"/>
      <c r="C79" s="2"/>
      <c r="D79" s="2"/>
      <c r="E79" s="2"/>
      <c r="F79" s="2"/>
      <c r="G79" s="2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3">
      <c r="A80" s="1"/>
      <c r="B80" s="2"/>
      <c r="C80" s="2"/>
      <c r="D80" s="2"/>
      <c r="E80" s="2"/>
      <c r="F80" s="2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3">
      <c r="A81" s="1"/>
      <c r="B81" s="2"/>
      <c r="C81" s="2"/>
      <c r="D81" s="2"/>
      <c r="E81" s="2"/>
      <c r="F81" s="2"/>
      <c r="G81" s="2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3">
      <c r="A82" s="1"/>
      <c r="B82" s="2"/>
      <c r="C82" s="2"/>
      <c r="D82" s="2"/>
      <c r="E82" s="2"/>
      <c r="F82" s="2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3">
      <c r="A83" s="1"/>
      <c r="B83" s="2"/>
      <c r="C83" s="2"/>
      <c r="D83" s="2"/>
      <c r="E83" s="2"/>
      <c r="F83" s="2"/>
      <c r="G83" s="2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3">
      <c r="A84" s="1"/>
      <c r="B84" s="2"/>
      <c r="C84" s="2"/>
      <c r="D84" s="2"/>
      <c r="E84" s="2"/>
      <c r="F84" s="2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3">
      <c r="A85" s="1"/>
      <c r="B85" s="2"/>
      <c r="C85" s="2"/>
      <c r="D85" s="2"/>
      <c r="E85" s="2"/>
      <c r="F85" s="2"/>
      <c r="G85" s="2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3">
      <c r="A86" s="1"/>
      <c r="B86" s="2"/>
      <c r="C86" s="2"/>
      <c r="D86" s="2"/>
      <c r="E86" s="2"/>
      <c r="F86" s="2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3">
      <c r="A87" s="1"/>
      <c r="B87" s="2"/>
      <c r="C87" s="2"/>
      <c r="D87" s="2"/>
      <c r="E87" s="2"/>
      <c r="F87" s="2"/>
      <c r="G87" s="2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3">
      <c r="A88" s="1"/>
      <c r="B88" s="2"/>
      <c r="C88" s="2"/>
      <c r="D88" s="2"/>
      <c r="E88" s="2"/>
      <c r="F88" s="2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3">
      <c r="A89" s="1"/>
      <c r="B89" s="2"/>
      <c r="C89" s="2"/>
      <c r="D89" s="2"/>
      <c r="E89" s="2"/>
      <c r="F89" s="2"/>
      <c r="G89" s="2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3">
      <c r="A90" s="1"/>
      <c r="B90" s="2"/>
      <c r="C90" s="2"/>
      <c r="D90" s="2"/>
      <c r="E90" s="2"/>
      <c r="F90" s="2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3">
      <c r="A91" s="1"/>
      <c r="B91" s="2"/>
      <c r="C91" s="2"/>
      <c r="D91" s="2"/>
      <c r="E91" s="2"/>
      <c r="F91" s="2"/>
      <c r="G91" s="2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3">
      <c r="A92" s="1"/>
      <c r="B92" s="2"/>
      <c r="C92" s="2"/>
      <c r="D92" s="2"/>
      <c r="E92" s="2"/>
      <c r="F92" s="2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3">
      <c r="A93" s="1"/>
      <c r="B93" s="2"/>
      <c r="C93" s="2"/>
      <c r="D93" s="2"/>
      <c r="E93" s="2"/>
      <c r="F93" s="2"/>
      <c r="G93" s="2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3">
      <c r="A94" s="1"/>
      <c r="B94" s="2"/>
      <c r="C94" s="2"/>
      <c r="D94" s="2"/>
      <c r="E94" s="2"/>
      <c r="F94" s="2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3">
      <c r="A95" s="1"/>
      <c r="B95" s="2"/>
      <c r="C95" s="2"/>
      <c r="D95" s="2"/>
      <c r="E95" s="2"/>
      <c r="F95" s="2"/>
      <c r="G95" s="2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3">
      <c r="A96" s="1"/>
      <c r="B96" s="2"/>
      <c r="C96" s="2"/>
      <c r="D96" s="2"/>
      <c r="E96" s="2"/>
      <c r="F96" s="2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3">
      <c r="A97" s="1"/>
      <c r="B97" s="2"/>
      <c r="C97" s="2"/>
      <c r="D97" s="2"/>
      <c r="E97" s="2"/>
      <c r="F97" s="2"/>
      <c r="G97" s="2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3">
      <c r="A98" s="1"/>
      <c r="B98" s="2"/>
      <c r="C98" s="2"/>
      <c r="D98" s="2"/>
      <c r="E98" s="2"/>
      <c r="F98" s="2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3">
      <c r="A99" s="1"/>
      <c r="B99" s="2"/>
      <c r="C99" s="2"/>
      <c r="D99" s="2"/>
      <c r="E99" s="2"/>
      <c r="F99" s="2"/>
      <c r="G99" s="2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3">
      <c r="A100" s="1"/>
      <c r="B100" s="2"/>
      <c r="C100" s="2"/>
      <c r="D100" s="2"/>
      <c r="E100" s="2"/>
      <c r="F100" s="2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3">
      <c r="A101" s="1"/>
      <c r="B101" s="2"/>
      <c r="C101" s="2"/>
      <c r="D101" s="2"/>
      <c r="E101" s="2"/>
      <c r="F101" s="2"/>
      <c r="G101" s="2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3">
      <c r="A102" s="1"/>
      <c r="B102" s="2"/>
      <c r="C102" s="2"/>
      <c r="D102" s="2"/>
      <c r="E102" s="2"/>
      <c r="F102" s="2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3">
      <c r="A103" s="1"/>
      <c r="B103" s="2"/>
      <c r="C103" s="2"/>
      <c r="D103" s="2"/>
      <c r="E103" s="2"/>
      <c r="F103" s="2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3">
      <c r="A104" s="1"/>
      <c r="B104" s="2"/>
      <c r="C104" s="2"/>
      <c r="D104" s="2"/>
      <c r="E104" s="2"/>
      <c r="F104" s="2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3">
      <c r="A105" s="1"/>
      <c r="B105" s="2"/>
      <c r="C105" s="2"/>
      <c r="D105" s="2"/>
      <c r="E105" s="2"/>
      <c r="F105" s="2"/>
      <c r="G105" s="2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3">
      <c r="A106" s="1"/>
      <c r="B106" s="2"/>
      <c r="C106" s="2"/>
      <c r="D106" s="2"/>
      <c r="E106" s="2"/>
      <c r="F106" s="2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3">
      <c r="A107" s="1"/>
      <c r="B107" s="2"/>
      <c r="C107" s="2"/>
      <c r="D107" s="2"/>
      <c r="E107" s="2"/>
      <c r="F107" s="2"/>
      <c r="G107" s="2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3">
      <c r="A108" s="1"/>
      <c r="B108" s="2"/>
      <c r="C108" s="2"/>
      <c r="D108" s="2"/>
      <c r="E108" s="2"/>
      <c r="F108" s="2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3">
      <c r="A109" s="1"/>
      <c r="B109" s="2"/>
      <c r="C109" s="2"/>
      <c r="D109" s="2"/>
      <c r="E109" s="2"/>
      <c r="F109" s="2"/>
      <c r="G109" s="2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3">
      <c r="A110" s="1"/>
      <c r="B110" s="2"/>
      <c r="C110" s="2"/>
      <c r="D110" s="2"/>
      <c r="E110" s="2"/>
      <c r="F110" s="2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3">
      <c r="A111" s="1"/>
      <c r="B111" s="2"/>
      <c r="C111" s="2"/>
      <c r="D111" s="2"/>
      <c r="E111" s="2"/>
      <c r="F111" s="2"/>
      <c r="G111" s="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3">
      <c r="A112" s="1"/>
      <c r="B112" s="2"/>
      <c r="C112" s="2"/>
      <c r="D112" s="2"/>
      <c r="E112" s="2"/>
      <c r="F112" s="2"/>
      <c r="G112" s="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3">
      <c r="A113" s="1"/>
      <c r="B113" s="2"/>
      <c r="C113" s="2"/>
      <c r="D113" s="2"/>
      <c r="E113" s="2"/>
      <c r="F113" s="2"/>
      <c r="G113" s="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3">
      <c r="A114" s="1"/>
      <c r="B114" s="2"/>
      <c r="C114" s="2"/>
      <c r="D114" s="2"/>
      <c r="E114" s="2"/>
      <c r="F114" s="2"/>
      <c r="G114" s="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3">
      <c r="A115" s="1"/>
      <c r="B115" s="2"/>
      <c r="C115" s="2"/>
      <c r="D115" s="2"/>
      <c r="E115" s="2"/>
      <c r="F115" s="2"/>
      <c r="G115" s="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3">
      <c r="A116" s="1"/>
      <c r="B116" s="2"/>
      <c r="C116" s="2"/>
      <c r="D116" s="2"/>
      <c r="E116" s="2"/>
      <c r="F116" s="2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3">
      <c r="A117" s="1"/>
      <c r="B117" s="2"/>
      <c r="C117" s="2"/>
      <c r="D117" s="2"/>
      <c r="E117" s="2"/>
      <c r="F117" s="2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3">
      <c r="A118" s="1"/>
      <c r="B118" s="2"/>
      <c r="C118" s="2"/>
      <c r="D118" s="2"/>
      <c r="E118" s="2"/>
      <c r="F118" s="2"/>
      <c r="G118" s="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3">
      <c r="A119" s="1"/>
      <c r="B119" s="2"/>
      <c r="C119" s="2"/>
      <c r="D119" s="2"/>
      <c r="E119" s="2"/>
      <c r="F119" s="2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3">
      <c r="A120" s="1"/>
      <c r="B120" s="2"/>
      <c r="C120" s="2"/>
      <c r="D120" s="2"/>
      <c r="E120" s="2"/>
      <c r="F120" s="2"/>
      <c r="G120" s="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3">
      <c r="A121" s="1"/>
      <c r="B121" s="2"/>
      <c r="C121" s="2"/>
      <c r="D121" s="2"/>
      <c r="E121" s="2"/>
      <c r="F121" s="2"/>
      <c r="G121" s="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3">
      <c r="A122" s="1"/>
      <c r="B122" s="2"/>
      <c r="C122" s="2"/>
      <c r="D122" s="2"/>
      <c r="E122" s="2"/>
      <c r="F122" s="2"/>
      <c r="G122" s="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3">
      <c r="A123" s="1"/>
      <c r="B123" s="2"/>
      <c r="C123" s="2"/>
      <c r="D123" s="2"/>
      <c r="E123" s="2"/>
      <c r="F123" s="2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3">
      <c r="A124" s="1"/>
      <c r="B124" s="2"/>
      <c r="C124" s="2"/>
      <c r="D124" s="2"/>
      <c r="E124" s="2"/>
      <c r="F124" s="2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3">
      <c r="A125" s="1"/>
      <c r="B125" s="2"/>
      <c r="C125" s="2"/>
      <c r="D125" s="2"/>
      <c r="E125" s="2"/>
      <c r="F125" s="2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3">
      <c r="A126" s="1"/>
      <c r="B126" s="2"/>
      <c r="C126" s="2"/>
      <c r="D126" s="2"/>
      <c r="E126" s="2"/>
      <c r="F126" s="2"/>
      <c r="G126" s="2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3">
      <c r="A127" s="1"/>
      <c r="B127" s="2"/>
      <c r="C127" s="2"/>
      <c r="D127" s="2"/>
      <c r="E127" s="2"/>
      <c r="F127" s="2"/>
      <c r="G127" s="2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3">
      <c r="A128" s="1"/>
      <c r="B128" s="2"/>
      <c r="C128" s="2"/>
      <c r="D128" s="2"/>
      <c r="E128" s="2"/>
      <c r="F128" s="2"/>
      <c r="G128" s="2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3">
      <c r="A129" s="1"/>
      <c r="B129" s="2"/>
      <c r="C129" s="2"/>
      <c r="D129" s="2"/>
      <c r="E129" s="2"/>
      <c r="F129" s="2"/>
      <c r="G129" s="2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3">
      <c r="A130" s="1"/>
      <c r="B130" s="2"/>
      <c r="C130" s="2"/>
      <c r="D130" s="2"/>
      <c r="E130" s="2"/>
      <c r="F130" s="2"/>
      <c r="G130" s="2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3">
      <c r="A131" s="1"/>
      <c r="B131" s="2"/>
      <c r="C131" s="2"/>
      <c r="D131" s="2"/>
      <c r="E131" s="2"/>
      <c r="F131" s="2"/>
      <c r="G131" s="2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3">
      <c r="A132" s="1"/>
      <c r="B132" s="2"/>
      <c r="C132" s="2"/>
      <c r="D132" s="2"/>
      <c r="E132" s="2"/>
      <c r="F132" s="2"/>
      <c r="G132" s="2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3">
      <c r="A133" s="1"/>
      <c r="B133" s="2"/>
      <c r="C133" s="2"/>
      <c r="D133" s="2"/>
      <c r="E133" s="2"/>
      <c r="F133" s="2"/>
      <c r="G133" s="2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3">
      <c r="A134" s="1"/>
      <c r="B134" s="2"/>
      <c r="C134" s="2"/>
      <c r="D134" s="2"/>
      <c r="E134" s="2"/>
      <c r="F134" s="2"/>
      <c r="G134" s="2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3">
      <c r="A135" s="1"/>
      <c r="B135" s="2"/>
      <c r="C135" s="2"/>
      <c r="D135" s="2"/>
      <c r="E135" s="2"/>
      <c r="F135" s="2"/>
      <c r="G135" s="2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3">
      <c r="A136" s="1"/>
      <c r="B136" s="2"/>
      <c r="C136" s="2"/>
      <c r="D136" s="2"/>
      <c r="E136" s="2"/>
      <c r="F136" s="2"/>
      <c r="G136" s="2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3">
      <c r="A137" s="1"/>
      <c r="B137" s="2"/>
      <c r="C137" s="2"/>
      <c r="D137" s="2"/>
      <c r="E137" s="2"/>
      <c r="F137" s="2"/>
      <c r="G137" s="2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3">
      <c r="A138" s="1"/>
      <c r="B138" s="2"/>
      <c r="C138" s="2"/>
      <c r="D138" s="2"/>
      <c r="E138" s="2"/>
      <c r="F138" s="2"/>
      <c r="G138" s="2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3">
      <c r="A139" s="1"/>
      <c r="B139" s="2"/>
      <c r="C139" s="2"/>
      <c r="D139" s="2"/>
      <c r="E139" s="2"/>
      <c r="F139" s="2"/>
      <c r="G139" s="2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3">
      <c r="A140" s="1"/>
      <c r="B140" s="2"/>
      <c r="C140" s="2"/>
      <c r="D140" s="2"/>
      <c r="E140" s="2"/>
      <c r="F140" s="2"/>
      <c r="G140" s="2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3">
      <c r="A141" s="1"/>
      <c r="B141" s="2"/>
      <c r="C141" s="2"/>
      <c r="D141" s="2"/>
      <c r="E141" s="2"/>
      <c r="F141" s="2"/>
      <c r="G141" s="2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3">
      <c r="A142" s="1"/>
      <c r="B142" s="2"/>
      <c r="C142" s="2"/>
      <c r="D142" s="2"/>
      <c r="E142" s="2"/>
      <c r="F142" s="2"/>
      <c r="G142" s="2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3">
      <c r="A143" s="1"/>
      <c r="B143" s="2"/>
      <c r="C143" s="2"/>
      <c r="D143" s="2"/>
      <c r="E143" s="2"/>
      <c r="F143" s="2"/>
      <c r="G143" s="2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3">
      <c r="A144" s="1"/>
      <c r="B144" s="2"/>
      <c r="C144" s="2"/>
      <c r="D144" s="2"/>
      <c r="E144" s="2"/>
      <c r="F144" s="2"/>
      <c r="G144" s="2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3">
      <c r="A145" s="1"/>
      <c r="B145" s="2"/>
      <c r="C145" s="2"/>
      <c r="D145" s="2"/>
      <c r="E145" s="2"/>
      <c r="F145" s="2"/>
      <c r="G145" s="2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3">
      <c r="A146" s="1"/>
      <c r="B146" s="2"/>
      <c r="C146" s="2"/>
      <c r="D146" s="2"/>
      <c r="E146" s="2"/>
      <c r="F146" s="2"/>
      <c r="G146" s="2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3">
      <c r="A147" s="1"/>
      <c r="B147" s="2"/>
      <c r="C147" s="2"/>
      <c r="D147" s="2"/>
      <c r="E147" s="2"/>
      <c r="F147" s="2"/>
      <c r="G147" s="2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3">
      <c r="A148" s="1"/>
      <c r="B148" s="2"/>
      <c r="C148" s="2"/>
      <c r="D148" s="2"/>
      <c r="E148" s="2"/>
      <c r="F148" s="2"/>
      <c r="G148" s="2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3">
      <c r="A149" s="1"/>
      <c r="B149" s="2"/>
      <c r="C149" s="2"/>
      <c r="D149" s="2"/>
      <c r="E149" s="2"/>
      <c r="F149" s="2"/>
      <c r="G149" s="2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3">
      <c r="A150" s="1"/>
      <c r="B150" s="2"/>
      <c r="C150" s="2"/>
      <c r="D150" s="2"/>
      <c r="E150" s="2"/>
      <c r="F150" s="2"/>
      <c r="G150" s="2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3">
      <c r="A151" s="1"/>
      <c r="B151" s="2"/>
      <c r="C151" s="2"/>
      <c r="D151" s="2"/>
      <c r="E151" s="2"/>
      <c r="F151" s="2"/>
      <c r="G151" s="2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3">
      <c r="A152" s="1"/>
      <c r="B152" s="2"/>
      <c r="C152" s="2"/>
      <c r="D152" s="2"/>
      <c r="E152" s="2"/>
      <c r="F152" s="2"/>
      <c r="G152" s="2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3">
      <c r="A153" s="1"/>
      <c r="B153" s="2"/>
      <c r="C153" s="2"/>
      <c r="D153" s="2"/>
      <c r="E153" s="2"/>
      <c r="F153" s="2"/>
      <c r="G153" s="2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3">
      <c r="A154" s="1"/>
      <c r="B154" s="2"/>
      <c r="C154" s="2"/>
      <c r="D154" s="2"/>
      <c r="E154" s="2"/>
      <c r="F154" s="2"/>
      <c r="G154" s="2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3">
      <c r="A155" s="1"/>
      <c r="B155" s="2"/>
      <c r="C155" s="2"/>
      <c r="D155" s="2"/>
      <c r="E155" s="2"/>
      <c r="F155" s="2"/>
      <c r="G155" s="2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3">
      <c r="A156" s="1"/>
      <c r="B156" s="2"/>
      <c r="C156" s="2"/>
      <c r="D156" s="2"/>
      <c r="E156" s="2"/>
      <c r="F156" s="2"/>
      <c r="G156" s="2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3">
      <c r="A157" s="1"/>
      <c r="B157" s="2"/>
      <c r="C157" s="2"/>
      <c r="D157" s="2"/>
      <c r="E157" s="2"/>
      <c r="F157" s="2"/>
      <c r="G157" s="2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3">
      <c r="A158" s="1"/>
      <c r="B158" s="2"/>
      <c r="C158" s="2"/>
      <c r="D158" s="2"/>
      <c r="E158" s="2"/>
      <c r="F158" s="2"/>
      <c r="G158" s="2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3">
      <c r="A159" s="1"/>
      <c r="B159" s="2"/>
      <c r="C159" s="2"/>
      <c r="D159" s="2"/>
      <c r="E159" s="2"/>
      <c r="F159" s="2"/>
      <c r="G159" s="2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3">
      <c r="A160" s="1"/>
      <c r="B160" s="2"/>
      <c r="C160" s="2"/>
      <c r="D160" s="2"/>
      <c r="E160" s="2"/>
      <c r="F160" s="2"/>
      <c r="G160" s="2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3">
      <c r="A161" s="1"/>
      <c r="B161" s="2"/>
      <c r="C161" s="2"/>
      <c r="D161" s="2"/>
      <c r="E161" s="2"/>
      <c r="F161" s="2"/>
      <c r="G161" s="2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3">
      <c r="A162" s="1"/>
      <c r="B162" s="2"/>
      <c r="C162" s="2"/>
      <c r="D162" s="2"/>
      <c r="E162" s="2"/>
      <c r="F162" s="2"/>
      <c r="G162" s="2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3">
      <c r="A163" s="1"/>
      <c r="B163" s="2"/>
      <c r="C163" s="2"/>
      <c r="D163" s="2"/>
      <c r="E163" s="2"/>
      <c r="F163" s="2"/>
      <c r="G163" s="2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3">
      <c r="A164" s="1"/>
      <c r="B164" s="2"/>
      <c r="C164" s="2"/>
      <c r="D164" s="2"/>
      <c r="E164" s="2"/>
      <c r="F164" s="2"/>
      <c r="G164" s="2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3">
      <c r="A165" s="1"/>
      <c r="B165" s="2"/>
      <c r="C165" s="2"/>
      <c r="D165" s="2"/>
      <c r="E165" s="2"/>
      <c r="F165" s="2"/>
      <c r="G165" s="2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3">
      <c r="A166" s="1"/>
      <c r="B166" s="2"/>
      <c r="C166" s="2"/>
      <c r="D166" s="2"/>
      <c r="E166" s="2"/>
      <c r="F166" s="2"/>
      <c r="G166" s="2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3">
      <c r="A167" s="1"/>
      <c r="B167" s="2"/>
      <c r="C167" s="2"/>
      <c r="D167" s="2"/>
      <c r="E167" s="2"/>
      <c r="F167" s="2"/>
      <c r="G167" s="2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3">
      <c r="A168" s="1"/>
      <c r="B168" s="2"/>
      <c r="C168" s="2"/>
      <c r="D168" s="2"/>
      <c r="E168" s="2"/>
      <c r="F168" s="2"/>
      <c r="G168" s="2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3">
      <c r="A169" s="1"/>
      <c r="B169" s="2"/>
      <c r="C169" s="2"/>
      <c r="D169" s="2"/>
      <c r="E169" s="2"/>
      <c r="F169" s="2"/>
      <c r="G169" s="2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3">
      <c r="A170" s="1"/>
      <c r="B170" s="2"/>
      <c r="C170" s="2"/>
      <c r="D170" s="2"/>
      <c r="E170" s="2"/>
      <c r="F170" s="2"/>
      <c r="G170" s="2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3">
      <c r="A171" s="1"/>
      <c r="B171" s="2"/>
      <c r="C171" s="2"/>
      <c r="D171" s="2"/>
      <c r="E171" s="2"/>
      <c r="F171" s="2"/>
      <c r="G171" s="2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3">
      <c r="A172" s="1"/>
      <c r="B172" s="2"/>
      <c r="C172" s="2"/>
      <c r="D172" s="2"/>
      <c r="E172" s="2"/>
      <c r="F172" s="2"/>
      <c r="G172" s="2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3">
      <c r="A173" s="1"/>
      <c r="B173" s="2"/>
      <c r="C173" s="2"/>
      <c r="D173" s="2"/>
      <c r="E173" s="2"/>
      <c r="F173" s="2"/>
      <c r="G173" s="2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3">
      <c r="A174" s="1"/>
      <c r="B174" s="2"/>
      <c r="C174" s="2"/>
      <c r="D174" s="2"/>
      <c r="E174" s="2"/>
      <c r="F174" s="2"/>
      <c r="G174" s="2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3">
      <c r="A175" s="1"/>
      <c r="B175" s="2"/>
      <c r="C175" s="2"/>
      <c r="D175" s="2"/>
      <c r="E175" s="2"/>
      <c r="F175" s="2"/>
      <c r="G175" s="2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3">
      <c r="A176" s="1"/>
      <c r="B176" s="2"/>
      <c r="C176" s="2"/>
      <c r="D176" s="2"/>
      <c r="E176" s="2"/>
      <c r="F176" s="2"/>
      <c r="G176" s="2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3">
      <c r="A177" s="1"/>
      <c r="B177" s="2"/>
      <c r="C177" s="2"/>
      <c r="D177" s="2"/>
      <c r="E177" s="2"/>
      <c r="F177" s="2"/>
      <c r="G177" s="2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3">
      <c r="A178" s="1"/>
      <c r="B178" s="2"/>
      <c r="C178" s="2"/>
      <c r="D178" s="2"/>
      <c r="E178" s="2"/>
      <c r="F178" s="2"/>
      <c r="G178" s="2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3">
      <c r="A179" s="1"/>
      <c r="B179" s="2"/>
      <c r="C179" s="2"/>
      <c r="D179" s="2"/>
      <c r="E179" s="2"/>
      <c r="F179" s="2"/>
      <c r="G179" s="2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3">
      <c r="A180" s="1"/>
      <c r="B180" s="2"/>
      <c r="C180" s="2"/>
      <c r="D180" s="2"/>
      <c r="E180" s="2"/>
      <c r="F180" s="2"/>
      <c r="G180" s="2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3">
      <c r="A181" s="1"/>
      <c r="B181" s="2"/>
      <c r="C181" s="2"/>
      <c r="D181" s="2"/>
      <c r="E181" s="2"/>
      <c r="F181" s="2"/>
      <c r="G181" s="2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3">
      <c r="A182" s="1"/>
      <c r="B182" s="2"/>
      <c r="C182" s="2"/>
      <c r="D182" s="2"/>
      <c r="E182" s="2"/>
      <c r="F182" s="2"/>
      <c r="G182" s="2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3">
      <c r="A183" s="1"/>
      <c r="B183" s="2"/>
      <c r="C183" s="2"/>
      <c r="D183" s="2"/>
      <c r="E183" s="2"/>
      <c r="F183" s="2"/>
      <c r="G183" s="2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3">
      <c r="A184" s="1"/>
      <c r="B184" s="2"/>
      <c r="C184" s="2"/>
      <c r="D184" s="2"/>
      <c r="E184" s="2"/>
      <c r="F184" s="2"/>
      <c r="G184" s="2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3">
      <c r="A185" s="1"/>
      <c r="B185" s="2"/>
      <c r="C185" s="2"/>
      <c r="D185" s="2"/>
      <c r="E185" s="2"/>
      <c r="F185" s="2"/>
      <c r="G185" s="2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3">
      <c r="A186" s="1"/>
      <c r="B186" s="2"/>
      <c r="C186" s="2"/>
      <c r="D186" s="2"/>
      <c r="E186" s="2"/>
      <c r="F186" s="2"/>
      <c r="G186" s="2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3">
      <c r="A187" s="1"/>
      <c r="B187" s="2"/>
      <c r="C187" s="2"/>
      <c r="D187" s="2"/>
      <c r="E187" s="2"/>
      <c r="F187" s="2"/>
      <c r="G187" s="2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3">
      <c r="A188" s="1"/>
      <c r="B188" s="2"/>
      <c r="C188" s="2"/>
      <c r="D188" s="2"/>
      <c r="E188" s="2"/>
      <c r="F188" s="2"/>
      <c r="G188" s="2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3">
      <c r="A189" s="1"/>
      <c r="B189" s="2"/>
      <c r="C189" s="2"/>
      <c r="D189" s="2"/>
      <c r="E189" s="2"/>
      <c r="F189" s="2"/>
      <c r="G189" s="2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3">
      <c r="A190" s="1"/>
      <c r="B190" s="2"/>
      <c r="C190" s="2"/>
      <c r="D190" s="2"/>
      <c r="E190" s="2"/>
      <c r="F190" s="2"/>
      <c r="G190" s="2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3">
      <c r="A191" s="1"/>
      <c r="B191" s="2"/>
      <c r="C191" s="2"/>
      <c r="D191" s="2"/>
      <c r="E191" s="2"/>
      <c r="F191" s="2"/>
      <c r="G191" s="2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3">
      <c r="A192" s="1"/>
      <c r="B192" s="2"/>
      <c r="C192" s="2"/>
      <c r="D192" s="2"/>
      <c r="E192" s="2"/>
      <c r="F192" s="2"/>
      <c r="G192" s="2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3">
      <c r="A193" s="1"/>
      <c r="B193" s="2"/>
      <c r="C193" s="2"/>
      <c r="D193" s="2"/>
      <c r="E193" s="2"/>
      <c r="F193" s="2"/>
      <c r="G193" s="2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3">
      <c r="A194" s="1"/>
      <c r="B194" s="2"/>
      <c r="C194" s="2"/>
      <c r="D194" s="2"/>
      <c r="E194" s="2"/>
      <c r="F194" s="2"/>
      <c r="G194" s="2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3">
      <c r="A195" s="1"/>
      <c r="B195" s="2"/>
      <c r="C195" s="2"/>
      <c r="D195" s="2"/>
      <c r="E195" s="2"/>
      <c r="F195" s="2"/>
      <c r="G195" s="2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3">
      <c r="A196" s="1"/>
      <c r="B196" s="2"/>
      <c r="C196" s="2"/>
      <c r="D196" s="2"/>
      <c r="E196" s="2"/>
      <c r="F196" s="2"/>
      <c r="G196" s="2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3">
      <c r="A197" s="1"/>
      <c r="B197" s="2"/>
      <c r="C197" s="2"/>
      <c r="D197" s="2"/>
      <c r="E197" s="2"/>
      <c r="F197" s="2"/>
      <c r="G197" s="2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3">
      <c r="A198" s="1"/>
      <c r="B198" s="2"/>
      <c r="C198" s="2"/>
      <c r="D198" s="2"/>
      <c r="E198" s="2"/>
      <c r="F198" s="2"/>
      <c r="G198" s="2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3">
      <c r="A199" s="1"/>
      <c r="B199" s="2"/>
      <c r="C199" s="2"/>
      <c r="D199" s="2"/>
      <c r="E199" s="2"/>
      <c r="F199" s="2"/>
      <c r="G199" s="2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3">
      <c r="A200" s="1"/>
      <c r="B200" s="2"/>
      <c r="C200" s="2"/>
      <c r="D200" s="2"/>
      <c r="E200" s="2"/>
      <c r="F200" s="2"/>
      <c r="G200" s="2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9B1BE-09AE-45E9-975D-2F9BD0C4322D}">
  <sheetPr>
    <tabColor rgb="FF8064A2"/>
  </sheetPr>
  <dimension ref="A1:Z200"/>
  <sheetViews>
    <sheetView tabSelected="1" workbookViewId="0"/>
  </sheetViews>
  <sheetFormatPr defaultRowHeight="14.4" x14ac:dyDescent="0.3"/>
  <cols>
    <col min="1" max="1" width="40.77734375" customWidth="1"/>
    <col min="2" max="6" width="17.5546875" style="3" customWidth="1"/>
    <col min="7" max="7" width="42.5546875" style="3" customWidth="1"/>
    <col min="8" max="8" width="17.5546875" style="3" customWidth="1"/>
    <col min="9" max="9" width="27.77734375" customWidth="1"/>
  </cols>
  <sheetData>
    <row r="1" spans="1:26" ht="18" x14ac:dyDescent="0.35">
      <c r="A1" s="5" t="s">
        <v>89</v>
      </c>
      <c r="B1" s="6"/>
      <c r="C1" s="6"/>
      <c r="D1" s="6"/>
      <c r="E1" s="6"/>
      <c r="F1" s="6"/>
      <c r="G1" s="6"/>
      <c r="H1" s="6"/>
      <c r="I1" s="5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2"/>
      <c r="C2" s="2"/>
      <c r="D2" s="2"/>
      <c r="E2" s="2"/>
      <c r="F2" s="2"/>
      <c r="G2" s="2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26" t="s">
        <v>90</v>
      </c>
      <c r="B3" s="27" t="s">
        <v>91</v>
      </c>
      <c r="C3" s="27" t="s">
        <v>92</v>
      </c>
      <c r="D3" s="27" t="s">
        <v>93</v>
      </c>
      <c r="E3" s="27" t="s">
        <v>94</v>
      </c>
      <c r="F3" s="27" t="s">
        <v>95</v>
      </c>
      <c r="G3" s="27" t="s">
        <v>96</v>
      </c>
      <c r="H3" s="27" t="s">
        <v>97</v>
      </c>
      <c r="I3" s="26" t="s">
        <v>98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 t="s">
        <v>14</v>
      </c>
      <c r="B4" s="2">
        <v>267021</v>
      </c>
      <c r="C4" s="2" t="s">
        <v>99</v>
      </c>
      <c r="D4" s="2" t="s">
        <v>100</v>
      </c>
      <c r="E4" s="2" t="s">
        <v>101</v>
      </c>
      <c r="F4" s="2" t="s">
        <v>102</v>
      </c>
      <c r="G4" s="2" t="s">
        <v>103</v>
      </c>
      <c r="H4" s="4">
        <v>46188</v>
      </c>
      <c r="I4" s="1" t="s">
        <v>104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 t="s">
        <v>105</v>
      </c>
      <c r="B5" s="2">
        <v>66838</v>
      </c>
      <c r="C5" s="2" t="s">
        <v>99</v>
      </c>
      <c r="D5" s="2" t="s">
        <v>100</v>
      </c>
      <c r="E5" s="2" t="s">
        <v>106</v>
      </c>
      <c r="F5" s="2" t="s">
        <v>107</v>
      </c>
      <c r="G5" s="2" t="s">
        <v>108</v>
      </c>
      <c r="H5" s="4">
        <v>46188</v>
      </c>
      <c r="I5" s="1" t="s">
        <v>109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 t="s">
        <v>110</v>
      </c>
      <c r="B6" s="2">
        <v>182372</v>
      </c>
      <c r="C6" s="2" t="s">
        <v>99</v>
      </c>
      <c r="D6" s="2" t="s">
        <v>100</v>
      </c>
      <c r="E6" s="2" t="s">
        <v>111</v>
      </c>
      <c r="F6" s="2" t="s">
        <v>112</v>
      </c>
      <c r="G6" s="2" t="s">
        <v>113</v>
      </c>
      <c r="H6" s="4">
        <v>46188</v>
      </c>
      <c r="I6" s="1" t="s">
        <v>114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 t="s">
        <v>115</v>
      </c>
      <c r="B7" s="2">
        <v>52094</v>
      </c>
      <c r="C7" s="2" t="s">
        <v>99</v>
      </c>
      <c r="D7" s="2" t="s">
        <v>100</v>
      </c>
      <c r="E7" s="2" t="s">
        <v>116</v>
      </c>
      <c r="F7" s="2" t="s">
        <v>53</v>
      </c>
      <c r="G7" s="2" t="s">
        <v>117</v>
      </c>
      <c r="H7" s="4">
        <v>46188</v>
      </c>
      <c r="I7" s="1" t="s">
        <v>118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 t="s">
        <v>119</v>
      </c>
      <c r="B8" s="2" t="s">
        <v>120</v>
      </c>
      <c r="C8" s="2" t="s">
        <v>121</v>
      </c>
      <c r="D8" s="2" t="s">
        <v>122</v>
      </c>
      <c r="E8" s="2" t="s">
        <v>123</v>
      </c>
      <c r="F8" s="2" t="s">
        <v>120</v>
      </c>
      <c r="G8" s="2" t="s">
        <v>124</v>
      </c>
      <c r="H8" s="4">
        <v>46188</v>
      </c>
      <c r="I8" s="1" t="s">
        <v>125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2"/>
      <c r="C9" s="2"/>
      <c r="D9" s="2"/>
      <c r="E9" s="2"/>
      <c r="F9" s="2"/>
      <c r="G9" s="2"/>
      <c r="H9" s="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2"/>
      <c r="C10" s="2"/>
      <c r="D10" s="2"/>
      <c r="E10" s="2"/>
      <c r="F10" s="2"/>
      <c r="G10" s="2"/>
      <c r="H10" s="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2"/>
      <c r="C11" s="2"/>
      <c r="D11" s="2"/>
      <c r="E11" s="2"/>
      <c r="F11" s="2"/>
      <c r="G11" s="2"/>
      <c r="H11" s="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3">
      <c r="A12" s="1"/>
      <c r="B12" s="2"/>
      <c r="C12" s="2"/>
      <c r="D12" s="2"/>
      <c r="E12" s="2"/>
      <c r="F12" s="2"/>
      <c r="G12" s="2"/>
      <c r="H12" s="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3">
      <c r="A13" s="1"/>
      <c r="B13" s="2"/>
      <c r="C13" s="2"/>
      <c r="D13" s="2"/>
      <c r="E13" s="2"/>
      <c r="F13" s="2"/>
      <c r="G13" s="2"/>
      <c r="H13" s="2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3">
      <c r="A14" s="1"/>
      <c r="B14" s="2"/>
      <c r="C14" s="2"/>
      <c r="D14" s="2"/>
      <c r="E14" s="2"/>
      <c r="F14" s="2"/>
      <c r="G14" s="2"/>
      <c r="H14" s="2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3">
      <c r="A15" s="1"/>
      <c r="B15" s="2"/>
      <c r="C15" s="2"/>
      <c r="D15" s="2"/>
      <c r="E15" s="2"/>
      <c r="F15" s="2"/>
      <c r="G15" s="2"/>
      <c r="H15" s="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3">
      <c r="A16" s="1"/>
      <c r="B16" s="2"/>
      <c r="C16" s="2"/>
      <c r="D16" s="2"/>
      <c r="E16" s="2"/>
      <c r="F16" s="2"/>
      <c r="G16" s="2"/>
      <c r="H16" s="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3">
      <c r="A17" s="1"/>
      <c r="B17" s="2"/>
      <c r="C17" s="2"/>
      <c r="D17" s="2"/>
      <c r="E17" s="2"/>
      <c r="F17" s="2"/>
      <c r="G17" s="2"/>
      <c r="H17" s="2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3">
      <c r="A18" s="1"/>
      <c r="B18" s="2"/>
      <c r="C18" s="2"/>
      <c r="D18" s="2"/>
      <c r="E18" s="2"/>
      <c r="F18" s="2"/>
      <c r="G18" s="2"/>
      <c r="H18" s="2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3">
      <c r="A19" s="1"/>
      <c r="B19" s="2"/>
      <c r="C19" s="2"/>
      <c r="D19" s="2"/>
      <c r="E19" s="2"/>
      <c r="F19" s="2"/>
      <c r="G19" s="2"/>
      <c r="H19" s="2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3">
      <c r="A20" s="1"/>
      <c r="B20" s="2"/>
      <c r="C20" s="2"/>
      <c r="D20" s="2"/>
      <c r="E20" s="2"/>
      <c r="F20" s="2"/>
      <c r="G20" s="2"/>
      <c r="H20" s="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3">
      <c r="A21" s="1"/>
      <c r="B21" s="2"/>
      <c r="C21" s="2"/>
      <c r="D21" s="2"/>
      <c r="E21" s="2"/>
      <c r="F21" s="2"/>
      <c r="G21" s="2"/>
      <c r="H21" s="2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3">
      <c r="A22" s="1"/>
      <c r="B22" s="2"/>
      <c r="C22" s="2"/>
      <c r="D22" s="2"/>
      <c r="E22" s="2"/>
      <c r="F22" s="2"/>
      <c r="G22" s="2"/>
      <c r="H22" s="2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3">
      <c r="A23" s="1"/>
      <c r="B23" s="2"/>
      <c r="C23" s="2"/>
      <c r="D23" s="2"/>
      <c r="E23" s="2"/>
      <c r="F23" s="2"/>
      <c r="G23" s="2"/>
      <c r="H23" s="2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3">
      <c r="A24" s="1"/>
      <c r="B24" s="2"/>
      <c r="C24" s="2"/>
      <c r="D24" s="2"/>
      <c r="E24" s="2"/>
      <c r="F24" s="2"/>
      <c r="G24" s="2"/>
      <c r="H24" s="2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3">
      <c r="A25" s="1"/>
      <c r="B25" s="2"/>
      <c r="C25" s="2"/>
      <c r="D25" s="2"/>
      <c r="E25" s="2"/>
      <c r="F25" s="2"/>
      <c r="G25" s="2"/>
      <c r="H25" s="2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3">
      <c r="A26" s="1"/>
      <c r="B26" s="2"/>
      <c r="C26" s="2"/>
      <c r="D26" s="2"/>
      <c r="E26" s="2"/>
      <c r="F26" s="2"/>
      <c r="G26" s="2"/>
      <c r="H26" s="2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3">
      <c r="A27" s="1"/>
      <c r="B27" s="2"/>
      <c r="C27" s="2"/>
      <c r="D27" s="2"/>
      <c r="E27" s="2"/>
      <c r="F27" s="2"/>
      <c r="G27" s="2"/>
      <c r="H27" s="2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3">
      <c r="A28" s="1"/>
      <c r="B28" s="2"/>
      <c r="C28" s="2"/>
      <c r="D28" s="2"/>
      <c r="E28" s="2"/>
      <c r="F28" s="2"/>
      <c r="G28" s="2"/>
      <c r="H28" s="2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2"/>
      <c r="C29" s="2"/>
      <c r="D29" s="2"/>
      <c r="E29" s="2"/>
      <c r="F29" s="2"/>
      <c r="G29" s="2"/>
      <c r="H29" s="2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3">
      <c r="A30" s="1"/>
      <c r="B30" s="2"/>
      <c r="C30" s="2"/>
      <c r="D30" s="2"/>
      <c r="E30" s="2"/>
      <c r="F30" s="2"/>
      <c r="G30" s="2"/>
      <c r="H30" s="2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2"/>
      <c r="C31" s="2"/>
      <c r="D31" s="2"/>
      <c r="E31" s="2"/>
      <c r="F31" s="2"/>
      <c r="G31" s="2"/>
      <c r="H31" s="2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3">
      <c r="A32" s="1"/>
      <c r="B32" s="2"/>
      <c r="C32" s="2"/>
      <c r="D32" s="2"/>
      <c r="E32" s="2"/>
      <c r="F32" s="2"/>
      <c r="G32" s="2"/>
      <c r="H32" s="2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2"/>
      <c r="C33" s="2"/>
      <c r="D33" s="2"/>
      <c r="E33" s="2"/>
      <c r="F33" s="2"/>
      <c r="G33" s="2"/>
      <c r="H33" s="2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2"/>
      <c r="C34" s="2"/>
      <c r="D34" s="2"/>
      <c r="E34" s="2"/>
      <c r="F34" s="2"/>
      <c r="G34" s="2"/>
      <c r="H34" s="2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2"/>
      <c r="C35" s="2"/>
      <c r="D35" s="2"/>
      <c r="E35" s="2"/>
      <c r="F35" s="2"/>
      <c r="G35" s="2"/>
      <c r="H35" s="2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1"/>
      <c r="B36" s="2"/>
      <c r="C36" s="2"/>
      <c r="D36" s="2"/>
      <c r="E36" s="2"/>
      <c r="F36" s="2"/>
      <c r="G36" s="2"/>
      <c r="H36" s="2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">
      <c r="A37" s="1"/>
      <c r="B37" s="2"/>
      <c r="C37" s="2"/>
      <c r="D37" s="2"/>
      <c r="E37" s="2"/>
      <c r="F37" s="2"/>
      <c r="G37" s="2"/>
      <c r="H37" s="2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">
      <c r="A38" s="1"/>
      <c r="B38" s="2"/>
      <c r="C38" s="2"/>
      <c r="D38" s="2"/>
      <c r="E38" s="2"/>
      <c r="F38" s="2"/>
      <c r="G38" s="2"/>
      <c r="H38" s="2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">
      <c r="A39" s="1"/>
      <c r="B39" s="2"/>
      <c r="C39" s="2"/>
      <c r="D39" s="2"/>
      <c r="E39" s="2"/>
      <c r="F39" s="2"/>
      <c r="G39" s="2"/>
      <c r="H39" s="2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">
      <c r="A40" s="1"/>
      <c r="B40" s="2"/>
      <c r="C40" s="2"/>
      <c r="D40" s="2"/>
      <c r="E40" s="2"/>
      <c r="F40" s="2"/>
      <c r="G40" s="2"/>
      <c r="H40" s="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">
      <c r="A41" s="1"/>
      <c r="B41" s="2"/>
      <c r="C41" s="2"/>
      <c r="D41" s="2"/>
      <c r="E41" s="2"/>
      <c r="F41" s="2"/>
      <c r="G41" s="2"/>
      <c r="H41" s="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">
      <c r="A42" s="1"/>
      <c r="B42" s="2"/>
      <c r="C42" s="2"/>
      <c r="D42" s="2"/>
      <c r="E42" s="2"/>
      <c r="F42" s="2"/>
      <c r="G42" s="2"/>
      <c r="H42" s="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">
      <c r="A43" s="1"/>
      <c r="B43" s="2"/>
      <c r="C43" s="2"/>
      <c r="D43" s="2"/>
      <c r="E43" s="2"/>
      <c r="F43" s="2"/>
      <c r="G43" s="2"/>
      <c r="H43" s="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">
      <c r="A44" s="1"/>
      <c r="B44" s="2"/>
      <c r="C44" s="2"/>
      <c r="D44" s="2"/>
      <c r="E44" s="2"/>
      <c r="F44" s="2"/>
      <c r="G44" s="2"/>
      <c r="H44" s="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">
      <c r="A45" s="1"/>
      <c r="B45" s="2"/>
      <c r="C45" s="2"/>
      <c r="D45" s="2"/>
      <c r="E45" s="2"/>
      <c r="F45" s="2"/>
      <c r="G45" s="2"/>
      <c r="H45" s="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">
      <c r="A46" s="1"/>
      <c r="B46" s="2"/>
      <c r="C46" s="2"/>
      <c r="D46" s="2"/>
      <c r="E46" s="2"/>
      <c r="F46" s="2"/>
      <c r="G46" s="2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">
      <c r="A47" s="1"/>
      <c r="B47" s="2"/>
      <c r="C47" s="2"/>
      <c r="D47" s="2"/>
      <c r="E47" s="2"/>
      <c r="F47" s="2"/>
      <c r="G47" s="2"/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">
      <c r="A48" s="1"/>
      <c r="B48" s="2"/>
      <c r="C48" s="2"/>
      <c r="D48" s="2"/>
      <c r="E48" s="2"/>
      <c r="F48" s="2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3">
      <c r="A49" s="1"/>
      <c r="B49" s="2"/>
      <c r="C49" s="2"/>
      <c r="D49" s="2"/>
      <c r="E49" s="2"/>
      <c r="F49" s="2"/>
      <c r="G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3">
      <c r="A50" s="1"/>
      <c r="B50" s="2"/>
      <c r="C50" s="2"/>
      <c r="D50" s="2"/>
      <c r="E50" s="2"/>
      <c r="F50" s="2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3">
      <c r="A51" s="1"/>
      <c r="B51" s="2"/>
      <c r="C51" s="2"/>
      <c r="D51" s="2"/>
      <c r="E51" s="2"/>
      <c r="F51" s="2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3">
      <c r="A52" s="1"/>
      <c r="B52" s="2"/>
      <c r="C52" s="2"/>
      <c r="D52" s="2"/>
      <c r="E52" s="2"/>
      <c r="F52" s="2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3">
      <c r="A53" s="1"/>
      <c r="B53" s="2"/>
      <c r="C53" s="2"/>
      <c r="D53" s="2"/>
      <c r="E53" s="2"/>
      <c r="F53" s="2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3">
      <c r="A54" s="1"/>
      <c r="B54" s="2"/>
      <c r="C54" s="2"/>
      <c r="D54" s="2"/>
      <c r="E54" s="2"/>
      <c r="F54" s="2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3">
      <c r="A55" s="1"/>
      <c r="B55" s="2"/>
      <c r="C55" s="2"/>
      <c r="D55" s="2"/>
      <c r="E55" s="2"/>
      <c r="F55" s="2"/>
      <c r="G55" s="2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3">
      <c r="A56" s="1"/>
      <c r="B56" s="2"/>
      <c r="C56" s="2"/>
      <c r="D56" s="2"/>
      <c r="E56" s="2"/>
      <c r="F56" s="2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3">
      <c r="A57" s="1"/>
      <c r="B57" s="2"/>
      <c r="C57" s="2"/>
      <c r="D57" s="2"/>
      <c r="E57" s="2"/>
      <c r="F57" s="2"/>
      <c r="G57" s="2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3">
      <c r="A58" s="1"/>
      <c r="B58" s="2"/>
      <c r="C58" s="2"/>
      <c r="D58" s="2"/>
      <c r="E58" s="2"/>
      <c r="F58" s="2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3">
      <c r="A59" s="1"/>
      <c r="B59" s="2"/>
      <c r="C59" s="2"/>
      <c r="D59" s="2"/>
      <c r="E59" s="2"/>
      <c r="F59" s="2"/>
      <c r="G59" s="2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3">
      <c r="A60" s="1"/>
      <c r="B60" s="2"/>
      <c r="C60" s="2"/>
      <c r="D60" s="2"/>
      <c r="E60" s="2"/>
      <c r="F60" s="2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3">
      <c r="A61" s="1"/>
      <c r="B61" s="2"/>
      <c r="C61" s="2"/>
      <c r="D61" s="2"/>
      <c r="E61" s="2"/>
      <c r="F61" s="2"/>
      <c r="G61" s="2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3">
      <c r="A62" s="1"/>
      <c r="B62" s="2"/>
      <c r="C62" s="2"/>
      <c r="D62" s="2"/>
      <c r="E62" s="2"/>
      <c r="F62" s="2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3">
      <c r="A63" s="1"/>
      <c r="B63" s="2"/>
      <c r="C63" s="2"/>
      <c r="D63" s="2"/>
      <c r="E63" s="2"/>
      <c r="F63" s="2"/>
      <c r="G63" s="2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3">
      <c r="A64" s="1"/>
      <c r="B64" s="2"/>
      <c r="C64" s="2"/>
      <c r="D64" s="2"/>
      <c r="E64" s="2"/>
      <c r="F64" s="2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3">
      <c r="A65" s="1"/>
      <c r="B65" s="2"/>
      <c r="C65" s="2"/>
      <c r="D65" s="2"/>
      <c r="E65" s="2"/>
      <c r="F65" s="2"/>
      <c r="G65" s="2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3">
      <c r="A66" s="1"/>
      <c r="B66" s="2"/>
      <c r="C66" s="2"/>
      <c r="D66" s="2"/>
      <c r="E66" s="2"/>
      <c r="F66" s="2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3">
      <c r="A67" s="1"/>
      <c r="B67" s="2"/>
      <c r="C67" s="2"/>
      <c r="D67" s="2"/>
      <c r="E67" s="2"/>
      <c r="F67" s="2"/>
      <c r="G67" s="2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3">
      <c r="A68" s="1"/>
      <c r="B68" s="2"/>
      <c r="C68" s="2"/>
      <c r="D68" s="2"/>
      <c r="E68" s="2"/>
      <c r="F68" s="2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3">
      <c r="A69" s="1"/>
      <c r="B69" s="2"/>
      <c r="C69" s="2"/>
      <c r="D69" s="2"/>
      <c r="E69" s="2"/>
      <c r="F69" s="2"/>
      <c r="G69" s="2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3">
      <c r="A70" s="1"/>
      <c r="B70" s="2"/>
      <c r="C70" s="2"/>
      <c r="D70" s="2"/>
      <c r="E70" s="2"/>
      <c r="F70" s="2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3">
      <c r="A71" s="1"/>
      <c r="B71" s="2"/>
      <c r="C71" s="2"/>
      <c r="D71" s="2"/>
      <c r="E71" s="2"/>
      <c r="F71" s="2"/>
      <c r="G71" s="2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3">
      <c r="A72" s="1"/>
      <c r="B72" s="2"/>
      <c r="C72" s="2"/>
      <c r="D72" s="2"/>
      <c r="E72" s="2"/>
      <c r="F72" s="2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3">
      <c r="A73" s="1"/>
      <c r="B73" s="2"/>
      <c r="C73" s="2"/>
      <c r="D73" s="2"/>
      <c r="E73" s="2"/>
      <c r="F73" s="2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3">
      <c r="A74" s="1"/>
      <c r="B74" s="2"/>
      <c r="C74" s="2"/>
      <c r="D74" s="2"/>
      <c r="E74" s="2"/>
      <c r="F74" s="2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3">
      <c r="A75" s="1"/>
      <c r="B75" s="2"/>
      <c r="C75" s="2"/>
      <c r="D75" s="2"/>
      <c r="E75" s="2"/>
      <c r="F75" s="2"/>
      <c r="G75" s="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3">
      <c r="A76" s="1"/>
      <c r="B76" s="2"/>
      <c r="C76" s="2"/>
      <c r="D76" s="2"/>
      <c r="E76" s="2"/>
      <c r="F76" s="2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3">
      <c r="A77" s="1"/>
      <c r="B77" s="2"/>
      <c r="C77" s="2"/>
      <c r="D77" s="2"/>
      <c r="E77" s="2"/>
      <c r="F77" s="2"/>
      <c r="G77" s="2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3">
      <c r="A78" s="1"/>
      <c r="B78" s="2"/>
      <c r="C78" s="2"/>
      <c r="D78" s="2"/>
      <c r="E78" s="2"/>
      <c r="F78" s="2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3">
      <c r="A79" s="1"/>
      <c r="B79" s="2"/>
      <c r="C79" s="2"/>
      <c r="D79" s="2"/>
      <c r="E79" s="2"/>
      <c r="F79" s="2"/>
      <c r="G79" s="2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3">
      <c r="A80" s="1"/>
      <c r="B80" s="2"/>
      <c r="C80" s="2"/>
      <c r="D80" s="2"/>
      <c r="E80" s="2"/>
      <c r="F80" s="2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3">
      <c r="A81" s="1"/>
      <c r="B81" s="2"/>
      <c r="C81" s="2"/>
      <c r="D81" s="2"/>
      <c r="E81" s="2"/>
      <c r="F81" s="2"/>
      <c r="G81" s="2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3">
      <c r="A82" s="1"/>
      <c r="B82" s="2"/>
      <c r="C82" s="2"/>
      <c r="D82" s="2"/>
      <c r="E82" s="2"/>
      <c r="F82" s="2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3">
      <c r="A83" s="1"/>
      <c r="B83" s="2"/>
      <c r="C83" s="2"/>
      <c r="D83" s="2"/>
      <c r="E83" s="2"/>
      <c r="F83" s="2"/>
      <c r="G83" s="2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3">
      <c r="A84" s="1"/>
      <c r="B84" s="2"/>
      <c r="C84" s="2"/>
      <c r="D84" s="2"/>
      <c r="E84" s="2"/>
      <c r="F84" s="2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3">
      <c r="A85" s="1"/>
      <c r="B85" s="2"/>
      <c r="C85" s="2"/>
      <c r="D85" s="2"/>
      <c r="E85" s="2"/>
      <c r="F85" s="2"/>
      <c r="G85" s="2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3">
      <c r="A86" s="1"/>
      <c r="B86" s="2"/>
      <c r="C86" s="2"/>
      <c r="D86" s="2"/>
      <c r="E86" s="2"/>
      <c r="F86" s="2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3">
      <c r="A87" s="1"/>
      <c r="B87" s="2"/>
      <c r="C87" s="2"/>
      <c r="D87" s="2"/>
      <c r="E87" s="2"/>
      <c r="F87" s="2"/>
      <c r="G87" s="2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3">
      <c r="A88" s="1"/>
      <c r="B88" s="2"/>
      <c r="C88" s="2"/>
      <c r="D88" s="2"/>
      <c r="E88" s="2"/>
      <c r="F88" s="2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3">
      <c r="A89" s="1"/>
      <c r="B89" s="2"/>
      <c r="C89" s="2"/>
      <c r="D89" s="2"/>
      <c r="E89" s="2"/>
      <c r="F89" s="2"/>
      <c r="G89" s="2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3">
      <c r="A90" s="1"/>
      <c r="B90" s="2"/>
      <c r="C90" s="2"/>
      <c r="D90" s="2"/>
      <c r="E90" s="2"/>
      <c r="F90" s="2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3">
      <c r="A91" s="1"/>
      <c r="B91" s="2"/>
      <c r="C91" s="2"/>
      <c r="D91" s="2"/>
      <c r="E91" s="2"/>
      <c r="F91" s="2"/>
      <c r="G91" s="2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3">
      <c r="A92" s="1"/>
      <c r="B92" s="2"/>
      <c r="C92" s="2"/>
      <c r="D92" s="2"/>
      <c r="E92" s="2"/>
      <c r="F92" s="2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3">
      <c r="A93" s="1"/>
      <c r="B93" s="2"/>
      <c r="C93" s="2"/>
      <c r="D93" s="2"/>
      <c r="E93" s="2"/>
      <c r="F93" s="2"/>
      <c r="G93" s="2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3">
      <c r="A94" s="1"/>
      <c r="B94" s="2"/>
      <c r="C94" s="2"/>
      <c r="D94" s="2"/>
      <c r="E94" s="2"/>
      <c r="F94" s="2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3">
      <c r="A95" s="1"/>
      <c r="B95" s="2"/>
      <c r="C95" s="2"/>
      <c r="D95" s="2"/>
      <c r="E95" s="2"/>
      <c r="F95" s="2"/>
      <c r="G95" s="2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3">
      <c r="A96" s="1"/>
      <c r="B96" s="2"/>
      <c r="C96" s="2"/>
      <c r="D96" s="2"/>
      <c r="E96" s="2"/>
      <c r="F96" s="2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3">
      <c r="A97" s="1"/>
      <c r="B97" s="2"/>
      <c r="C97" s="2"/>
      <c r="D97" s="2"/>
      <c r="E97" s="2"/>
      <c r="F97" s="2"/>
      <c r="G97" s="2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3">
      <c r="A98" s="1"/>
      <c r="B98" s="2"/>
      <c r="C98" s="2"/>
      <c r="D98" s="2"/>
      <c r="E98" s="2"/>
      <c r="F98" s="2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3">
      <c r="A99" s="1"/>
      <c r="B99" s="2"/>
      <c r="C99" s="2"/>
      <c r="D99" s="2"/>
      <c r="E99" s="2"/>
      <c r="F99" s="2"/>
      <c r="G99" s="2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3">
      <c r="A100" s="1"/>
      <c r="B100" s="2"/>
      <c r="C100" s="2"/>
      <c r="D100" s="2"/>
      <c r="E100" s="2"/>
      <c r="F100" s="2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3">
      <c r="A101" s="1"/>
      <c r="B101" s="2"/>
      <c r="C101" s="2"/>
      <c r="D101" s="2"/>
      <c r="E101" s="2"/>
      <c r="F101" s="2"/>
      <c r="G101" s="2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3">
      <c r="A102" s="1"/>
      <c r="B102" s="2"/>
      <c r="C102" s="2"/>
      <c r="D102" s="2"/>
      <c r="E102" s="2"/>
      <c r="F102" s="2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3">
      <c r="A103" s="1"/>
      <c r="B103" s="2"/>
      <c r="C103" s="2"/>
      <c r="D103" s="2"/>
      <c r="E103" s="2"/>
      <c r="F103" s="2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3">
      <c r="A104" s="1"/>
      <c r="B104" s="2"/>
      <c r="C104" s="2"/>
      <c r="D104" s="2"/>
      <c r="E104" s="2"/>
      <c r="F104" s="2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3">
      <c r="A105" s="1"/>
      <c r="B105" s="2"/>
      <c r="C105" s="2"/>
      <c r="D105" s="2"/>
      <c r="E105" s="2"/>
      <c r="F105" s="2"/>
      <c r="G105" s="2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3">
      <c r="A106" s="1"/>
      <c r="B106" s="2"/>
      <c r="C106" s="2"/>
      <c r="D106" s="2"/>
      <c r="E106" s="2"/>
      <c r="F106" s="2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3">
      <c r="A107" s="1"/>
      <c r="B107" s="2"/>
      <c r="C107" s="2"/>
      <c r="D107" s="2"/>
      <c r="E107" s="2"/>
      <c r="F107" s="2"/>
      <c r="G107" s="2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3">
      <c r="A108" s="1"/>
      <c r="B108" s="2"/>
      <c r="C108" s="2"/>
      <c r="D108" s="2"/>
      <c r="E108" s="2"/>
      <c r="F108" s="2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3">
      <c r="A109" s="1"/>
      <c r="B109" s="2"/>
      <c r="C109" s="2"/>
      <c r="D109" s="2"/>
      <c r="E109" s="2"/>
      <c r="F109" s="2"/>
      <c r="G109" s="2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3">
      <c r="A110" s="1"/>
      <c r="B110" s="2"/>
      <c r="C110" s="2"/>
      <c r="D110" s="2"/>
      <c r="E110" s="2"/>
      <c r="F110" s="2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3">
      <c r="A111" s="1"/>
      <c r="B111" s="2"/>
      <c r="C111" s="2"/>
      <c r="D111" s="2"/>
      <c r="E111" s="2"/>
      <c r="F111" s="2"/>
      <c r="G111" s="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3">
      <c r="A112" s="1"/>
      <c r="B112" s="2"/>
      <c r="C112" s="2"/>
      <c r="D112" s="2"/>
      <c r="E112" s="2"/>
      <c r="F112" s="2"/>
      <c r="G112" s="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3">
      <c r="A113" s="1"/>
      <c r="B113" s="2"/>
      <c r="C113" s="2"/>
      <c r="D113" s="2"/>
      <c r="E113" s="2"/>
      <c r="F113" s="2"/>
      <c r="G113" s="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3">
      <c r="A114" s="1"/>
      <c r="B114" s="2"/>
      <c r="C114" s="2"/>
      <c r="D114" s="2"/>
      <c r="E114" s="2"/>
      <c r="F114" s="2"/>
      <c r="G114" s="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3">
      <c r="A115" s="1"/>
      <c r="B115" s="2"/>
      <c r="C115" s="2"/>
      <c r="D115" s="2"/>
      <c r="E115" s="2"/>
      <c r="F115" s="2"/>
      <c r="G115" s="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3">
      <c r="A116" s="1"/>
      <c r="B116" s="2"/>
      <c r="C116" s="2"/>
      <c r="D116" s="2"/>
      <c r="E116" s="2"/>
      <c r="F116" s="2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3">
      <c r="A117" s="1"/>
      <c r="B117" s="2"/>
      <c r="C117" s="2"/>
      <c r="D117" s="2"/>
      <c r="E117" s="2"/>
      <c r="F117" s="2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3">
      <c r="A118" s="1"/>
      <c r="B118" s="2"/>
      <c r="C118" s="2"/>
      <c r="D118" s="2"/>
      <c r="E118" s="2"/>
      <c r="F118" s="2"/>
      <c r="G118" s="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3">
      <c r="A119" s="1"/>
      <c r="B119" s="2"/>
      <c r="C119" s="2"/>
      <c r="D119" s="2"/>
      <c r="E119" s="2"/>
      <c r="F119" s="2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3">
      <c r="A120" s="1"/>
      <c r="B120" s="2"/>
      <c r="C120" s="2"/>
      <c r="D120" s="2"/>
      <c r="E120" s="2"/>
      <c r="F120" s="2"/>
      <c r="G120" s="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3">
      <c r="A121" s="1"/>
      <c r="B121" s="2"/>
      <c r="C121" s="2"/>
      <c r="D121" s="2"/>
      <c r="E121" s="2"/>
      <c r="F121" s="2"/>
      <c r="G121" s="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3">
      <c r="A122" s="1"/>
      <c r="B122" s="2"/>
      <c r="C122" s="2"/>
      <c r="D122" s="2"/>
      <c r="E122" s="2"/>
      <c r="F122" s="2"/>
      <c r="G122" s="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3">
      <c r="A123" s="1"/>
      <c r="B123" s="2"/>
      <c r="C123" s="2"/>
      <c r="D123" s="2"/>
      <c r="E123" s="2"/>
      <c r="F123" s="2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3">
      <c r="A124" s="1"/>
      <c r="B124" s="2"/>
      <c r="C124" s="2"/>
      <c r="D124" s="2"/>
      <c r="E124" s="2"/>
      <c r="F124" s="2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3">
      <c r="A125" s="1"/>
      <c r="B125" s="2"/>
      <c r="C125" s="2"/>
      <c r="D125" s="2"/>
      <c r="E125" s="2"/>
      <c r="F125" s="2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3">
      <c r="A126" s="1"/>
      <c r="B126" s="2"/>
      <c r="C126" s="2"/>
      <c r="D126" s="2"/>
      <c r="E126" s="2"/>
      <c r="F126" s="2"/>
      <c r="G126" s="2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3">
      <c r="A127" s="1"/>
      <c r="B127" s="2"/>
      <c r="C127" s="2"/>
      <c r="D127" s="2"/>
      <c r="E127" s="2"/>
      <c r="F127" s="2"/>
      <c r="G127" s="2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3">
      <c r="A128" s="1"/>
      <c r="B128" s="2"/>
      <c r="C128" s="2"/>
      <c r="D128" s="2"/>
      <c r="E128" s="2"/>
      <c r="F128" s="2"/>
      <c r="G128" s="2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3">
      <c r="A129" s="1"/>
      <c r="B129" s="2"/>
      <c r="C129" s="2"/>
      <c r="D129" s="2"/>
      <c r="E129" s="2"/>
      <c r="F129" s="2"/>
      <c r="G129" s="2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3">
      <c r="A130" s="1"/>
      <c r="B130" s="2"/>
      <c r="C130" s="2"/>
      <c r="D130" s="2"/>
      <c r="E130" s="2"/>
      <c r="F130" s="2"/>
      <c r="G130" s="2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3">
      <c r="A131" s="1"/>
      <c r="B131" s="2"/>
      <c r="C131" s="2"/>
      <c r="D131" s="2"/>
      <c r="E131" s="2"/>
      <c r="F131" s="2"/>
      <c r="G131" s="2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3">
      <c r="A132" s="1"/>
      <c r="B132" s="2"/>
      <c r="C132" s="2"/>
      <c r="D132" s="2"/>
      <c r="E132" s="2"/>
      <c r="F132" s="2"/>
      <c r="G132" s="2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3">
      <c r="A133" s="1"/>
      <c r="B133" s="2"/>
      <c r="C133" s="2"/>
      <c r="D133" s="2"/>
      <c r="E133" s="2"/>
      <c r="F133" s="2"/>
      <c r="G133" s="2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3">
      <c r="A134" s="1"/>
      <c r="B134" s="2"/>
      <c r="C134" s="2"/>
      <c r="D134" s="2"/>
      <c r="E134" s="2"/>
      <c r="F134" s="2"/>
      <c r="G134" s="2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3">
      <c r="A135" s="1"/>
      <c r="B135" s="2"/>
      <c r="C135" s="2"/>
      <c r="D135" s="2"/>
      <c r="E135" s="2"/>
      <c r="F135" s="2"/>
      <c r="G135" s="2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3">
      <c r="A136" s="1"/>
      <c r="B136" s="2"/>
      <c r="C136" s="2"/>
      <c r="D136" s="2"/>
      <c r="E136" s="2"/>
      <c r="F136" s="2"/>
      <c r="G136" s="2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3">
      <c r="A137" s="1"/>
      <c r="B137" s="2"/>
      <c r="C137" s="2"/>
      <c r="D137" s="2"/>
      <c r="E137" s="2"/>
      <c r="F137" s="2"/>
      <c r="G137" s="2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3">
      <c r="A138" s="1"/>
      <c r="B138" s="2"/>
      <c r="C138" s="2"/>
      <c r="D138" s="2"/>
      <c r="E138" s="2"/>
      <c r="F138" s="2"/>
      <c r="G138" s="2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3">
      <c r="A139" s="1"/>
      <c r="B139" s="2"/>
      <c r="C139" s="2"/>
      <c r="D139" s="2"/>
      <c r="E139" s="2"/>
      <c r="F139" s="2"/>
      <c r="G139" s="2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3">
      <c r="A140" s="1"/>
      <c r="B140" s="2"/>
      <c r="C140" s="2"/>
      <c r="D140" s="2"/>
      <c r="E140" s="2"/>
      <c r="F140" s="2"/>
      <c r="G140" s="2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3">
      <c r="A141" s="1"/>
      <c r="B141" s="2"/>
      <c r="C141" s="2"/>
      <c r="D141" s="2"/>
      <c r="E141" s="2"/>
      <c r="F141" s="2"/>
      <c r="G141" s="2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3">
      <c r="A142" s="1"/>
      <c r="B142" s="2"/>
      <c r="C142" s="2"/>
      <c r="D142" s="2"/>
      <c r="E142" s="2"/>
      <c r="F142" s="2"/>
      <c r="G142" s="2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3">
      <c r="A143" s="1"/>
      <c r="B143" s="2"/>
      <c r="C143" s="2"/>
      <c r="D143" s="2"/>
      <c r="E143" s="2"/>
      <c r="F143" s="2"/>
      <c r="G143" s="2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3">
      <c r="A144" s="1"/>
      <c r="B144" s="2"/>
      <c r="C144" s="2"/>
      <c r="D144" s="2"/>
      <c r="E144" s="2"/>
      <c r="F144" s="2"/>
      <c r="G144" s="2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3">
      <c r="A145" s="1"/>
      <c r="B145" s="2"/>
      <c r="C145" s="2"/>
      <c r="D145" s="2"/>
      <c r="E145" s="2"/>
      <c r="F145" s="2"/>
      <c r="G145" s="2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3">
      <c r="A146" s="1"/>
      <c r="B146" s="2"/>
      <c r="C146" s="2"/>
      <c r="D146" s="2"/>
      <c r="E146" s="2"/>
      <c r="F146" s="2"/>
      <c r="G146" s="2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3">
      <c r="A147" s="1"/>
      <c r="B147" s="2"/>
      <c r="C147" s="2"/>
      <c r="D147" s="2"/>
      <c r="E147" s="2"/>
      <c r="F147" s="2"/>
      <c r="G147" s="2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3">
      <c r="A148" s="1"/>
      <c r="B148" s="2"/>
      <c r="C148" s="2"/>
      <c r="D148" s="2"/>
      <c r="E148" s="2"/>
      <c r="F148" s="2"/>
      <c r="G148" s="2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3">
      <c r="A149" s="1"/>
      <c r="B149" s="2"/>
      <c r="C149" s="2"/>
      <c r="D149" s="2"/>
      <c r="E149" s="2"/>
      <c r="F149" s="2"/>
      <c r="G149" s="2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3">
      <c r="A150" s="1"/>
      <c r="B150" s="2"/>
      <c r="C150" s="2"/>
      <c r="D150" s="2"/>
      <c r="E150" s="2"/>
      <c r="F150" s="2"/>
      <c r="G150" s="2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3">
      <c r="A151" s="1"/>
      <c r="B151" s="2"/>
      <c r="C151" s="2"/>
      <c r="D151" s="2"/>
      <c r="E151" s="2"/>
      <c r="F151" s="2"/>
      <c r="G151" s="2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3">
      <c r="A152" s="1"/>
      <c r="B152" s="2"/>
      <c r="C152" s="2"/>
      <c r="D152" s="2"/>
      <c r="E152" s="2"/>
      <c r="F152" s="2"/>
      <c r="G152" s="2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3">
      <c r="A153" s="1"/>
      <c r="B153" s="2"/>
      <c r="C153" s="2"/>
      <c r="D153" s="2"/>
      <c r="E153" s="2"/>
      <c r="F153" s="2"/>
      <c r="G153" s="2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3">
      <c r="A154" s="1"/>
      <c r="B154" s="2"/>
      <c r="C154" s="2"/>
      <c r="D154" s="2"/>
      <c r="E154" s="2"/>
      <c r="F154" s="2"/>
      <c r="G154" s="2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3">
      <c r="A155" s="1"/>
      <c r="B155" s="2"/>
      <c r="C155" s="2"/>
      <c r="D155" s="2"/>
      <c r="E155" s="2"/>
      <c r="F155" s="2"/>
      <c r="G155" s="2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3">
      <c r="A156" s="1"/>
      <c r="B156" s="2"/>
      <c r="C156" s="2"/>
      <c r="D156" s="2"/>
      <c r="E156" s="2"/>
      <c r="F156" s="2"/>
      <c r="G156" s="2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3">
      <c r="A157" s="1"/>
      <c r="B157" s="2"/>
      <c r="C157" s="2"/>
      <c r="D157" s="2"/>
      <c r="E157" s="2"/>
      <c r="F157" s="2"/>
      <c r="G157" s="2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3">
      <c r="A158" s="1"/>
      <c r="B158" s="2"/>
      <c r="C158" s="2"/>
      <c r="D158" s="2"/>
      <c r="E158" s="2"/>
      <c r="F158" s="2"/>
      <c r="G158" s="2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3">
      <c r="A159" s="1"/>
      <c r="B159" s="2"/>
      <c r="C159" s="2"/>
      <c r="D159" s="2"/>
      <c r="E159" s="2"/>
      <c r="F159" s="2"/>
      <c r="G159" s="2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3">
      <c r="A160" s="1"/>
      <c r="B160" s="2"/>
      <c r="C160" s="2"/>
      <c r="D160" s="2"/>
      <c r="E160" s="2"/>
      <c r="F160" s="2"/>
      <c r="G160" s="2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3">
      <c r="A161" s="1"/>
      <c r="B161" s="2"/>
      <c r="C161" s="2"/>
      <c r="D161" s="2"/>
      <c r="E161" s="2"/>
      <c r="F161" s="2"/>
      <c r="G161" s="2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3">
      <c r="A162" s="1"/>
      <c r="B162" s="2"/>
      <c r="C162" s="2"/>
      <c r="D162" s="2"/>
      <c r="E162" s="2"/>
      <c r="F162" s="2"/>
      <c r="G162" s="2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3">
      <c r="A163" s="1"/>
      <c r="B163" s="2"/>
      <c r="C163" s="2"/>
      <c r="D163" s="2"/>
      <c r="E163" s="2"/>
      <c r="F163" s="2"/>
      <c r="G163" s="2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3">
      <c r="A164" s="1"/>
      <c r="B164" s="2"/>
      <c r="C164" s="2"/>
      <c r="D164" s="2"/>
      <c r="E164" s="2"/>
      <c r="F164" s="2"/>
      <c r="G164" s="2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3">
      <c r="A165" s="1"/>
      <c r="B165" s="2"/>
      <c r="C165" s="2"/>
      <c r="D165" s="2"/>
      <c r="E165" s="2"/>
      <c r="F165" s="2"/>
      <c r="G165" s="2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3">
      <c r="A166" s="1"/>
      <c r="B166" s="2"/>
      <c r="C166" s="2"/>
      <c r="D166" s="2"/>
      <c r="E166" s="2"/>
      <c r="F166" s="2"/>
      <c r="G166" s="2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3">
      <c r="A167" s="1"/>
      <c r="B167" s="2"/>
      <c r="C167" s="2"/>
      <c r="D167" s="2"/>
      <c r="E167" s="2"/>
      <c r="F167" s="2"/>
      <c r="G167" s="2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3">
      <c r="A168" s="1"/>
      <c r="B168" s="2"/>
      <c r="C168" s="2"/>
      <c r="D168" s="2"/>
      <c r="E168" s="2"/>
      <c r="F168" s="2"/>
      <c r="G168" s="2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3">
      <c r="A169" s="1"/>
      <c r="B169" s="2"/>
      <c r="C169" s="2"/>
      <c r="D169" s="2"/>
      <c r="E169" s="2"/>
      <c r="F169" s="2"/>
      <c r="G169" s="2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3">
      <c r="A170" s="1"/>
      <c r="B170" s="2"/>
      <c r="C170" s="2"/>
      <c r="D170" s="2"/>
      <c r="E170" s="2"/>
      <c r="F170" s="2"/>
      <c r="G170" s="2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3">
      <c r="A171" s="1"/>
      <c r="B171" s="2"/>
      <c r="C171" s="2"/>
      <c r="D171" s="2"/>
      <c r="E171" s="2"/>
      <c r="F171" s="2"/>
      <c r="G171" s="2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3">
      <c r="A172" s="1"/>
      <c r="B172" s="2"/>
      <c r="C172" s="2"/>
      <c r="D172" s="2"/>
      <c r="E172" s="2"/>
      <c r="F172" s="2"/>
      <c r="G172" s="2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3">
      <c r="A173" s="1"/>
      <c r="B173" s="2"/>
      <c r="C173" s="2"/>
      <c r="D173" s="2"/>
      <c r="E173" s="2"/>
      <c r="F173" s="2"/>
      <c r="G173" s="2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3">
      <c r="A174" s="1"/>
      <c r="B174" s="2"/>
      <c r="C174" s="2"/>
      <c r="D174" s="2"/>
      <c r="E174" s="2"/>
      <c r="F174" s="2"/>
      <c r="G174" s="2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3">
      <c r="A175" s="1"/>
      <c r="B175" s="2"/>
      <c r="C175" s="2"/>
      <c r="D175" s="2"/>
      <c r="E175" s="2"/>
      <c r="F175" s="2"/>
      <c r="G175" s="2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3">
      <c r="A176" s="1"/>
      <c r="B176" s="2"/>
      <c r="C176" s="2"/>
      <c r="D176" s="2"/>
      <c r="E176" s="2"/>
      <c r="F176" s="2"/>
      <c r="G176" s="2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3">
      <c r="A177" s="1"/>
      <c r="B177" s="2"/>
      <c r="C177" s="2"/>
      <c r="D177" s="2"/>
      <c r="E177" s="2"/>
      <c r="F177" s="2"/>
      <c r="G177" s="2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3">
      <c r="A178" s="1"/>
      <c r="B178" s="2"/>
      <c r="C178" s="2"/>
      <c r="D178" s="2"/>
      <c r="E178" s="2"/>
      <c r="F178" s="2"/>
      <c r="G178" s="2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3">
      <c r="A179" s="1"/>
      <c r="B179" s="2"/>
      <c r="C179" s="2"/>
      <c r="D179" s="2"/>
      <c r="E179" s="2"/>
      <c r="F179" s="2"/>
      <c r="G179" s="2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3">
      <c r="A180" s="1"/>
      <c r="B180" s="2"/>
      <c r="C180" s="2"/>
      <c r="D180" s="2"/>
      <c r="E180" s="2"/>
      <c r="F180" s="2"/>
      <c r="G180" s="2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3">
      <c r="A181" s="1"/>
      <c r="B181" s="2"/>
      <c r="C181" s="2"/>
      <c r="D181" s="2"/>
      <c r="E181" s="2"/>
      <c r="F181" s="2"/>
      <c r="G181" s="2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3">
      <c r="A182" s="1"/>
      <c r="B182" s="2"/>
      <c r="C182" s="2"/>
      <c r="D182" s="2"/>
      <c r="E182" s="2"/>
      <c r="F182" s="2"/>
      <c r="G182" s="2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3">
      <c r="A183" s="1"/>
      <c r="B183" s="2"/>
      <c r="C183" s="2"/>
      <c r="D183" s="2"/>
      <c r="E183" s="2"/>
      <c r="F183" s="2"/>
      <c r="G183" s="2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3">
      <c r="A184" s="1"/>
      <c r="B184" s="2"/>
      <c r="C184" s="2"/>
      <c r="D184" s="2"/>
      <c r="E184" s="2"/>
      <c r="F184" s="2"/>
      <c r="G184" s="2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3">
      <c r="A185" s="1"/>
      <c r="B185" s="2"/>
      <c r="C185" s="2"/>
      <c r="D185" s="2"/>
      <c r="E185" s="2"/>
      <c r="F185" s="2"/>
      <c r="G185" s="2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3">
      <c r="A186" s="1"/>
      <c r="B186" s="2"/>
      <c r="C186" s="2"/>
      <c r="D186" s="2"/>
      <c r="E186" s="2"/>
      <c r="F186" s="2"/>
      <c r="G186" s="2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3">
      <c r="A187" s="1"/>
      <c r="B187" s="2"/>
      <c r="C187" s="2"/>
      <c r="D187" s="2"/>
      <c r="E187" s="2"/>
      <c r="F187" s="2"/>
      <c r="G187" s="2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3">
      <c r="A188" s="1"/>
      <c r="B188" s="2"/>
      <c r="C188" s="2"/>
      <c r="D188" s="2"/>
      <c r="E188" s="2"/>
      <c r="F188" s="2"/>
      <c r="G188" s="2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3">
      <c r="A189" s="1"/>
      <c r="B189" s="2"/>
      <c r="C189" s="2"/>
      <c r="D189" s="2"/>
      <c r="E189" s="2"/>
      <c r="F189" s="2"/>
      <c r="G189" s="2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3">
      <c r="A190" s="1"/>
      <c r="B190" s="2"/>
      <c r="C190" s="2"/>
      <c r="D190" s="2"/>
      <c r="E190" s="2"/>
      <c r="F190" s="2"/>
      <c r="G190" s="2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3">
      <c r="A191" s="1"/>
      <c r="B191" s="2"/>
      <c r="C191" s="2"/>
      <c r="D191" s="2"/>
      <c r="E191" s="2"/>
      <c r="F191" s="2"/>
      <c r="G191" s="2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3">
      <c r="A192" s="1"/>
      <c r="B192" s="2"/>
      <c r="C192" s="2"/>
      <c r="D192" s="2"/>
      <c r="E192" s="2"/>
      <c r="F192" s="2"/>
      <c r="G192" s="2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3">
      <c r="A193" s="1"/>
      <c r="B193" s="2"/>
      <c r="C193" s="2"/>
      <c r="D193" s="2"/>
      <c r="E193" s="2"/>
      <c r="F193" s="2"/>
      <c r="G193" s="2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3">
      <c r="A194" s="1"/>
      <c r="B194" s="2"/>
      <c r="C194" s="2"/>
      <c r="D194" s="2"/>
      <c r="E194" s="2"/>
      <c r="F194" s="2"/>
      <c r="G194" s="2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3">
      <c r="A195" s="1"/>
      <c r="B195" s="2"/>
      <c r="C195" s="2"/>
      <c r="D195" s="2"/>
      <c r="E195" s="2"/>
      <c r="F195" s="2"/>
      <c r="G195" s="2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3">
      <c r="A196" s="1"/>
      <c r="B196" s="2"/>
      <c r="C196" s="2"/>
      <c r="D196" s="2"/>
      <c r="E196" s="2"/>
      <c r="F196" s="2"/>
      <c r="G196" s="2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3">
      <c r="A197" s="1"/>
      <c r="B197" s="2"/>
      <c r="C197" s="2"/>
      <c r="D197" s="2"/>
      <c r="E197" s="2"/>
      <c r="F197" s="2"/>
      <c r="G197" s="2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3">
      <c r="A198" s="1"/>
      <c r="B198" s="2"/>
      <c r="C198" s="2"/>
      <c r="D198" s="2"/>
      <c r="E198" s="2"/>
      <c r="F198" s="2"/>
      <c r="G198" s="2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3">
      <c r="A199" s="1"/>
      <c r="B199" s="2"/>
      <c r="C199" s="2"/>
      <c r="D199" s="2"/>
      <c r="E199" s="2"/>
      <c r="F199" s="2"/>
      <c r="G199" s="2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3">
      <c r="A200" s="1"/>
      <c r="B200" s="2"/>
      <c r="C200" s="2"/>
      <c r="D200" s="2"/>
      <c r="E200" s="2"/>
      <c r="F200" s="2"/>
      <c r="G200" s="2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Assumptions</vt:lpstr>
      <vt:lpstr>Income Statement</vt:lpstr>
      <vt:lpstr>Balance Sheet</vt:lpstr>
      <vt:lpstr>Cash Flow</vt:lpstr>
      <vt:lpstr>Checks</vt:lpstr>
      <vt:lpstr>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Prashanth K</dc:creator>
  <cp:lastModifiedBy>Prashanth K</cp:lastModifiedBy>
  <dcterms:created xsi:type="dcterms:W3CDTF">2026-06-15T14:00:08Z</dcterms:created>
  <dcterms:modified xsi:type="dcterms:W3CDTF">2026-06-20T11:45:07Z</dcterms:modified>
</cp:coreProperties>
</file>