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6BFEF7E38DA6C85/Documents/"/>
    </mc:Choice>
  </mc:AlternateContent>
  <xr:revisionPtr revIDLastSave="13690" documentId="8_{34A2F944-0BDA-47E6-AEA4-33024793F569}" xr6:coauthVersionLast="47" xr6:coauthVersionMax="47" xr10:uidLastSave="{20CB7C61-6229-4250-8B79-BDF54168AF64}"/>
  <bookViews>
    <workbookView xWindow="-108" yWindow="-108" windowWidth="23256" windowHeight="12456" firstSheet="2" activeTab="2" xr2:uid="{03A0F045-799D-4584-8E01-16CD3F9B061E}"/>
  </bookViews>
  <sheets>
    <sheet name="Historical" sheetId="1" r:id="rId1"/>
    <sheet name="Model" sheetId="17" r:id="rId2"/>
    <sheet name="Scenarios" sheetId="33" r:id="rId3"/>
    <sheet name="Comps Valuation" sheetId="34" r:id="rId4"/>
    <sheet name="Market Returns" sheetId="22" r:id="rId5"/>
    <sheet name="Company Beta" sheetId="26" r:id="rId6"/>
    <sheet name="WACC" sheetId="24" r:id="rId7"/>
    <sheet name="Valuation Summary" sheetId="21" r:id="rId8"/>
    <sheet name="Sheet1" sheetId="35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2" i="21" l="1"/>
  <c r="E20" i="21"/>
  <c r="D20" i="21"/>
  <c r="C20" i="21"/>
  <c r="B20" i="21"/>
  <c r="E19" i="21"/>
  <c r="D19" i="21"/>
  <c r="E18" i="21"/>
  <c r="D18" i="21"/>
  <c r="E17" i="21"/>
  <c r="D17" i="21"/>
  <c r="E16" i="21"/>
  <c r="D16" i="21"/>
  <c r="F166" i="17"/>
  <c r="N150" i="17"/>
  <c r="K156" i="17"/>
  <c r="K152" i="17"/>
  <c r="K151" i="17"/>
  <c r="K150" i="17"/>
  <c r="E154" i="17"/>
  <c r="E156" i="17" s="1"/>
  <c r="N151" i="17" s="1"/>
  <c r="N152" i="17" s="1"/>
  <c r="E152" i="17"/>
  <c r="C25" i="34"/>
  <c r="E25" i="34" s="1"/>
  <c r="G25" i="34" s="1"/>
  <c r="E26" i="34"/>
  <c r="G26" i="34" s="1"/>
  <c r="C26" i="34"/>
  <c r="C24" i="34"/>
  <c r="E24" i="34" s="1"/>
  <c r="G24" i="34" s="1"/>
  <c r="O21" i="34"/>
  <c r="N21" i="34"/>
  <c r="E21" i="34"/>
  <c r="P21" i="34" s="1"/>
  <c r="P19" i="34"/>
  <c r="O19" i="34"/>
  <c r="N19" i="34"/>
  <c r="P18" i="34"/>
  <c r="O18" i="34"/>
  <c r="N18" i="34"/>
  <c r="H16" i="34"/>
  <c r="O16" i="34" s="1"/>
  <c r="E16" i="34"/>
  <c r="P16" i="34" s="1"/>
  <c r="N15" i="34"/>
  <c r="H15" i="34"/>
  <c r="O15" i="34" s="1"/>
  <c r="E15" i="34"/>
  <c r="P15" i="34" s="1"/>
  <c r="O14" i="34"/>
  <c r="N14" i="34"/>
  <c r="H14" i="34"/>
  <c r="E14" i="34"/>
  <c r="P14" i="34" s="1"/>
  <c r="E13" i="34"/>
  <c r="P13" i="34" s="1"/>
  <c r="H12" i="34"/>
  <c r="O12" i="34" s="1"/>
  <c r="E12" i="34"/>
  <c r="P12" i="34" s="1"/>
  <c r="N11" i="34"/>
  <c r="H11" i="34"/>
  <c r="O11" i="34" s="1"/>
  <c r="E11" i="34"/>
  <c r="P11" i="34" s="1"/>
  <c r="O10" i="34"/>
  <c r="N10" i="34"/>
  <c r="H10" i="34"/>
  <c r="E10" i="34"/>
  <c r="P10" i="34" s="1"/>
  <c r="E9" i="34"/>
  <c r="H9" i="34" s="1"/>
  <c r="H8" i="34"/>
  <c r="O8" i="34" s="1"/>
  <c r="E8" i="34"/>
  <c r="P8" i="34" s="1"/>
  <c r="N7" i="34"/>
  <c r="H7" i="34"/>
  <c r="O7" i="34" s="1"/>
  <c r="E7" i="34"/>
  <c r="P7" i="34" s="1"/>
  <c r="H6" i="34"/>
  <c r="J6" i="34" s="1"/>
  <c r="G6" i="17"/>
  <c r="M5" i="33"/>
  <c r="N5" i="33" s="1"/>
  <c r="O5" i="33" s="1"/>
  <c r="P5" i="33" s="1"/>
  <c r="M6" i="33"/>
  <c r="N6" i="33" s="1"/>
  <c r="O6" i="33" s="1"/>
  <c r="P6" i="33" s="1"/>
  <c r="M4" i="33"/>
  <c r="N4" i="33" s="1"/>
  <c r="O4" i="33" s="1"/>
  <c r="P4" i="33" s="1"/>
  <c r="H134" i="17"/>
  <c r="I134" i="17" s="1"/>
  <c r="I136" i="17" s="1"/>
  <c r="G134" i="17"/>
  <c r="I135" i="17"/>
  <c r="J135" i="17" s="1"/>
  <c r="K135" i="17" s="1"/>
  <c r="L135" i="17" s="1"/>
  <c r="M135" i="17" s="1"/>
  <c r="D122" i="17"/>
  <c r="H16" i="26"/>
  <c r="H15" i="26"/>
  <c r="E66" i="26"/>
  <c r="E65" i="26"/>
  <c r="E64" i="26"/>
  <c r="E63" i="26"/>
  <c r="E62" i="26"/>
  <c r="E61" i="26"/>
  <c r="E60" i="26"/>
  <c r="E59" i="26"/>
  <c r="E58" i="26"/>
  <c r="E57" i="26"/>
  <c r="E56" i="26"/>
  <c r="E55" i="26"/>
  <c r="E54" i="26"/>
  <c r="E53" i="26"/>
  <c r="E52" i="26"/>
  <c r="E51" i="26"/>
  <c r="E50" i="26"/>
  <c r="E49" i="26"/>
  <c r="E48" i="26"/>
  <c r="E47" i="26"/>
  <c r="E46" i="26"/>
  <c r="E45" i="26"/>
  <c r="E44" i="26"/>
  <c r="E43" i="26"/>
  <c r="E42" i="26"/>
  <c r="E41" i="26"/>
  <c r="E40" i="26"/>
  <c r="E39" i="26"/>
  <c r="E38" i="26"/>
  <c r="E37" i="26"/>
  <c r="E36" i="26"/>
  <c r="E35" i="26"/>
  <c r="E34" i="26"/>
  <c r="E33" i="26"/>
  <c r="E32" i="26"/>
  <c r="E31" i="26"/>
  <c r="E30" i="26"/>
  <c r="E29" i="26"/>
  <c r="E28" i="26"/>
  <c r="E27" i="26"/>
  <c r="E26" i="26"/>
  <c r="E25" i="26"/>
  <c r="E24" i="26"/>
  <c r="E23" i="26"/>
  <c r="E22" i="26"/>
  <c r="E21" i="26"/>
  <c r="E20" i="26"/>
  <c r="E19" i="26"/>
  <c r="E18" i="26"/>
  <c r="E17" i="26"/>
  <c r="E16" i="26"/>
  <c r="E15" i="26"/>
  <c r="E14" i="26"/>
  <c r="E13" i="26"/>
  <c r="E12" i="26"/>
  <c r="E11" i="26"/>
  <c r="E10" i="26"/>
  <c r="E9" i="26"/>
  <c r="E8" i="26"/>
  <c r="I14" i="26" s="1"/>
  <c r="E7" i="26"/>
  <c r="C66" i="26"/>
  <c r="C65" i="26"/>
  <c r="C64" i="26"/>
  <c r="C63" i="26"/>
  <c r="C62" i="26"/>
  <c r="C61" i="26"/>
  <c r="C60" i="26"/>
  <c r="C59" i="26"/>
  <c r="C58" i="26"/>
  <c r="C57" i="26"/>
  <c r="C56" i="26"/>
  <c r="C55" i="26"/>
  <c r="C54" i="26"/>
  <c r="C53" i="26"/>
  <c r="C52" i="26"/>
  <c r="C51" i="26"/>
  <c r="C50" i="26"/>
  <c r="C49" i="26"/>
  <c r="C48" i="26"/>
  <c r="C47" i="26"/>
  <c r="C46" i="26"/>
  <c r="C45" i="26"/>
  <c r="C44" i="26"/>
  <c r="C43" i="26"/>
  <c r="C42" i="26"/>
  <c r="C41" i="26"/>
  <c r="C40" i="26"/>
  <c r="C39" i="26"/>
  <c r="C38" i="26"/>
  <c r="C37" i="26"/>
  <c r="C36" i="26"/>
  <c r="C35" i="26"/>
  <c r="C34" i="26"/>
  <c r="C33" i="26"/>
  <c r="C32" i="26"/>
  <c r="C31" i="26"/>
  <c r="C30" i="26"/>
  <c r="C29" i="26"/>
  <c r="C28" i="26"/>
  <c r="C27" i="26"/>
  <c r="C26" i="26"/>
  <c r="C25" i="26"/>
  <c r="C24" i="26"/>
  <c r="C23" i="26"/>
  <c r="C22" i="26"/>
  <c r="C21" i="26"/>
  <c r="C20" i="26"/>
  <c r="C19" i="26"/>
  <c r="C18" i="26"/>
  <c r="C17" i="26"/>
  <c r="C16" i="26"/>
  <c r="C15" i="26"/>
  <c r="C14" i="26"/>
  <c r="C13" i="26"/>
  <c r="C12" i="26"/>
  <c r="C11" i="26"/>
  <c r="C10" i="26"/>
  <c r="C9" i="26"/>
  <c r="C8" i="26"/>
  <c r="C7" i="26"/>
  <c r="K43" i="24"/>
  <c r="K45" i="24" s="1"/>
  <c r="K38" i="24"/>
  <c r="K33" i="24"/>
  <c r="K32" i="24"/>
  <c r="K31" i="24"/>
  <c r="K27" i="24"/>
  <c r="K26" i="24"/>
  <c r="K19" i="24"/>
  <c r="J19" i="24"/>
  <c r="I19" i="24"/>
  <c r="K18" i="24"/>
  <c r="J18" i="24"/>
  <c r="I18" i="24"/>
  <c r="F5" i="22"/>
  <c r="P87" i="17"/>
  <c r="O87" i="17"/>
  <c r="N87" i="17"/>
  <c r="M87" i="17"/>
  <c r="L87" i="17"/>
  <c r="K28" i="17"/>
  <c r="K29" i="17"/>
  <c r="K31" i="17"/>
  <c r="K33" i="17"/>
  <c r="K34" i="17"/>
  <c r="K168" i="1"/>
  <c r="L168" i="1" s="1"/>
  <c r="K169" i="1"/>
  <c r="L169" i="1" s="1"/>
  <c r="K167" i="1"/>
  <c r="L167" i="1" s="1"/>
  <c r="O174" i="1"/>
  <c r="P174" i="1" s="1"/>
  <c r="N175" i="1"/>
  <c r="N177" i="1" s="1"/>
  <c r="M175" i="1"/>
  <c r="M177" i="1" s="1"/>
  <c r="L175" i="1"/>
  <c r="L177" i="1" s="1"/>
  <c r="D6" i="17"/>
  <c r="F17" i="17"/>
  <c r="F16" i="17" s="1"/>
  <c r="K113" i="17"/>
  <c r="J113" i="17"/>
  <c r="J115" i="17" s="1"/>
  <c r="K103" i="17"/>
  <c r="J103" i="17"/>
  <c r="I103" i="17"/>
  <c r="H103" i="17"/>
  <c r="K102" i="17"/>
  <c r="J102" i="17"/>
  <c r="I102" i="17"/>
  <c r="H102" i="17"/>
  <c r="K101" i="17"/>
  <c r="J101" i="17"/>
  <c r="I101" i="17"/>
  <c r="H101" i="17"/>
  <c r="K100" i="17"/>
  <c r="J100" i="17"/>
  <c r="I100" i="17"/>
  <c r="H100" i="17"/>
  <c r="G103" i="17"/>
  <c r="G102" i="17"/>
  <c r="G101" i="17"/>
  <c r="G100" i="17"/>
  <c r="K90" i="17"/>
  <c r="J90" i="17"/>
  <c r="I90" i="17"/>
  <c r="H90" i="17"/>
  <c r="K89" i="17"/>
  <c r="J89" i="17"/>
  <c r="I89" i="17"/>
  <c r="H89" i="17"/>
  <c r="K88" i="17"/>
  <c r="J88" i="17"/>
  <c r="I88" i="17"/>
  <c r="H88" i="17"/>
  <c r="K87" i="17"/>
  <c r="K91" i="17" s="1"/>
  <c r="J87" i="17"/>
  <c r="I87" i="17"/>
  <c r="I91" i="17" s="1"/>
  <c r="H87" i="17"/>
  <c r="H91" i="17" s="1"/>
  <c r="G90" i="17"/>
  <c r="G89" i="17"/>
  <c r="G88" i="17"/>
  <c r="G87" i="17"/>
  <c r="K83" i="17"/>
  <c r="J83" i="17"/>
  <c r="I83" i="17"/>
  <c r="H83" i="17"/>
  <c r="K82" i="17"/>
  <c r="J82" i="17"/>
  <c r="I82" i="17"/>
  <c r="H82" i="17"/>
  <c r="K81" i="17"/>
  <c r="J81" i="17"/>
  <c r="I81" i="17"/>
  <c r="H81" i="17"/>
  <c r="K80" i="17"/>
  <c r="J80" i="17"/>
  <c r="I80" i="17"/>
  <c r="H80" i="17"/>
  <c r="K79" i="17"/>
  <c r="J79" i="17"/>
  <c r="I79" i="17"/>
  <c r="H79" i="17"/>
  <c r="K78" i="17"/>
  <c r="K84" i="17" s="1"/>
  <c r="J78" i="17"/>
  <c r="J84" i="17" s="1"/>
  <c r="I78" i="17"/>
  <c r="H78" i="17"/>
  <c r="G83" i="17"/>
  <c r="G82" i="17"/>
  <c r="G81" i="17"/>
  <c r="G80" i="17"/>
  <c r="G79" i="17"/>
  <c r="G78" i="17"/>
  <c r="K72" i="17"/>
  <c r="K109" i="17" s="1"/>
  <c r="J72" i="17"/>
  <c r="I72" i="17"/>
  <c r="I109" i="17" s="1"/>
  <c r="H72" i="17"/>
  <c r="G72" i="17"/>
  <c r="G109" i="17" s="1"/>
  <c r="K71" i="17"/>
  <c r="J71" i="17"/>
  <c r="I71" i="17"/>
  <c r="H71" i="17"/>
  <c r="G71" i="17"/>
  <c r="K64" i="17"/>
  <c r="L64" i="17" s="1"/>
  <c r="M64" i="17" s="1"/>
  <c r="N64" i="17" s="1"/>
  <c r="O64" i="17" s="1"/>
  <c r="P64" i="17" s="1"/>
  <c r="J64" i="17"/>
  <c r="I64" i="17"/>
  <c r="H64" i="17"/>
  <c r="K63" i="17"/>
  <c r="J63" i="17"/>
  <c r="I63" i="17"/>
  <c r="H63" i="17"/>
  <c r="G64" i="17"/>
  <c r="G63" i="17"/>
  <c r="K61" i="17"/>
  <c r="L61" i="17" s="1"/>
  <c r="M61" i="17" s="1"/>
  <c r="N61" i="17" s="1"/>
  <c r="O61" i="17" s="1"/>
  <c r="P61" i="17" s="1"/>
  <c r="J61" i="17"/>
  <c r="I61" i="17"/>
  <c r="H61" i="17"/>
  <c r="K60" i="17"/>
  <c r="K115" i="17" s="1"/>
  <c r="L113" i="17" s="1"/>
  <c r="J60" i="17"/>
  <c r="I60" i="17"/>
  <c r="H60" i="17"/>
  <c r="H115" i="17" s="1"/>
  <c r="K58" i="17"/>
  <c r="L58" i="17" s="1"/>
  <c r="M58" i="17" s="1"/>
  <c r="N58" i="17" s="1"/>
  <c r="O58" i="17" s="1"/>
  <c r="P58" i="17" s="1"/>
  <c r="J58" i="17"/>
  <c r="I58" i="17"/>
  <c r="H58" i="17"/>
  <c r="G61" i="17"/>
  <c r="G60" i="17"/>
  <c r="G115" i="17" s="1"/>
  <c r="H113" i="17" s="1"/>
  <c r="G58" i="17"/>
  <c r="K57" i="17"/>
  <c r="J57" i="17"/>
  <c r="I57" i="17"/>
  <c r="H57" i="17"/>
  <c r="G57" i="17"/>
  <c r="K52" i="17"/>
  <c r="L52" i="17" s="1"/>
  <c r="M52" i="17" s="1"/>
  <c r="N52" i="17" s="1"/>
  <c r="O52" i="17" s="1"/>
  <c r="P52" i="17" s="1"/>
  <c r="J52" i="17"/>
  <c r="I52" i="17"/>
  <c r="H52" i="17"/>
  <c r="K51" i="17"/>
  <c r="L51" i="17" s="1"/>
  <c r="M51" i="17" s="1"/>
  <c r="N51" i="17" s="1"/>
  <c r="O51" i="17" s="1"/>
  <c r="P51" i="17" s="1"/>
  <c r="J51" i="17"/>
  <c r="I51" i="17"/>
  <c r="H51" i="17"/>
  <c r="K50" i="17"/>
  <c r="L50" i="17" s="1"/>
  <c r="M50" i="17" s="1"/>
  <c r="N50" i="17" s="1"/>
  <c r="O50" i="17" s="1"/>
  <c r="P50" i="17" s="1"/>
  <c r="J50" i="17"/>
  <c r="I50" i="17"/>
  <c r="H50" i="17"/>
  <c r="K49" i="17"/>
  <c r="J49" i="17"/>
  <c r="J110" i="17" s="1"/>
  <c r="I49" i="17"/>
  <c r="I110" i="17" s="1"/>
  <c r="H49" i="17"/>
  <c r="G52" i="17"/>
  <c r="G51" i="17"/>
  <c r="G50" i="17"/>
  <c r="G49" i="17"/>
  <c r="G110" i="17" s="1"/>
  <c r="H107" i="17" s="1"/>
  <c r="H46" i="17"/>
  <c r="I46" i="17"/>
  <c r="J46" i="17"/>
  <c r="K46" i="17"/>
  <c r="L46" i="17" s="1"/>
  <c r="M46" i="17" s="1"/>
  <c r="N46" i="17" s="1"/>
  <c r="O46" i="17" s="1"/>
  <c r="P46" i="17" s="1"/>
  <c r="G46" i="17"/>
  <c r="K45" i="17"/>
  <c r="J45" i="17"/>
  <c r="I45" i="17"/>
  <c r="H45" i="17"/>
  <c r="K44" i="17"/>
  <c r="J44" i="17"/>
  <c r="I44" i="17"/>
  <c r="H44" i="17"/>
  <c r="K43" i="17"/>
  <c r="L43" i="17" s="1"/>
  <c r="M43" i="17" s="1"/>
  <c r="N43" i="17" s="1"/>
  <c r="O43" i="17" s="1"/>
  <c r="P43" i="17" s="1"/>
  <c r="J43" i="17"/>
  <c r="I43" i="17"/>
  <c r="H43" i="17"/>
  <c r="K42" i="17"/>
  <c r="J42" i="17"/>
  <c r="I42" i="17"/>
  <c r="H42" i="17"/>
  <c r="G45" i="17"/>
  <c r="G44" i="17"/>
  <c r="G43" i="17"/>
  <c r="G42" i="17"/>
  <c r="J34" i="17"/>
  <c r="I34" i="17"/>
  <c r="H34" i="17"/>
  <c r="J33" i="17"/>
  <c r="J116" i="17" s="1"/>
  <c r="I33" i="17"/>
  <c r="I116" i="17" s="1"/>
  <c r="H33" i="17"/>
  <c r="J31" i="17"/>
  <c r="I31" i="17"/>
  <c r="H31" i="17"/>
  <c r="J29" i="17"/>
  <c r="I29" i="17"/>
  <c r="H29" i="17"/>
  <c r="J28" i="17"/>
  <c r="I28" i="17"/>
  <c r="H28" i="17"/>
  <c r="G34" i="17"/>
  <c r="G33" i="17"/>
  <c r="G116" i="17" s="1"/>
  <c r="G31" i="17"/>
  <c r="G29" i="17"/>
  <c r="G28" i="17"/>
  <c r="G25" i="17"/>
  <c r="G18" i="17" s="1"/>
  <c r="K25" i="17"/>
  <c r="J25" i="17"/>
  <c r="J18" i="17" s="1"/>
  <c r="I25" i="17"/>
  <c r="I18" i="17" s="1"/>
  <c r="H25" i="17"/>
  <c r="H18" i="17" s="1"/>
  <c r="H24" i="17"/>
  <c r="I24" i="17"/>
  <c r="J24" i="17"/>
  <c r="K24" i="17"/>
  <c r="G24" i="17"/>
  <c r="K177" i="1"/>
  <c r="J177" i="1"/>
  <c r="I177" i="1"/>
  <c r="H177" i="1"/>
  <c r="G177" i="1"/>
  <c r="F177" i="1"/>
  <c r="E177" i="1"/>
  <c r="I170" i="1"/>
  <c r="J170" i="1"/>
  <c r="H170" i="1"/>
  <c r="J158" i="1"/>
  <c r="I158" i="1"/>
  <c r="H158" i="1"/>
  <c r="G158" i="1"/>
  <c r="F158" i="1"/>
  <c r="J149" i="1"/>
  <c r="I149" i="1"/>
  <c r="H149" i="1"/>
  <c r="G149" i="1"/>
  <c r="F149" i="1"/>
  <c r="J134" i="1"/>
  <c r="K74" i="17" s="1"/>
  <c r="I134" i="1"/>
  <c r="J74" i="17" s="1"/>
  <c r="H134" i="1"/>
  <c r="I74" i="17" s="1"/>
  <c r="G134" i="1"/>
  <c r="H74" i="17" s="1"/>
  <c r="F134" i="1"/>
  <c r="G74" i="17" s="1"/>
  <c r="J126" i="1"/>
  <c r="J127" i="1" s="1"/>
  <c r="I126" i="1"/>
  <c r="I127" i="1" s="1"/>
  <c r="H126" i="1"/>
  <c r="H127" i="1" s="1"/>
  <c r="G126" i="1"/>
  <c r="G127" i="1" s="1"/>
  <c r="G135" i="1" s="1"/>
  <c r="G137" i="1" s="1"/>
  <c r="F126" i="1"/>
  <c r="G73" i="17" s="1"/>
  <c r="J86" i="1"/>
  <c r="I86" i="1"/>
  <c r="H86" i="1"/>
  <c r="G86" i="1"/>
  <c r="J72" i="1"/>
  <c r="J74" i="1" s="1"/>
  <c r="I72" i="1"/>
  <c r="I74" i="1" s="1"/>
  <c r="H72" i="1"/>
  <c r="H74" i="1" s="1"/>
  <c r="G72" i="1"/>
  <c r="G74" i="1" s="1"/>
  <c r="F72" i="1"/>
  <c r="F74" i="1" s="1"/>
  <c r="J63" i="1"/>
  <c r="J65" i="1" s="1"/>
  <c r="I63" i="1"/>
  <c r="I65" i="1" s="1"/>
  <c r="H63" i="1"/>
  <c r="H65" i="1" s="1"/>
  <c r="G63" i="1"/>
  <c r="G65" i="1" s="1"/>
  <c r="F63" i="1"/>
  <c r="F65" i="1" s="1"/>
  <c r="G52" i="1"/>
  <c r="H52" i="1"/>
  <c r="I52" i="1"/>
  <c r="J52" i="1"/>
  <c r="F52" i="1"/>
  <c r="E20" i="1"/>
  <c r="J28" i="1"/>
  <c r="K36" i="17" s="1"/>
  <c r="I28" i="1"/>
  <c r="J36" i="17" s="1"/>
  <c r="H28" i="1"/>
  <c r="I36" i="17" s="1"/>
  <c r="G28" i="1"/>
  <c r="H36" i="17" s="1"/>
  <c r="F28" i="1"/>
  <c r="G36" i="17" s="1"/>
  <c r="G18" i="1"/>
  <c r="H18" i="1"/>
  <c r="I18" i="1"/>
  <c r="J18" i="1"/>
  <c r="F18" i="1"/>
  <c r="G8" i="1"/>
  <c r="G20" i="1" s="1"/>
  <c r="G22" i="1" s="1"/>
  <c r="G30" i="1" s="1"/>
  <c r="G32" i="1" s="1"/>
  <c r="H8" i="1"/>
  <c r="I8" i="1"/>
  <c r="J8" i="1"/>
  <c r="F8" i="1"/>
  <c r="O9" i="34" l="1"/>
  <c r="N9" i="34"/>
  <c r="P9" i="34"/>
  <c r="N8" i="34"/>
  <c r="N12" i="34"/>
  <c r="H13" i="34"/>
  <c r="N16" i="34"/>
  <c r="L6" i="34"/>
  <c r="K6" i="34"/>
  <c r="J135" i="1"/>
  <c r="J137" i="1" s="1"/>
  <c r="J160" i="1" s="1"/>
  <c r="J163" i="1" s="1"/>
  <c r="K95" i="17" s="1"/>
  <c r="L94" i="17" s="1"/>
  <c r="G160" i="1"/>
  <c r="G163" i="1" s="1"/>
  <c r="H95" i="17" s="1"/>
  <c r="F127" i="1"/>
  <c r="F135" i="1" s="1"/>
  <c r="F137" i="1" s="1"/>
  <c r="F160" i="1" s="1"/>
  <c r="F163" i="1" s="1"/>
  <c r="G95" i="17" s="1"/>
  <c r="H19" i="26"/>
  <c r="I20" i="26"/>
  <c r="H136" i="17"/>
  <c r="H20" i="1"/>
  <c r="H22" i="1" s="1"/>
  <c r="H30" i="1" s="1"/>
  <c r="H32" i="1" s="1"/>
  <c r="K47" i="24"/>
  <c r="H1" i="26"/>
  <c r="L115" i="17"/>
  <c r="L170" i="1"/>
  <c r="H73" i="17"/>
  <c r="H75" i="17" s="1"/>
  <c r="J20" i="1"/>
  <c r="J22" i="1" s="1"/>
  <c r="J30" i="1" s="1"/>
  <c r="J32" i="1" s="1"/>
  <c r="K73" i="17"/>
  <c r="H9" i="26"/>
  <c r="I19" i="26"/>
  <c r="M19" i="26" s="1"/>
  <c r="H135" i="1"/>
  <c r="H137" i="1" s="1"/>
  <c r="H160" i="1" s="1"/>
  <c r="H163" i="1" s="1"/>
  <c r="I95" i="17" s="1"/>
  <c r="I73" i="17"/>
  <c r="I75" i="17" s="1"/>
  <c r="H6" i="26"/>
  <c r="I15" i="26"/>
  <c r="J15" i="26" s="1"/>
  <c r="H20" i="26"/>
  <c r="F20" i="1"/>
  <c r="F22" i="1" s="1"/>
  <c r="F30" i="1" s="1"/>
  <c r="F32" i="1" s="1"/>
  <c r="I135" i="1"/>
  <c r="I137" i="1" s="1"/>
  <c r="I160" i="1" s="1"/>
  <c r="I163" i="1" s="1"/>
  <c r="J95" i="17" s="1"/>
  <c r="J73" i="17"/>
  <c r="J75" i="17" s="1"/>
  <c r="H7" i="26"/>
  <c r="H8" i="26" s="1"/>
  <c r="J134" i="17"/>
  <c r="J136" i="17" s="1"/>
  <c r="J14" i="26"/>
  <c r="I104" i="17"/>
  <c r="J91" i="17"/>
  <c r="G9" i="17"/>
  <c r="K9" i="17"/>
  <c r="K10" i="17"/>
  <c r="K12" i="17"/>
  <c r="K13" i="17"/>
  <c r="J17" i="17"/>
  <c r="G19" i="17"/>
  <c r="G13" i="17"/>
  <c r="H9" i="17"/>
  <c r="H13" i="17"/>
  <c r="G17" i="17"/>
  <c r="K16" i="17"/>
  <c r="K17" i="17"/>
  <c r="J16" i="17"/>
  <c r="I19" i="17"/>
  <c r="J8" i="17"/>
  <c r="K8" i="17"/>
  <c r="I9" i="17"/>
  <c r="I10" i="17"/>
  <c r="I13" i="17"/>
  <c r="H16" i="17"/>
  <c r="H17" i="17"/>
  <c r="K19" i="17"/>
  <c r="L19" i="17" s="1"/>
  <c r="M19" i="17" s="1"/>
  <c r="N19" i="17" s="1"/>
  <c r="O19" i="17" s="1"/>
  <c r="P19" i="17" s="1"/>
  <c r="J7" i="17"/>
  <c r="K7" i="17"/>
  <c r="J9" i="17"/>
  <c r="J10" i="17"/>
  <c r="J13" i="17"/>
  <c r="I16" i="17"/>
  <c r="I17" i="17"/>
  <c r="H10" i="17"/>
  <c r="G16" i="17"/>
  <c r="I7" i="17"/>
  <c r="I8" i="17"/>
  <c r="H11" i="17"/>
  <c r="H12" i="17"/>
  <c r="J19" i="17"/>
  <c r="H7" i="17"/>
  <c r="G8" i="17"/>
  <c r="H8" i="17"/>
  <c r="K18" i="17"/>
  <c r="L18" i="17" s="1"/>
  <c r="M18" i="17" s="1"/>
  <c r="N18" i="17" s="1"/>
  <c r="O18" i="17" s="1"/>
  <c r="P18" i="17" s="1"/>
  <c r="G10" i="17"/>
  <c r="J12" i="17"/>
  <c r="H19" i="17"/>
  <c r="H84" i="17"/>
  <c r="G62" i="17"/>
  <c r="G65" i="17" s="1"/>
  <c r="G84" i="17"/>
  <c r="G91" i="17"/>
  <c r="K114" i="17"/>
  <c r="I84" i="17"/>
  <c r="G26" i="17"/>
  <c r="G30" i="17" s="1"/>
  <c r="G32" i="17" s="1"/>
  <c r="G35" i="17" s="1"/>
  <c r="G37" i="17" s="1"/>
  <c r="G15" i="17" s="1"/>
  <c r="K104" i="17"/>
  <c r="I26" i="17"/>
  <c r="I30" i="17" s="1"/>
  <c r="I32" i="17" s="1"/>
  <c r="I35" i="17" s="1"/>
  <c r="G104" i="17"/>
  <c r="G75" i="17"/>
  <c r="J26" i="17"/>
  <c r="J30" i="17" s="1"/>
  <c r="J32" i="17" s="1"/>
  <c r="J35" i="17" s="1"/>
  <c r="I113" i="17"/>
  <c r="I115" i="17" s="1"/>
  <c r="H114" i="17"/>
  <c r="J107" i="17"/>
  <c r="J11" i="17" s="1"/>
  <c r="K107" i="17"/>
  <c r="K11" i="17" s="1"/>
  <c r="H116" i="17"/>
  <c r="G53" i="17"/>
  <c r="K53" i="17"/>
  <c r="J62" i="17"/>
  <c r="J65" i="17" s="1"/>
  <c r="J104" i="17"/>
  <c r="K26" i="17"/>
  <c r="K30" i="17" s="1"/>
  <c r="K32" i="17" s="1"/>
  <c r="K35" i="17" s="1"/>
  <c r="K37" i="17" s="1"/>
  <c r="H53" i="17"/>
  <c r="K62" i="17"/>
  <c r="K65" i="17" s="1"/>
  <c r="K75" i="17"/>
  <c r="K93" i="17" s="1"/>
  <c r="K94" i="17" s="1"/>
  <c r="H109" i="17"/>
  <c r="J109" i="17"/>
  <c r="K110" i="17"/>
  <c r="L107" i="17" s="1"/>
  <c r="K116" i="17"/>
  <c r="H110" i="17"/>
  <c r="I107" i="17" s="1"/>
  <c r="I108" i="17" s="1"/>
  <c r="H26" i="17"/>
  <c r="H30" i="17" s="1"/>
  <c r="H32" i="17" s="1"/>
  <c r="H35" i="17" s="1"/>
  <c r="I53" i="17"/>
  <c r="H62" i="17"/>
  <c r="H65" i="17" s="1"/>
  <c r="H104" i="17"/>
  <c r="J53" i="17"/>
  <c r="I62" i="17"/>
  <c r="I65" i="17" s="1"/>
  <c r="H66" i="1"/>
  <c r="F66" i="1"/>
  <c r="G66" i="1"/>
  <c r="J66" i="1"/>
  <c r="I66" i="1"/>
  <c r="I20" i="1"/>
  <c r="I22" i="1" s="1"/>
  <c r="I30" i="1" s="1"/>
  <c r="I32" i="1" s="1"/>
  <c r="O13" i="34" l="1"/>
  <c r="N13" i="34"/>
  <c r="L19" i="26"/>
  <c r="G19" i="24"/>
  <c r="H18" i="24"/>
  <c r="K14" i="26"/>
  <c r="L14" i="26" s="1"/>
  <c r="J19" i="26"/>
  <c r="K19" i="26" s="1"/>
  <c r="I16" i="26"/>
  <c r="K134" i="17"/>
  <c r="L134" i="17" s="1"/>
  <c r="L20" i="26"/>
  <c r="J20" i="26"/>
  <c r="K20" i="26" s="1"/>
  <c r="M20" i="26"/>
  <c r="L60" i="17"/>
  <c r="M113" i="17"/>
  <c r="H19" i="24"/>
  <c r="G18" i="24"/>
  <c r="T9" i="17"/>
  <c r="T8" i="17"/>
  <c r="T10" i="17"/>
  <c r="J93" i="17"/>
  <c r="J94" i="17" s="1"/>
  <c r="L17" i="17"/>
  <c r="M17" i="17" s="1"/>
  <c r="N17" i="17" s="1"/>
  <c r="O17" i="17" s="1"/>
  <c r="P17" i="17" s="1"/>
  <c r="L9" i="17"/>
  <c r="K14" i="17"/>
  <c r="L13" i="17"/>
  <c r="L16" i="17"/>
  <c r="M16" i="17" s="1"/>
  <c r="N16" i="17" s="1"/>
  <c r="O16" i="17" s="1"/>
  <c r="P16" i="17" s="1"/>
  <c r="H14" i="17"/>
  <c r="J37" i="17"/>
  <c r="J15" i="17" s="1"/>
  <c r="J14" i="17"/>
  <c r="I11" i="17"/>
  <c r="L11" i="17" s="1"/>
  <c r="L31" i="17" s="1"/>
  <c r="I14" i="17"/>
  <c r="L10" i="17"/>
  <c r="L8" i="17"/>
  <c r="I12" i="17"/>
  <c r="L12" i="17" s="1"/>
  <c r="G14" i="17"/>
  <c r="I67" i="17"/>
  <c r="H93" i="17"/>
  <c r="H94" i="17" s="1"/>
  <c r="G67" i="17"/>
  <c r="G93" i="17"/>
  <c r="G94" i="17" s="1"/>
  <c r="I93" i="17"/>
  <c r="I94" i="17" s="1"/>
  <c r="K15" i="17"/>
  <c r="H37" i="17"/>
  <c r="H15" i="17" s="1"/>
  <c r="H67" i="17"/>
  <c r="I37" i="17"/>
  <c r="I15" i="17" s="1"/>
  <c r="K67" i="17"/>
  <c r="J67" i="17"/>
  <c r="J108" i="17"/>
  <c r="H108" i="17"/>
  <c r="K108" i="17"/>
  <c r="L109" i="17" l="1"/>
  <c r="K136" i="17"/>
  <c r="M115" i="17"/>
  <c r="M108" i="17"/>
  <c r="L108" i="17"/>
  <c r="O108" i="17"/>
  <c r="P108" i="17"/>
  <c r="N108" i="17"/>
  <c r="L33" i="17"/>
  <c r="L116" i="17"/>
  <c r="H141" i="17"/>
  <c r="L72" i="17"/>
  <c r="U8" i="17" a="1"/>
  <c r="M134" i="17"/>
  <c r="L136" i="17"/>
  <c r="M12" i="17"/>
  <c r="M33" i="17" s="1"/>
  <c r="M11" i="17"/>
  <c r="M8" i="17"/>
  <c r="M13" i="17"/>
  <c r="M10" i="17"/>
  <c r="M9" i="17"/>
  <c r="L15" i="17"/>
  <c r="M15" i="17" s="1"/>
  <c r="N15" i="17" s="1"/>
  <c r="O15" i="17" s="1"/>
  <c r="P15" i="17" s="1"/>
  <c r="L14" i="17"/>
  <c r="M14" i="17" s="1"/>
  <c r="N14" i="17" s="1"/>
  <c r="O14" i="17" s="1"/>
  <c r="P14" i="17" s="1"/>
  <c r="U8" i="17" l="1"/>
  <c r="V10" i="17"/>
  <c r="W10" i="17" s="1"/>
  <c r="X10" i="17" s="1"/>
  <c r="Y10" i="17" s="1"/>
  <c r="V9" i="17"/>
  <c r="W9" i="17" s="1"/>
  <c r="X9" i="17" s="1"/>
  <c r="Y9" i="17" s="1"/>
  <c r="J142" i="17"/>
  <c r="N78" i="17"/>
  <c r="I142" i="17"/>
  <c r="M78" i="17"/>
  <c r="L142" i="17"/>
  <c r="P78" i="17"/>
  <c r="M60" i="17"/>
  <c r="N113" i="17"/>
  <c r="K142" i="17"/>
  <c r="O78" i="17"/>
  <c r="M116" i="17"/>
  <c r="H142" i="17"/>
  <c r="L78" i="17"/>
  <c r="L110" i="17"/>
  <c r="N9" i="17"/>
  <c r="N13" i="17"/>
  <c r="N11" i="17"/>
  <c r="N10" i="17"/>
  <c r="N8" i="17"/>
  <c r="N12" i="17"/>
  <c r="N33" i="17" s="1"/>
  <c r="N115" i="17" l="1"/>
  <c r="N116" i="17"/>
  <c r="L49" i="17"/>
  <c r="M107" i="17"/>
  <c r="V8" i="17"/>
  <c r="W8" i="17" s="1"/>
  <c r="X8" i="17" s="1"/>
  <c r="Y8" i="17" s="1"/>
  <c r="L7" i="17" a="1"/>
  <c r="L7" i="17" s="1"/>
  <c r="L24" i="17" s="1"/>
  <c r="O12" i="17"/>
  <c r="O10" i="17"/>
  <c r="O13" i="17"/>
  <c r="O8" i="17"/>
  <c r="O11" i="17"/>
  <c r="O9" i="17"/>
  <c r="L44" i="17" l="1"/>
  <c r="L100" i="17" s="1"/>
  <c r="M24" i="17"/>
  <c r="L29" i="17"/>
  <c r="L25" i="17"/>
  <c r="L34" i="17"/>
  <c r="L28" i="17"/>
  <c r="M109" i="17"/>
  <c r="M110" i="17" s="1"/>
  <c r="M31" i="17"/>
  <c r="O113" i="17"/>
  <c r="N60" i="17"/>
  <c r="P9" i="17"/>
  <c r="P8" i="17"/>
  <c r="P10" i="17"/>
  <c r="P11" i="17"/>
  <c r="P13" i="17"/>
  <c r="P12" i="17"/>
  <c r="L45" i="17" l="1"/>
  <c r="L101" i="17" s="1"/>
  <c r="L57" i="17"/>
  <c r="N107" i="17"/>
  <c r="M49" i="17"/>
  <c r="L26" i="17"/>
  <c r="L30" i="17" s="1"/>
  <c r="M44" i="17"/>
  <c r="M100" i="17" s="1"/>
  <c r="N24" i="17"/>
  <c r="M34" i="17"/>
  <c r="M29" i="17"/>
  <c r="M25" i="17"/>
  <c r="M28" i="17"/>
  <c r="I141" i="17"/>
  <c r="M72" i="17"/>
  <c r="O116" i="17"/>
  <c r="O115" i="17"/>
  <c r="O33" i="17"/>
  <c r="L73" i="17"/>
  <c r="L82" i="17"/>
  <c r="L84" i="17" s="1"/>
  <c r="O24" i="17" l="1"/>
  <c r="N44" i="17"/>
  <c r="N100" i="17" s="1"/>
  <c r="N29" i="17"/>
  <c r="N25" i="17"/>
  <c r="N34" i="17"/>
  <c r="N28" i="17"/>
  <c r="M57" i="17"/>
  <c r="M45" i="17"/>
  <c r="M101" i="17" s="1"/>
  <c r="N109" i="17"/>
  <c r="N110" i="17"/>
  <c r="N31" i="17"/>
  <c r="L102" i="17"/>
  <c r="L104" i="17" s="1"/>
  <c r="L62" i="17"/>
  <c r="O60" i="17"/>
  <c r="P113" i="17"/>
  <c r="M26" i="17"/>
  <c r="M30" i="17" s="1"/>
  <c r="M32" i="17" s="1"/>
  <c r="M73" i="17"/>
  <c r="M82" i="17"/>
  <c r="M84" i="17" s="1"/>
  <c r="M146" i="17"/>
  <c r="R136" i="17" s="1"/>
  <c r="L32" i="17"/>
  <c r="P115" i="17" l="1"/>
  <c r="P60" i="17" s="1"/>
  <c r="P116" i="17"/>
  <c r="P33" i="17"/>
  <c r="M102" i="17"/>
  <c r="M104" i="17" s="1"/>
  <c r="M62" i="17"/>
  <c r="N49" i="17"/>
  <c r="O107" i="17"/>
  <c r="J141" i="17"/>
  <c r="N72" i="17"/>
  <c r="N45" i="17"/>
  <c r="N101" i="17" s="1"/>
  <c r="N57" i="17"/>
  <c r="N26" i="17"/>
  <c r="N30" i="17" s="1"/>
  <c r="N32" i="17" s="1"/>
  <c r="L35" i="17"/>
  <c r="L36" i="17" s="1"/>
  <c r="L37" i="17" s="1"/>
  <c r="H138" i="17"/>
  <c r="H139" i="17" s="1"/>
  <c r="H140" i="17" s="1"/>
  <c r="I138" i="17"/>
  <c r="I139" i="17" s="1"/>
  <c r="I140" i="17" s="1"/>
  <c r="M35" i="17"/>
  <c r="M36" i="17" s="1"/>
  <c r="M37" i="17" s="1"/>
  <c r="L74" i="17"/>
  <c r="H143" i="17"/>
  <c r="N73" i="17"/>
  <c r="N82" i="17"/>
  <c r="N84" i="17" s="1"/>
  <c r="O44" i="17"/>
  <c r="O100" i="17" s="1"/>
  <c r="P24" i="17"/>
  <c r="O34" i="17"/>
  <c r="O25" i="17"/>
  <c r="O26" i="17" s="1"/>
  <c r="O28" i="17"/>
  <c r="O29" i="17"/>
  <c r="O30" i="17" l="1"/>
  <c r="O73" i="17"/>
  <c r="O82" i="17"/>
  <c r="O84" i="17" s="1"/>
  <c r="N62" i="17"/>
  <c r="N102" i="17"/>
  <c r="N104" i="17" s="1"/>
  <c r="O109" i="17"/>
  <c r="O110" i="17" s="1"/>
  <c r="O31" i="17"/>
  <c r="P44" i="17"/>
  <c r="P100" i="17" s="1"/>
  <c r="P29" i="17"/>
  <c r="P34" i="17"/>
  <c r="P28" i="17"/>
  <c r="P25" i="17"/>
  <c r="H144" i="17"/>
  <c r="H146" i="17" s="1"/>
  <c r="L71" i="17"/>
  <c r="L75" i="17" s="1"/>
  <c r="L89" i="17"/>
  <c r="L91" i="17" s="1"/>
  <c r="O57" i="17"/>
  <c r="O45" i="17"/>
  <c r="O101" i="17" s="1"/>
  <c r="M71" i="17"/>
  <c r="M89" i="17"/>
  <c r="M91" i="17" s="1"/>
  <c r="J138" i="17"/>
  <c r="N35" i="17"/>
  <c r="N36" i="17" s="1"/>
  <c r="N37" i="17" s="1"/>
  <c r="M74" i="17"/>
  <c r="M75" i="17" s="1"/>
  <c r="I143" i="17"/>
  <c r="I144" i="17" s="1"/>
  <c r="I146" i="17" s="1"/>
  <c r="L63" i="17" l="1"/>
  <c r="J139" i="17"/>
  <c r="J140" i="17" s="1"/>
  <c r="O102" i="17"/>
  <c r="O104" i="17" s="1"/>
  <c r="O62" i="17"/>
  <c r="P73" i="17"/>
  <c r="P82" i="17"/>
  <c r="P84" i="17" s="1"/>
  <c r="P57" i="17"/>
  <c r="P45" i="17"/>
  <c r="P101" i="17" s="1"/>
  <c r="M93" i="17"/>
  <c r="J143" i="17"/>
  <c r="N74" i="17"/>
  <c r="O49" i="17"/>
  <c r="P107" i="17"/>
  <c r="M63" i="17"/>
  <c r="L65" i="17"/>
  <c r="N89" i="17"/>
  <c r="N91" i="17" s="1"/>
  <c r="N71" i="17"/>
  <c r="L93" i="17"/>
  <c r="L95" i="17" s="1"/>
  <c r="K153" i="17" s="1"/>
  <c r="K154" i="17" s="1"/>
  <c r="P26" i="17"/>
  <c r="P30" i="17" s="1"/>
  <c r="K141" i="17"/>
  <c r="O72" i="17"/>
  <c r="O32" i="17"/>
  <c r="N75" i="17" l="1"/>
  <c r="N93" i="17" s="1"/>
  <c r="P102" i="17"/>
  <c r="P104" i="17" s="1"/>
  <c r="P62" i="17"/>
  <c r="O74" i="17"/>
  <c r="K143" i="17"/>
  <c r="K138" i="17"/>
  <c r="O35" i="17"/>
  <c r="O36" i="17" s="1"/>
  <c r="O37" i="17" s="1"/>
  <c r="M94" i="17"/>
  <c r="M95" i="17" s="1"/>
  <c r="L42" i="17"/>
  <c r="L53" i="17" s="1"/>
  <c r="M65" i="17"/>
  <c r="N63" i="17"/>
  <c r="J144" i="17"/>
  <c r="J146" i="17" s="1"/>
  <c r="P109" i="17"/>
  <c r="P110" i="17" s="1"/>
  <c r="P49" i="17" s="1"/>
  <c r="P31" i="17"/>
  <c r="L141" i="17" l="1"/>
  <c r="P72" i="17"/>
  <c r="N65" i="17"/>
  <c r="K139" i="17"/>
  <c r="K140" i="17" s="1"/>
  <c r="K144" i="17" s="1"/>
  <c r="K146" i="17" s="1"/>
  <c r="P74" i="17"/>
  <c r="L143" i="17"/>
  <c r="O71" i="17"/>
  <c r="O75" i="17" s="1"/>
  <c r="O89" i="17"/>
  <c r="O91" i="17" s="1"/>
  <c r="M42" i="17"/>
  <c r="M53" i="17" s="1"/>
  <c r="M67" i="17" s="1"/>
  <c r="N94" i="17"/>
  <c r="N95" i="17" s="1"/>
  <c r="P32" i="17"/>
  <c r="O63" i="17" l="1"/>
  <c r="P35" i="17"/>
  <c r="P36" i="17" s="1"/>
  <c r="P37" i="17" s="1"/>
  <c r="L138" i="17"/>
  <c r="O93" i="17"/>
  <c r="O94" i="17"/>
  <c r="N42" i="17"/>
  <c r="N53" i="17" s="1"/>
  <c r="N67" i="17" s="1"/>
  <c r="L139" i="17" l="1"/>
  <c r="L140" i="17" s="1"/>
  <c r="L144" i="17" s="1"/>
  <c r="L146" i="17" s="1"/>
  <c r="R134" i="17"/>
  <c r="O95" i="17"/>
  <c r="O42" i="17" s="1"/>
  <c r="O53" i="17" s="1"/>
  <c r="P89" i="17"/>
  <c r="P91" i="17" s="1"/>
  <c r="P71" i="17"/>
  <c r="P75" i="17" s="1"/>
  <c r="P94" i="17"/>
  <c r="O65" i="17"/>
  <c r="I168" i="17" l="1" a="1"/>
  <c r="I168" i="17" s="1"/>
  <c r="H179" i="17" a="1"/>
  <c r="H179" i="17" s="1"/>
  <c r="J169" i="17" a="1"/>
  <c r="J169" i="17" s="1"/>
  <c r="I172" i="17" a="1"/>
  <c r="I172" i="17" s="1"/>
  <c r="J180" i="17" a="1"/>
  <c r="J180" i="17" s="1"/>
  <c r="H178" i="17" a="1"/>
  <c r="H178" i="17" s="1"/>
  <c r="K170" i="17" a="1"/>
  <c r="K170" i="17" s="1"/>
  <c r="J168" i="17" a="1"/>
  <c r="J168" i="17" s="1"/>
  <c r="G171" i="17" a="1"/>
  <c r="G171" i="17" s="1"/>
  <c r="I180" i="17" a="1"/>
  <c r="I180" i="17" s="1"/>
  <c r="H171" i="17" a="1"/>
  <c r="H171" i="17" s="1"/>
  <c r="G178" i="17" a="1"/>
  <c r="G178" i="17" s="1"/>
  <c r="H172" i="17" a="1"/>
  <c r="H172" i="17" s="1"/>
  <c r="I171" i="17" a="1"/>
  <c r="I171" i="17" s="1"/>
  <c r="I170" i="17" a="1"/>
  <c r="I170" i="17" s="1"/>
  <c r="H181" i="17" a="1"/>
  <c r="H181" i="17" s="1"/>
  <c r="G180" i="17" a="1"/>
  <c r="G180" i="17" s="1"/>
  <c r="I178" i="17" a="1"/>
  <c r="I178" i="17" s="1"/>
  <c r="H168" i="17" a="1"/>
  <c r="H168" i="17" s="1"/>
  <c r="G172" i="17" a="1"/>
  <c r="G172" i="17" s="1"/>
  <c r="I179" i="17" a="1"/>
  <c r="I179" i="17" s="1"/>
  <c r="G170" i="17" a="1"/>
  <c r="G170" i="17" s="1"/>
  <c r="H182" i="17" a="1"/>
  <c r="H182" i="17" s="1"/>
  <c r="G168" i="17" a="1"/>
  <c r="G168" i="17" s="1"/>
  <c r="J179" i="17" a="1"/>
  <c r="J179" i="17" s="1"/>
  <c r="H170" i="17" a="1"/>
  <c r="H170" i="17" s="1"/>
  <c r="J172" i="17" a="1"/>
  <c r="J172" i="17" s="1"/>
  <c r="K179" i="17" a="1"/>
  <c r="K179" i="17" s="1"/>
  <c r="J182" i="17" a="1"/>
  <c r="J182" i="17" s="1"/>
  <c r="K180" i="17" a="1"/>
  <c r="K180" i="17" s="1"/>
  <c r="J170" i="17" a="1"/>
  <c r="J170" i="17" s="1"/>
  <c r="K172" i="17" a="1"/>
  <c r="K172" i="17" s="1"/>
  <c r="J171" i="17" a="1"/>
  <c r="J171" i="17" s="1"/>
  <c r="K169" i="17" a="1"/>
  <c r="K169" i="17" s="1"/>
  <c r="I169" i="17" a="1"/>
  <c r="I169" i="17" s="1"/>
  <c r="K182" i="17" a="1"/>
  <c r="K182" i="17" s="1"/>
  <c r="J181" i="17" a="1"/>
  <c r="J181" i="17" s="1"/>
  <c r="K178" i="17" a="1"/>
  <c r="K178" i="17" s="1"/>
  <c r="H169" i="17" a="1"/>
  <c r="H169" i="17" s="1"/>
  <c r="K171" i="17" a="1"/>
  <c r="K171" i="17" s="1"/>
  <c r="J178" i="17" a="1"/>
  <c r="J178" i="17" s="1"/>
  <c r="R135" i="17"/>
  <c r="G169" i="17" a="1"/>
  <c r="G169" i="17" s="1"/>
  <c r="G179" i="17" a="1"/>
  <c r="G179" i="17" s="1"/>
  <c r="H180" i="17" a="1"/>
  <c r="H180" i="17" s="1"/>
  <c r="G181" i="17" a="1"/>
  <c r="G181" i="17" s="1"/>
  <c r="I181" i="17" a="1"/>
  <c r="I181" i="17" s="1"/>
  <c r="K181" i="17" a="1"/>
  <c r="K181" i="17" s="1"/>
  <c r="G182" i="17" a="1"/>
  <c r="G182" i="17" s="1"/>
  <c r="I182" i="17" a="1"/>
  <c r="I182" i="17" s="1"/>
  <c r="K168" i="17" a="1"/>
  <c r="K168" i="17" s="1"/>
  <c r="P63" i="17"/>
  <c r="P65" i="17" s="1"/>
  <c r="P93" i="17"/>
  <c r="P95" i="17" s="1"/>
  <c r="P42" i="17" s="1"/>
  <c r="P53" i="17" s="1"/>
  <c r="O67" i="17"/>
  <c r="P67" i="1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Prashanth K</author>
  </authors>
  <commentList>
    <comment ref="F56" authorId="0" shapeId="0" xr:uid="{3681F0A7-BFD7-48A5-B383-CFE13D93CDA2}">
      <text>
        <r>
          <rPr>
            <b/>
            <sz val="9"/>
            <color indexed="81"/>
            <rFont val="Tahoma"/>
            <family val="2"/>
          </rPr>
          <t>Prashanth K:</t>
        </r>
        <r>
          <rPr>
            <sz val="9"/>
            <color indexed="81"/>
            <rFont val="Tahoma"/>
            <family val="2"/>
          </rPr>
          <t xml:space="preserve">
Source: Alkem Laboratories Annual Report 2019-20, Consolidated Balance Sheet, Note 3.2, https://www.alkemlabs.com/pdf/annual-report/Annual_Report_2019-20-2.pdf</t>
        </r>
      </text>
    </comment>
    <comment ref="G56" authorId="0" shapeId="0" xr:uid="{3778B9A4-E8A4-452D-B70B-DE022BD0B352}">
      <text>
        <r>
          <rPr>
            <b/>
            <sz val="9"/>
            <color indexed="81"/>
            <rFont val="Tahoma"/>
            <family val="2"/>
          </rPr>
          <t>Prashanth K:</t>
        </r>
        <r>
          <rPr>
            <sz val="9"/>
            <color indexed="81"/>
            <rFont val="Tahoma"/>
            <family val="2"/>
          </rPr>
          <t xml:space="preserve">
Source: Alkem Laboratories Annual Report 2019-20, Consolidated Balance Sheet, Note 3.2, https://www.alkemlabs.com/pdf/annual-report/Annual_Report_2019-20-2.pdf</t>
        </r>
      </text>
    </comment>
    <comment ref="H56" authorId="0" shapeId="0" xr:uid="{1A1C12D3-4436-4DA9-974C-794CD8DBF2E4}">
      <text>
        <r>
          <rPr>
            <b/>
            <sz val="9"/>
            <color indexed="81"/>
            <rFont val="Tahoma"/>
            <family val="2"/>
          </rPr>
          <t>Prashanth K:</t>
        </r>
        <r>
          <rPr>
            <sz val="9"/>
            <color indexed="81"/>
            <rFont val="Tahoma"/>
            <family val="2"/>
          </rPr>
          <t xml:space="preserve">
Source: Alkem Laboratories Annual Report 2021-22, Consolidated Balance Sheet, Note 3.2, https://www.alkemlabs.com/pdf/annual-report/Annual%20Report%202021-22.pdf</t>
        </r>
      </text>
    </comment>
    <comment ref="I56" authorId="0" shapeId="0" xr:uid="{48E12572-66D4-4F6A-9219-C4AD523EDD15}">
      <text>
        <r>
          <rPr>
            <b/>
            <sz val="9"/>
            <color indexed="81"/>
            <rFont val="Tahoma"/>
            <family val="2"/>
          </rPr>
          <t>Prashanth K:</t>
        </r>
        <r>
          <rPr>
            <sz val="9"/>
            <color indexed="81"/>
            <rFont val="Tahoma"/>
            <family val="2"/>
          </rPr>
          <t xml:space="preserve">
Source: Alkem Laboratories Annual Report 2021-22, Consolidated Balance Sheet, Note 3.2, https://www.alkemlabs.com/pdf/annual-report/Annual%20Report%202021-22.pdf</t>
        </r>
      </text>
    </comment>
    <comment ref="J56" authorId="0" shapeId="0" xr:uid="{C13AE512-F943-49FC-BD60-A8FA7EB3979E}">
      <text>
        <r>
          <rPr>
            <b/>
            <sz val="9"/>
            <color indexed="81"/>
            <rFont val="Tahoma"/>
            <family val="2"/>
          </rPr>
          <t>Prashanth K:</t>
        </r>
        <r>
          <rPr>
            <sz val="9"/>
            <color indexed="81"/>
            <rFont val="Tahoma"/>
            <family val="2"/>
          </rPr>
          <t xml:space="preserve">
Source: Alkem Laboratories Consolidated Financial Statements 2023-24, Note 3.2, https://www.alkemlabs.com/investors/digital-annual-report-2023-24/pdf/consolidated-financial-statements.pdf</t>
        </r>
      </text>
    </comment>
    <comment ref="F57" authorId="0" shapeId="0" xr:uid="{A4CD4664-3CE2-4E5D-992F-BC4641A8F594}">
      <text>
        <r>
          <rPr>
            <b/>
            <sz val="9"/>
            <color indexed="81"/>
            <rFont val="Tahoma"/>
            <family val="2"/>
          </rPr>
          <t>Prashanth K:</t>
        </r>
        <r>
          <rPr>
            <sz val="9"/>
            <color indexed="81"/>
            <rFont val="Tahoma"/>
            <family val="2"/>
          </rPr>
          <t xml:space="preserve">
Source: Alkem Laboratories Annual Report 2019-20, Consolidated Balance Sheet, Note 3.8, https://www.alkemlabs.com/pdf/annual-report/Annual_Report_2019-20-2.pdf</t>
        </r>
      </text>
    </comment>
    <comment ref="G57" authorId="0" shapeId="0" xr:uid="{C23D64F6-128F-4E49-9D6A-4D83B7243B34}">
      <text>
        <r>
          <rPr>
            <b/>
            <sz val="9"/>
            <color indexed="81"/>
            <rFont val="Tahoma"/>
            <family val="2"/>
          </rPr>
          <t>Prashanth K:</t>
        </r>
        <r>
          <rPr>
            <sz val="9"/>
            <color indexed="81"/>
            <rFont val="Tahoma"/>
            <family val="2"/>
          </rPr>
          <t xml:space="preserve">
Source: Alkem Laboratories Annual Report 2019-20, Consolidated Balance Sheet, Note 3.8, https://www.alkemlabs.com/pdf/annual-report/Annual_Report_2019-20-2.pdf</t>
        </r>
      </text>
    </comment>
    <comment ref="H57" authorId="0" shapeId="0" xr:uid="{CE09C90C-811A-4B6C-91AE-FC8B68DDEFAA}">
      <text>
        <r>
          <rPr>
            <b/>
            <sz val="9"/>
            <color indexed="81"/>
            <rFont val="Tahoma"/>
            <family val="2"/>
          </rPr>
          <t>Prashanth K:</t>
        </r>
        <r>
          <rPr>
            <sz val="9"/>
            <color indexed="81"/>
            <rFont val="Tahoma"/>
            <family val="2"/>
          </rPr>
          <t xml:space="preserve">
Source: Alkem Laboratories Annual Report 2021-22, Consolidated Balance Sheet, Note 3.8, https://www.alkemlabs.com/pdf/annual-report/Annual%20Report%202021-22.pdf</t>
        </r>
      </text>
    </comment>
    <comment ref="I57" authorId="0" shapeId="0" xr:uid="{FE65DC42-B529-4013-BEE1-CB8487DEA43A}">
      <text>
        <r>
          <rPr>
            <b/>
            <sz val="9"/>
            <color indexed="81"/>
            <rFont val="Tahoma"/>
            <family val="2"/>
          </rPr>
          <t>Prashanth K:</t>
        </r>
        <r>
          <rPr>
            <sz val="9"/>
            <color indexed="81"/>
            <rFont val="Tahoma"/>
            <family val="2"/>
          </rPr>
          <t xml:space="preserve">
Source: Alkem Laboratories Annual Report 2021-22, Consolidated Balance Sheet, Note 3.8, https://www.alkemlabs.com/pdf/annual-report/Annual%20Report%202021-22.pdf</t>
        </r>
      </text>
    </comment>
    <comment ref="J57" authorId="0" shapeId="0" xr:uid="{3812A4C4-CF37-4123-B767-A7E7E1847729}">
      <text>
        <r>
          <rPr>
            <b/>
            <sz val="9"/>
            <color indexed="81"/>
            <rFont val="Tahoma"/>
            <family val="2"/>
          </rPr>
          <t>Prashanth K:</t>
        </r>
        <r>
          <rPr>
            <sz val="9"/>
            <color indexed="81"/>
            <rFont val="Tahoma"/>
            <family val="2"/>
          </rPr>
          <t xml:space="preserve">
Source: Alkem Laboratories Consolidated Financial Statements 2023-24, Note 3.8, https://www.alkemlabs.com/investors/digital-annual-report-2023-24/pdf/consolidated-financial-statements.pdf</t>
        </r>
      </text>
    </comment>
    <comment ref="F58" authorId="0" shapeId="0" xr:uid="{EB280603-07CC-4BFC-9C26-3DAEB5D31C61}">
      <text>
        <r>
          <rPr>
            <b/>
            <sz val="9"/>
            <color indexed="81"/>
            <rFont val="Tahoma"/>
            <family val="2"/>
          </rPr>
          <t>Prashanth K:</t>
        </r>
        <r>
          <rPr>
            <sz val="9"/>
            <color indexed="81"/>
            <rFont val="Tahoma"/>
            <family val="2"/>
          </rPr>
          <t xml:space="preserve">
Source: Alkem Laboratories Annual Report 2019-20, Consolidated Balance Sheet, Note 3.9, https://www.alkemlabs.com/pdf/annual-report/Annual_Report_2019-20-2.pdf</t>
        </r>
      </text>
    </comment>
    <comment ref="G58" authorId="0" shapeId="0" xr:uid="{EF14215F-64CB-4FDF-82CC-5DE8FDCEFF0E}">
      <text>
        <r>
          <rPr>
            <b/>
            <sz val="9"/>
            <color indexed="81"/>
            <rFont val="Tahoma"/>
            <family val="2"/>
          </rPr>
          <t>Prashanth K:</t>
        </r>
        <r>
          <rPr>
            <sz val="9"/>
            <color indexed="81"/>
            <rFont val="Tahoma"/>
            <family val="2"/>
          </rPr>
          <t xml:space="preserve">
Source: Alkem Laboratories Annual Report 2019-20, Consolidated Balance Sheet, Note 3.9, https://www.alkemlabs.com/pdf/annual-report/Annual_Report_2019-20-2.pdf</t>
        </r>
      </text>
    </comment>
    <comment ref="H58" authorId="0" shapeId="0" xr:uid="{FDE4EA03-AB46-4A9B-B7D2-0BB1B6EB0385}">
      <text>
        <r>
          <rPr>
            <b/>
            <sz val="9"/>
            <color indexed="81"/>
            <rFont val="Tahoma"/>
            <family val="2"/>
          </rPr>
          <t>Prashanth K:</t>
        </r>
        <r>
          <rPr>
            <sz val="9"/>
            <color indexed="81"/>
            <rFont val="Tahoma"/>
            <family val="2"/>
          </rPr>
          <t xml:space="preserve">
Source: Alkem Laboratories Annual Report 2021-22, Consolidated Balance Sheet, Note 3.9, https://www.alkemlabs.com/pdf/annual-report/Annual%20Report%202021-22.pdf</t>
        </r>
      </text>
    </comment>
    <comment ref="I58" authorId="0" shapeId="0" xr:uid="{CA626F23-457F-435D-BB17-6D0DAA39C63F}">
      <text>
        <r>
          <rPr>
            <b/>
            <sz val="9"/>
            <color indexed="81"/>
            <rFont val="Tahoma"/>
            <family val="2"/>
          </rPr>
          <t>Prashanth K:</t>
        </r>
        <r>
          <rPr>
            <sz val="9"/>
            <color indexed="81"/>
            <rFont val="Tahoma"/>
            <family val="2"/>
          </rPr>
          <t xml:space="preserve">
Source: Alkem Laboratories Annual Report 2021-22, Consolidated Balance Sheet, Note 3.9, https://www.alkemlabs.com/pdf/annual-report/Annual%20Report%202021-22.pdf</t>
        </r>
      </text>
    </comment>
    <comment ref="J58" authorId="0" shapeId="0" xr:uid="{D76DC381-4BC0-4F41-9F57-B9D54EADF192}">
      <text>
        <r>
          <rPr>
            <b/>
            <sz val="9"/>
            <color indexed="81"/>
            <rFont val="Tahoma"/>
            <family val="2"/>
          </rPr>
          <t>Prashanth K:</t>
        </r>
        <r>
          <rPr>
            <sz val="9"/>
            <color indexed="81"/>
            <rFont val="Tahoma"/>
            <family val="2"/>
          </rPr>
          <t xml:space="preserve">
Source: Alkem Laboratories Consolidated Financial Statements 2023-24, Note 3.9, https://www.alkemlabs.com/investors/digital-annual-report-2023-24/pdf/consolidated-financial-statements.pdf</t>
        </r>
      </text>
    </comment>
    <comment ref="F59" authorId="0" shapeId="0" xr:uid="{2A51B511-DD38-4133-A73C-830F74004F81}">
      <text>
        <r>
          <rPr>
            <b/>
            <sz val="9"/>
            <color indexed="81"/>
            <rFont val="Tahoma"/>
            <family val="2"/>
          </rPr>
          <t>Prashanth K:</t>
        </r>
        <r>
          <rPr>
            <sz val="9"/>
            <color indexed="81"/>
            <rFont val="Tahoma"/>
            <family val="2"/>
          </rPr>
          <t xml:space="preserve">
Source: Alkem Laboratories Annual Report 2019-20, Consolidated Balance Sheet, Note 3.10, https://www.alkemlabs.com/pdf/annual-report/Annual_Report_2019-20-2.pdf</t>
        </r>
      </text>
    </comment>
    <comment ref="G59" authorId="0" shapeId="0" xr:uid="{1E76BF35-3C9B-4728-A052-18DF05E80919}">
      <text>
        <r>
          <rPr>
            <b/>
            <sz val="9"/>
            <color indexed="81"/>
            <rFont val="Tahoma"/>
            <family val="2"/>
          </rPr>
          <t>Prashanth K:</t>
        </r>
        <r>
          <rPr>
            <sz val="9"/>
            <color indexed="81"/>
            <rFont val="Tahoma"/>
            <family val="2"/>
          </rPr>
          <t xml:space="preserve">
Source: Alkem Laboratories Annual Report 2019-20, Consolidated Balance Sheet, Note 3.10, https://www.alkemlabs.com/pdf/annual-report/Annual_Report_2019-20-2.pdf</t>
        </r>
      </text>
    </comment>
    <comment ref="H59" authorId="0" shapeId="0" xr:uid="{8F1BA382-D4DD-439F-A58C-808721B6D2C2}">
      <text>
        <r>
          <rPr>
            <b/>
            <sz val="9"/>
            <color indexed="81"/>
            <rFont val="Tahoma"/>
            <family val="2"/>
          </rPr>
          <t>Prashanth K:</t>
        </r>
        <r>
          <rPr>
            <sz val="9"/>
            <color indexed="81"/>
            <rFont val="Tahoma"/>
            <family val="2"/>
          </rPr>
          <t xml:space="preserve">
Source: Alkem Laboratories Annual Report 2021-22, Consolidated Balance Sheet, Note 3.10, https://www.alkemlabs.com/pdf/annual-report/Annual%20Report%202021-22.pdf</t>
        </r>
      </text>
    </comment>
    <comment ref="I59" authorId="0" shapeId="0" xr:uid="{7F7D85A1-5DD6-499A-A9EB-11D66204F0E0}">
      <text>
        <r>
          <rPr>
            <b/>
            <sz val="9"/>
            <color indexed="81"/>
            <rFont val="Tahoma"/>
            <family val="2"/>
          </rPr>
          <t>Prashanth K:</t>
        </r>
        <r>
          <rPr>
            <sz val="9"/>
            <color indexed="81"/>
            <rFont val="Tahoma"/>
            <family val="2"/>
          </rPr>
          <t xml:space="preserve">
Source: Alkem Laboratories Annual Report 2021-22, Consolidated Balance Sheet, Note 3.10, https://www.alkemlabs.com/pdf/annual-report/Annual%20Report%202021-22.pdf</t>
        </r>
      </text>
    </comment>
    <comment ref="J59" authorId="0" shapeId="0" xr:uid="{71E9B7C0-75B0-4262-B959-A513FFD72B0A}">
      <text>
        <r>
          <rPr>
            <b/>
            <sz val="9"/>
            <color indexed="81"/>
            <rFont val="Tahoma"/>
            <family val="2"/>
          </rPr>
          <t>Prashanth K:</t>
        </r>
        <r>
          <rPr>
            <sz val="9"/>
            <color indexed="81"/>
            <rFont val="Tahoma"/>
            <family val="2"/>
          </rPr>
          <t xml:space="preserve">
Source: Alkem Laboratories Consolidated Financial Statements 2023-24, Note 3.10, https://www.alkemlabs.com/investors/digital-annual-report-2023-24/pdf/consolidated-financial-statements.pdf</t>
        </r>
      </text>
    </comment>
    <comment ref="F60" authorId="0" shapeId="0" xr:uid="{EFE7D5F3-C8BB-4845-940C-4DDB39DAEEB1}">
      <text>
        <r>
          <rPr>
            <b/>
            <sz val="9"/>
            <color indexed="81"/>
            <rFont val="Tahoma"/>
            <family val="2"/>
          </rPr>
          <t>Prashanth K:</t>
        </r>
        <r>
          <rPr>
            <sz val="9"/>
            <color indexed="81"/>
            <rFont val="Tahoma"/>
            <family val="2"/>
          </rPr>
          <t xml:space="preserve">
Source: Alkem Laboratories Annual Report 2019-20, Consolidated Balance Sheet, Note 3.3, https://www.alkemlabs.com/pdf/annual-report/Annual_Report_2019-20-2.pdf</t>
        </r>
      </text>
    </comment>
    <comment ref="G60" authorId="0" shapeId="0" xr:uid="{501827E4-523A-4DEA-82AA-6EA0BC7587BA}">
      <text>
        <r>
          <rPr>
            <b/>
            <sz val="9"/>
            <color indexed="81"/>
            <rFont val="Tahoma"/>
            <family val="2"/>
          </rPr>
          <t>Prashanth K:</t>
        </r>
        <r>
          <rPr>
            <sz val="9"/>
            <color indexed="81"/>
            <rFont val="Tahoma"/>
            <family val="2"/>
          </rPr>
          <t xml:space="preserve">
Source: Alkem Laboratories Annual Report 2019-20, Consolidated Balance Sheet, Note 3.3, https://www.alkemlabs.com/pdf/annual-report/Annual_Report_2019-20-2.pdf</t>
        </r>
      </text>
    </comment>
    <comment ref="H60" authorId="0" shapeId="0" xr:uid="{FD60DB9F-A117-4451-B57B-68F2B275B500}">
      <text>
        <r>
          <rPr>
            <b/>
            <sz val="9"/>
            <color indexed="81"/>
            <rFont val="Tahoma"/>
            <family val="2"/>
          </rPr>
          <t>Prashanth K:</t>
        </r>
        <r>
          <rPr>
            <sz val="9"/>
            <color indexed="81"/>
            <rFont val="Tahoma"/>
            <family val="2"/>
          </rPr>
          <t xml:space="preserve">
Source: Alkem Laboratories Annual Report 2021-22, Consolidated Balance Sheet, Note 3.3, https://www.alkemlabs.com/pdf/annual-report/Annual%20Report%202021-22.pdf</t>
        </r>
      </text>
    </comment>
    <comment ref="I60" authorId="0" shapeId="0" xr:uid="{C6B15BF3-E6CD-4734-8C54-D780DFA7EE03}">
      <text>
        <r>
          <rPr>
            <b/>
            <sz val="9"/>
            <color indexed="81"/>
            <rFont val="Tahoma"/>
            <family val="2"/>
          </rPr>
          <t>Prashanth K:</t>
        </r>
        <r>
          <rPr>
            <sz val="9"/>
            <color indexed="81"/>
            <rFont val="Tahoma"/>
            <family val="2"/>
          </rPr>
          <t xml:space="preserve">
Source: Alkem Laboratories Annual Report 2021-22, Consolidated Balance Sheet, Note 3.3, https://www.alkemlabs.com/pdf/annual-report/Annual%20Report%202021-22.pdf</t>
        </r>
      </text>
    </comment>
    <comment ref="J60" authorId="0" shapeId="0" xr:uid="{82FDD41A-F479-42A3-80BD-5546A4CB63FC}">
      <text>
        <r>
          <rPr>
            <b/>
            <sz val="9"/>
            <color indexed="81"/>
            <rFont val="Tahoma"/>
            <family val="2"/>
          </rPr>
          <t>Prashanth K:</t>
        </r>
        <r>
          <rPr>
            <sz val="9"/>
            <color indexed="81"/>
            <rFont val="Tahoma"/>
            <family val="2"/>
          </rPr>
          <t xml:space="preserve">
Source: Alkem Laboratories Consolidated Financial Statements 2023-24, Note 3.3, https://www.alkemlabs.com/investors/digital-annual-report-2023-24/pdf/consolidated-financial-statements.pdf</t>
        </r>
      </text>
    </comment>
    <comment ref="F61" authorId="0" shapeId="0" xr:uid="{0BB02F1C-127B-45C9-B340-5C3D39709D01}">
      <text>
        <r>
          <rPr>
            <b/>
            <sz val="9"/>
            <color indexed="81"/>
            <rFont val="Tahoma"/>
            <family val="2"/>
          </rPr>
          <t>Prashanth K:</t>
        </r>
        <r>
          <rPr>
            <sz val="9"/>
            <color indexed="81"/>
            <rFont val="Tahoma"/>
            <family val="2"/>
          </rPr>
          <t xml:space="preserve">
Source: Alkem Laboratories Annual Report 2019-20, Consolidated Balance Sheet, Note 3.4, https://www.alkemlabs.com/pdf/annual-report/Annual_Report_2019-20-2.pdf</t>
        </r>
      </text>
    </comment>
    <comment ref="G61" authorId="0" shapeId="0" xr:uid="{A5F62665-7C95-4BBB-A86D-7C2F89E6D464}">
      <text>
        <r>
          <rPr>
            <b/>
            <sz val="9"/>
            <color indexed="81"/>
            <rFont val="Tahoma"/>
            <family val="2"/>
          </rPr>
          <t>Prashanth K:</t>
        </r>
        <r>
          <rPr>
            <sz val="9"/>
            <color indexed="81"/>
            <rFont val="Tahoma"/>
            <family val="2"/>
          </rPr>
          <t xml:space="preserve">
Source: Alkem Laboratories Annual Report 2019-20, Consolidated Balance Sheet, Note 3.4, https://www.alkemlabs.com/pdf/annual-report/Annual_Report_2019-20-2.pdf</t>
        </r>
      </text>
    </comment>
    <comment ref="H61" authorId="0" shapeId="0" xr:uid="{43B2C963-5B27-412F-A9B9-0A5733C46C53}">
      <text>
        <r>
          <rPr>
            <b/>
            <sz val="9"/>
            <color indexed="81"/>
            <rFont val="Tahoma"/>
            <family val="2"/>
          </rPr>
          <t>Prashanth K:</t>
        </r>
        <r>
          <rPr>
            <sz val="9"/>
            <color indexed="81"/>
            <rFont val="Tahoma"/>
            <family val="2"/>
          </rPr>
          <t xml:space="preserve">
Source: Alkem Laboratories Annual Report 2021-22, Consolidated Balance Sheet, Note 3.4, https://www.alkemlabs.com/pdf/annual-report/Annual%20Report%202021-22.pdf</t>
        </r>
      </text>
    </comment>
    <comment ref="I61" authorId="0" shapeId="0" xr:uid="{A4C73E14-9A36-48B3-89FA-D585E795E136}">
      <text>
        <r>
          <rPr>
            <b/>
            <sz val="9"/>
            <color indexed="81"/>
            <rFont val="Tahoma"/>
            <family val="2"/>
          </rPr>
          <t>Prashanth K:</t>
        </r>
        <r>
          <rPr>
            <sz val="9"/>
            <color indexed="81"/>
            <rFont val="Tahoma"/>
            <family val="2"/>
          </rPr>
          <t xml:space="preserve">
Source: Alkem Laboratories Annual Report 2021-22, Consolidated Balance Sheet, Note 3.4, https://www.alkemlabs.com/pdf/annual-report/Annual%20Report%202021-22.pdf</t>
        </r>
      </text>
    </comment>
    <comment ref="J61" authorId="0" shapeId="0" xr:uid="{763FD217-F760-4F1A-9990-B82DD6FE5268}">
      <text>
        <r>
          <rPr>
            <b/>
            <sz val="9"/>
            <color indexed="81"/>
            <rFont val="Tahoma"/>
            <family val="2"/>
          </rPr>
          <t>Prashanth K:</t>
        </r>
        <r>
          <rPr>
            <sz val="9"/>
            <color indexed="81"/>
            <rFont val="Tahoma"/>
            <family val="2"/>
          </rPr>
          <t xml:space="preserve">
Source: Alkem Laboratories Consolidated Financial Statements 2023-24, Note 3.4, https://www.alkemlabs.com/investors/digital-annual-report-2023-24/pdf/consolidated-financial-statements.pdf</t>
        </r>
      </text>
    </comment>
    <comment ref="F62" authorId="0" shapeId="0" xr:uid="{E6DA6BBE-D0E2-4F25-BA20-775C0F1ADBBA}">
      <text>
        <r>
          <rPr>
            <b/>
            <sz val="9"/>
            <color indexed="81"/>
            <rFont val="Tahoma"/>
            <family val="2"/>
          </rPr>
          <t>Prashanth K:</t>
        </r>
        <r>
          <rPr>
            <sz val="9"/>
            <color indexed="81"/>
            <rFont val="Tahoma"/>
            <family val="2"/>
          </rPr>
          <t xml:space="preserve">
Source: Alkem Laboratories Annual Report 2019-20, Consolidated Balance Sheet, Note 3.11, https://www.alkemlabs.com/pdf/annual-report/Annual_Report_2019-20-2.pdf</t>
        </r>
      </text>
    </comment>
    <comment ref="G62" authorId="0" shapeId="0" xr:uid="{165270CA-F83B-4A1C-A22A-BEC263B4C4AC}">
      <text>
        <r>
          <rPr>
            <b/>
            <sz val="9"/>
            <color indexed="81"/>
            <rFont val="Tahoma"/>
            <family val="2"/>
          </rPr>
          <t>Prashanth K:</t>
        </r>
        <r>
          <rPr>
            <sz val="9"/>
            <color indexed="81"/>
            <rFont val="Tahoma"/>
            <family val="2"/>
          </rPr>
          <t xml:space="preserve">
Source: Alkem Laboratories Annual Report 2019-20, Consolidated Balance Sheet, Note 3.11, https://www.alkemlabs.com/pdf/annual-report/Annual_Report_2019-20-2.pdf</t>
        </r>
      </text>
    </comment>
    <comment ref="H62" authorId="0" shapeId="0" xr:uid="{F9DC8690-23E1-4B54-B7A0-2885524448D1}">
      <text>
        <r>
          <rPr>
            <b/>
            <sz val="9"/>
            <color indexed="81"/>
            <rFont val="Tahoma"/>
            <family val="2"/>
          </rPr>
          <t>Prashanth K:</t>
        </r>
        <r>
          <rPr>
            <sz val="9"/>
            <color indexed="81"/>
            <rFont val="Tahoma"/>
            <family val="2"/>
          </rPr>
          <t xml:space="preserve">
Source: Alkem Laboratories Annual Report 2021-22, Consolidated Balance Sheet, Note 3.11, https://www.alkemlabs.com/pdf/annual-report/Annual%20Report%202021-22.pdf</t>
        </r>
      </text>
    </comment>
    <comment ref="I62" authorId="0" shapeId="0" xr:uid="{5C4E5C5F-7BF6-40CB-AAF8-A5623DB2FE63}">
      <text>
        <r>
          <rPr>
            <b/>
            <sz val="9"/>
            <color indexed="81"/>
            <rFont val="Tahoma"/>
            <family val="2"/>
          </rPr>
          <t>Prashanth K:</t>
        </r>
        <r>
          <rPr>
            <sz val="9"/>
            <color indexed="81"/>
            <rFont val="Tahoma"/>
            <family val="2"/>
          </rPr>
          <t xml:space="preserve">
Source: Alkem Laboratories Annual Report 2021-22, Consolidated Balance Sheet, Note 3.11, https://www.alkemlabs.com/pdf/annual-report/Annual%20Report%202021-22.pdf</t>
        </r>
      </text>
    </comment>
    <comment ref="J62" authorId="0" shapeId="0" xr:uid="{1006D864-0CD6-4568-8BD3-E07A43AE9870}">
      <text>
        <r>
          <rPr>
            <b/>
            <sz val="9"/>
            <color indexed="81"/>
            <rFont val="Tahoma"/>
            <family val="2"/>
          </rPr>
          <t>Prashanth K:</t>
        </r>
        <r>
          <rPr>
            <sz val="9"/>
            <color indexed="81"/>
            <rFont val="Tahoma"/>
            <family val="2"/>
          </rPr>
          <t xml:space="preserve">
Source: Alkem Laboratories Consolidated Financial Statements 2023-24, Note 3.11, https://www.alkemlabs.com/investors/digital-annual-report-2023-24/pdf/consolidated-financial-statements.pdf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Prashanth K</author>
  </authors>
  <commentList>
    <comment ref="S12" authorId="0" shapeId="0" xr:uid="{42AED1B0-E644-4D3C-97D2-9F50121F94E0}">
      <text>
        <r>
          <rPr>
            <b/>
            <sz val="9"/>
            <color indexed="81"/>
            <rFont val="Tahoma"/>
            <family val="2"/>
          </rPr>
          <t>Prashanth K:</t>
        </r>
        <r>
          <rPr>
            <sz val="9"/>
            <color indexed="81"/>
            <rFont val="Tahoma"/>
            <family val="2"/>
          </rPr>
          <t xml:space="preserve">
Type one of: Base Case / Bull Case / Bear Case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Prashanth K</author>
  </authors>
  <commentList>
    <comment ref="E7" authorId="0" shapeId="0" xr:uid="{8AE151E8-F22D-46EE-B78F-C8691F1EF5F0}">
      <text>
        <r>
          <rPr>
            <b/>
            <sz val="9"/>
            <color indexed="81"/>
            <rFont val="Tahoma"/>
            <family val="2"/>
          </rPr>
          <t>Prashanth K:</t>
        </r>
        <r>
          <rPr>
            <sz val="9"/>
            <color indexed="81"/>
            <rFont val="Tahoma"/>
            <family val="2"/>
          </rPr>
          <t xml:space="preserve">
Ticker: 500124</t>
        </r>
      </text>
    </comment>
    <comment ref="E8" authorId="0" shapeId="0" xr:uid="{826F6DA3-2E37-4059-BD60-56527A969799}">
      <text>
        <r>
          <rPr>
            <b/>
            <sz val="9"/>
            <color indexed="81"/>
            <rFont val="Tahoma"/>
            <family val="2"/>
          </rPr>
          <t>Prashanth K:</t>
        </r>
        <r>
          <rPr>
            <sz val="9"/>
            <color indexed="81"/>
            <rFont val="Tahoma"/>
            <family val="2"/>
          </rPr>
          <t xml:space="preserve">
Ticker: ZYDUSLIFE</t>
        </r>
      </text>
    </comment>
    <comment ref="E9" authorId="0" shapeId="0" xr:uid="{2CA98EB1-DAB6-48BB-BE97-01FC3A2BFA11}">
      <text>
        <r>
          <rPr>
            <b/>
            <sz val="9"/>
            <color indexed="81"/>
            <rFont val="Tahoma"/>
            <family val="2"/>
          </rPr>
          <t>Prashanth K:</t>
        </r>
        <r>
          <rPr>
            <sz val="9"/>
            <color indexed="81"/>
            <rFont val="Tahoma"/>
            <family val="2"/>
          </rPr>
          <t xml:space="preserve">
Ticker: 500420</t>
        </r>
      </text>
    </comment>
    <comment ref="E10" authorId="0" shapeId="0" xr:uid="{08F1B142-F079-45E9-AF2C-16AB0453E622}">
      <text>
        <r>
          <rPr>
            <b/>
            <sz val="9"/>
            <color indexed="81"/>
            <rFont val="Tahoma"/>
            <family val="2"/>
          </rPr>
          <t>Prashanth K:</t>
        </r>
        <r>
          <rPr>
            <sz val="9"/>
            <color indexed="81"/>
            <rFont val="Tahoma"/>
            <family val="2"/>
          </rPr>
          <t xml:space="preserve">
Ticker: MANKIND</t>
        </r>
      </text>
    </comment>
    <comment ref="E11" authorId="0" shapeId="0" xr:uid="{B9E45767-C191-46D2-B56A-4DB248E4D110}">
      <text>
        <r>
          <rPr>
            <b/>
            <sz val="9"/>
            <color indexed="81"/>
            <rFont val="Tahoma"/>
            <family val="2"/>
          </rPr>
          <t>Prashanth K:</t>
        </r>
        <r>
          <rPr>
            <sz val="9"/>
            <color indexed="81"/>
            <rFont val="Tahoma"/>
            <family val="2"/>
          </rPr>
          <t xml:space="preserve">
Ticker: 500257</t>
        </r>
      </text>
    </comment>
    <comment ref="E12" authorId="0" shapeId="0" xr:uid="{128B83B2-3F95-422D-A5C9-D0F484852056}">
      <text>
        <r>
          <rPr>
            <b/>
            <sz val="9"/>
            <color indexed="81"/>
            <rFont val="Tahoma"/>
            <family val="2"/>
          </rPr>
          <t>Prashanth K:</t>
        </r>
        <r>
          <rPr>
            <sz val="9"/>
            <color indexed="81"/>
            <rFont val="Tahoma"/>
            <family val="2"/>
          </rPr>
          <t xml:space="preserve">
Ticker: AUROPHARMA</t>
        </r>
      </text>
    </comment>
    <comment ref="E13" authorId="0" shapeId="0" xr:uid="{278048FA-78CF-46EB-9D36-FB84BE931AF3}">
      <text>
        <r>
          <rPr>
            <b/>
            <sz val="9"/>
            <color indexed="81"/>
            <rFont val="Tahoma"/>
            <family val="2"/>
          </rPr>
          <t>Prashanth K:</t>
        </r>
        <r>
          <rPr>
            <sz val="9"/>
            <color indexed="81"/>
            <rFont val="Tahoma"/>
            <family val="2"/>
          </rPr>
          <t xml:space="preserve">
Ticker: 500488</t>
        </r>
      </text>
    </comment>
    <comment ref="E14" authorId="0" shapeId="0" xr:uid="{4028A55E-EFD6-40FB-B3B3-CA8B3FC3A39A}">
      <text>
        <r>
          <rPr>
            <b/>
            <sz val="9"/>
            <color indexed="81"/>
            <rFont val="Tahoma"/>
            <family val="2"/>
          </rPr>
          <t>Prashanth K:</t>
        </r>
        <r>
          <rPr>
            <sz val="9"/>
            <color indexed="81"/>
            <rFont val="Tahoma"/>
            <family val="2"/>
          </rPr>
          <t xml:space="preserve">
Ticker: 500660</t>
        </r>
      </text>
    </comment>
    <comment ref="E15" authorId="0" shapeId="0" xr:uid="{DEC31275-6466-4264-A4A9-A0DCDBF43CCD}">
      <text>
        <r>
          <rPr>
            <b/>
            <sz val="9"/>
            <color indexed="81"/>
            <rFont val="Tahoma"/>
            <family val="2"/>
          </rPr>
          <t>Prashanth K:</t>
        </r>
        <r>
          <rPr>
            <sz val="9"/>
            <color indexed="81"/>
            <rFont val="Tahoma"/>
            <family val="2"/>
          </rPr>
          <t xml:space="preserve">
Ticker: IPCALAB</t>
        </r>
      </text>
    </comment>
    <comment ref="E16" authorId="0" shapeId="0" xr:uid="{87DEEE93-B006-48DB-82F1-A8E3F2785B61}">
      <text>
        <r>
          <rPr>
            <b/>
            <sz val="9"/>
            <color indexed="81"/>
            <rFont val="Tahoma"/>
            <family val="2"/>
          </rPr>
          <t>Prashanth K:</t>
        </r>
        <r>
          <rPr>
            <sz val="9"/>
            <color indexed="81"/>
            <rFont val="Tahoma"/>
            <family val="2"/>
          </rPr>
          <t xml:space="preserve">
Ticker: GLAND</t>
        </r>
      </text>
    </comment>
    <comment ref="E21" authorId="0" shapeId="0" xr:uid="{1AC6A275-0451-4EB0-82A8-C6726AA66E3E}">
      <text>
        <r>
          <rPr>
            <b/>
            <sz val="9"/>
            <color indexed="81"/>
            <rFont val="Tahoma"/>
            <family val="2"/>
          </rPr>
          <t>Prashanth K:</t>
        </r>
        <r>
          <rPr>
            <sz val="9"/>
            <color indexed="81"/>
            <rFont val="Tahoma"/>
            <family val="2"/>
          </rPr>
          <t xml:space="preserve">
Ticker: GLAND</t>
        </r>
      </text>
    </comment>
    <comment ref="F21" authorId="0" shapeId="0" xr:uid="{281E7B60-B2BC-4317-B1C1-D637E20E1EF1}">
      <text>
        <r>
          <rPr>
            <b/>
            <sz val="9"/>
            <color indexed="81"/>
            <rFont val="Tahoma"/>
            <charset val="1"/>
          </rPr>
          <t>Prashanth K:</t>
        </r>
        <r>
          <rPr>
            <sz val="9"/>
            <color indexed="81"/>
            <rFont val="Tahoma"/>
            <charset val="1"/>
          </rPr>
          <t xml:space="preserve">
Debt = Non-current borrowings + Non-current lease liabilities + Other non-current financial liabilities + Current borrowings + Current lease liabilities (FY2023 Balance Sheet)</t>
        </r>
      </text>
    </comment>
    <comment ref="G21" authorId="0" shapeId="0" xr:uid="{8C3B2E44-9168-4D8D-AF94-0719FB3AF441}">
      <text>
        <r>
          <rPr>
            <b/>
            <sz val="9"/>
            <color indexed="81"/>
            <rFont val="Tahoma"/>
            <charset val="1"/>
          </rPr>
          <t>Prashanth K:</t>
        </r>
        <r>
          <rPr>
            <sz val="9"/>
            <color indexed="81"/>
            <rFont val="Tahoma"/>
            <charset val="1"/>
          </rPr>
          <t xml:space="preserve">
Cash &amp; equivalents = Current investments + Cash &amp; cash equivalents + Bank balances other than cash &amp; equivalents (FY2023 Balance Sheet)</t>
        </r>
      </text>
    </comment>
    <comment ref="J21" authorId="0" shapeId="0" xr:uid="{7BC86EAB-5FBF-4FEF-9696-ACE47013248B}">
      <text>
        <r>
          <rPr>
            <b/>
            <sz val="9"/>
            <color indexed="81"/>
            <rFont val="Tahoma"/>
            <charset val="1"/>
          </rPr>
          <t>Prashanth K:</t>
        </r>
        <r>
          <rPr>
            <sz val="9"/>
            <color indexed="81"/>
            <rFont val="Tahoma"/>
            <charset val="1"/>
          </rPr>
          <t xml:space="preserve">
Revenue from operations, FY2023, Historical tab</t>
        </r>
      </text>
    </comment>
    <comment ref="K21" authorId="0" shapeId="0" xr:uid="{A7107EBC-A92F-4EF3-8ED0-A21E3B686F0D}">
      <text>
        <r>
          <rPr>
            <b/>
            <sz val="9"/>
            <color indexed="81"/>
            <rFont val="Tahoma"/>
            <charset val="1"/>
          </rPr>
          <t>Prashanth K:</t>
        </r>
        <r>
          <rPr>
            <sz val="9"/>
            <color indexed="81"/>
            <rFont val="Tahoma"/>
            <charset val="1"/>
          </rPr>
          <t xml:space="preserve">
EBITDA = Profit before exceptional items &amp; tax + Finance costs + Depreciation &amp; amortisation (FY2023)</t>
        </r>
      </text>
    </comment>
    <comment ref="L21" authorId="0" shapeId="0" xr:uid="{514770D0-D4B6-41F4-A7EA-AEEA94332D21}">
      <text>
        <r>
          <rPr>
            <b/>
            <sz val="9"/>
            <color indexed="81"/>
            <rFont val="Tahoma"/>
            <charset val="1"/>
          </rPr>
          <t>Prashanth K:</t>
        </r>
        <r>
          <rPr>
            <sz val="9"/>
            <color indexed="81"/>
            <rFont val="Tahoma"/>
            <charset val="1"/>
          </rPr>
          <t xml:space="preserve">
Profit for the year (PAT), FY2023, Historical tab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Prashanth K</author>
  </authors>
  <commentList>
    <comment ref="I8" authorId="0" shapeId="0" xr:uid="{39843619-D138-4406-89C3-CF58C9CB8017}">
      <text>
        <r>
          <rPr>
            <b/>
            <sz val="9"/>
            <color indexed="81"/>
            <rFont val="Tahoma"/>
            <charset val="1"/>
          </rPr>
          <t>India marginal corporate tax rate 25.17% (sec 115BAA)</t>
        </r>
      </text>
    </comment>
    <comment ref="J8" authorId="0" shapeId="0" xr:uid="{6896B521-96A5-4B02-802A-FD93B5B37EA1}">
      <text>
        <r>
          <rPr>
            <b/>
            <sz val="9"/>
            <color indexed="81"/>
            <rFont val="Tahoma"/>
            <charset val="1"/>
          </rPr>
          <t>Prashanth K:</t>
        </r>
        <r>
          <rPr>
            <sz val="9"/>
            <color indexed="81"/>
            <rFont val="Tahoma"/>
            <charset val="1"/>
          </rPr>
          <t xml:space="preserve">
INPUT: Levered Beta from screener.in / Yahoo Finance (5Y monthly beta vs NIFTY)</t>
        </r>
      </text>
    </comment>
    <comment ref="K8" authorId="0" shapeId="0" xr:uid="{3655064E-EA67-463D-8508-F3C65F6DCCE4}">
      <text>
        <r>
          <rPr>
            <b/>
            <sz val="9"/>
            <color indexed="81"/>
            <rFont val="Tahoma"/>
            <charset val="1"/>
          </rPr>
          <t>Prashanth K:</t>
        </r>
        <r>
          <rPr>
            <sz val="9"/>
            <color indexed="81"/>
            <rFont val="Tahoma"/>
            <charset val="1"/>
          </rPr>
          <t xml:space="preserve">
Hamada Formula: βU = βL / (1 + (1-T) × D/E)</t>
        </r>
      </text>
    </comment>
    <comment ref="I9" authorId="0" shapeId="0" xr:uid="{A35D63C2-9703-4F8A-A1A5-070EC6F0C70E}">
      <text>
        <r>
          <rPr>
            <b/>
            <sz val="9"/>
            <color indexed="81"/>
            <rFont val="Tahoma"/>
            <charset val="1"/>
          </rPr>
          <t>India marginal corporate tax rate 25.17% (sec 115BAA)</t>
        </r>
      </text>
    </comment>
    <comment ref="J9" authorId="0" shapeId="0" xr:uid="{1AF0409A-825E-4759-8580-3DAB05AE42F8}">
      <text>
        <r>
          <rPr>
            <b/>
            <sz val="9"/>
            <color indexed="81"/>
            <rFont val="Tahoma"/>
            <charset val="1"/>
          </rPr>
          <t>Prashanth K:</t>
        </r>
        <r>
          <rPr>
            <sz val="9"/>
            <color indexed="81"/>
            <rFont val="Tahoma"/>
            <charset val="1"/>
          </rPr>
          <t xml:space="preserve">
INPUT: Levered Beta from screener.in / Yahoo Finance (5Y monthly beta vs NIFTY)</t>
        </r>
      </text>
    </comment>
    <comment ref="K9" authorId="0" shapeId="0" xr:uid="{78236C51-F8C3-43B7-A636-968CD5BCF6B7}">
      <text>
        <r>
          <rPr>
            <b/>
            <sz val="9"/>
            <color indexed="81"/>
            <rFont val="Tahoma"/>
            <charset val="1"/>
          </rPr>
          <t>Prashanth K:</t>
        </r>
        <r>
          <rPr>
            <sz val="9"/>
            <color indexed="81"/>
            <rFont val="Tahoma"/>
            <charset val="1"/>
          </rPr>
          <t xml:space="preserve">
Hamada Formula: βU = βL / (1 + (1-T) × D/E)</t>
        </r>
      </text>
    </comment>
    <comment ref="I10" authorId="0" shapeId="0" xr:uid="{F9C6EC7F-04E3-4367-A9AF-A336E1648D8C}">
      <text>
        <r>
          <rPr>
            <b/>
            <sz val="9"/>
            <color indexed="81"/>
            <rFont val="Tahoma"/>
            <charset val="1"/>
          </rPr>
          <t>India marginal corporate tax rate 25.17% (sec 115BAA)</t>
        </r>
      </text>
    </comment>
    <comment ref="J10" authorId="0" shapeId="0" xr:uid="{069CF595-72E1-465C-A00E-958A857D08D4}">
      <text>
        <r>
          <rPr>
            <b/>
            <sz val="9"/>
            <color indexed="81"/>
            <rFont val="Tahoma"/>
            <charset val="1"/>
          </rPr>
          <t>Prashanth K:</t>
        </r>
        <r>
          <rPr>
            <sz val="9"/>
            <color indexed="81"/>
            <rFont val="Tahoma"/>
            <charset val="1"/>
          </rPr>
          <t xml:space="preserve">
INPUT: Levered Beta from screener.in / Yahoo Finance (5Y monthly beta vs NIFTY)</t>
        </r>
      </text>
    </comment>
    <comment ref="K10" authorId="0" shapeId="0" xr:uid="{E71A39BD-57BB-46F0-9246-212B08D8DD4A}">
      <text>
        <r>
          <rPr>
            <b/>
            <sz val="9"/>
            <color indexed="81"/>
            <rFont val="Tahoma"/>
            <charset val="1"/>
          </rPr>
          <t>Prashanth K:</t>
        </r>
        <r>
          <rPr>
            <sz val="9"/>
            <color indexed="81"/>
            <rFont val="Tahoma"/>
            <charset val="1"/>
          </rPr>
          <t xml:space="preserve">
Hamada Formula: βU = βL / (1 + (1-T) × D/E)</t>
        </r>
      </text>
    </comment>
    <comment ref="I11" authorId="0" shapeId="0" xr:uid="{F6148FDD-8454-4436-BB1F-8350924CB437}">
      <text>
        <r>
          <rPr>
            <b/>
            <sz val="9"/>
            <color indexed="81"/>
            <rFont val="Tahoma"/>
            <charset val="1"/>
          </rPr>
          <t>India marginal corporate tax rate 25.17% (sec 115BAA)</t>
        </r>
      </text>
    </comment>
    <comment ref="J11" authorId="0" shapeId="0" xr:uid="{DB6A179D-B830-4F62-9268-FDD855E8EE80}">
      <text>
        <r>
          <rPr>
            <b/>
            <sz val="9"/>
            <color indexed="81"/>
            <rFont val="Tahoma"/>
            <charset val="1"/>
          </rPr>
          <t>Prashanth K:</t>
        </r>
        <r>
          <rPr>
            <sz val="9"/>
            <color indexed="81"/>
            <rFont val="Tahoma"/>
            <charset val="1"/>
          </rPr>
          <t xml:space="preserve">
INPUT: Levered Beta from screener.in / Yahoo Finance (5Y monthly beta vs NIFTY)</t>
        </r>
      </text>
    </comment>
    <comment ref="K11" authorId="0" shapeId="0" xr:uid="{B8FCE7C7-6012-43CE-8393-7138205BAABF}">
      <text>
        <r>
          <rPr>
            <b/>
            <sz val="9"/>
            <color indexed="81"/>
            <rFont val="Tahoma"/>
            <charset val="1"/>
          </rPr>
          <t>Prashanth K:</t>
        </r>
        <r>
          <rPr>
            <sz val="9"/>
            <color indexed="81"/>
            <rFont val="Tahoma"/>
            <charset val="1"/>
          </rPr>
          <t xml:space="preserve">
Hamada Formula: βU = βL / (1 + (1-T) × D/E)</t>
        </r>
      </text>
    </comment>
    <comment ref="I12" authorId="0" shapeId="0" xr:uid="{48A89886-D8E6-40EB-B3E9-62237AEB5756}">
      <text>
        <r>
          <rPr>
            <b/>
            <sz val="9"/>
            <color indexed="81"/>
            <rFont val="Tahoma"/>
            <charset val="1"/>
          </rPr>
          <t>India marginal corporate tax rate 25.17% (sec 115BAA)</t>
        </r>
      </text>
    </comment>
    <comment ref="J12" authorId="0" shapeId="0" xr:uid="{4725BAF6-A05F-4C98-B2AB-26AD23A94187}">
      <text>
        <r>
          <rPr>
            <b/>
            <sz val="9"/>
            <color indexed="81"/>
            <rFont val="Tahoma"/>
            <charset val="1"/>
          </rPr>
          <t>Prashanth K:</t>
        </r>
        <r>
          <rPr>
            <sz val="9"/>
            <color indexed="81"/>
            <rFont val="Tahoma"/>
            <charset val="1"/>
          </rPr>
          <t xml:space="preserve">
INPUT: Levered Beta from screener.in / Yahoo Finance (5Y monthly beta vs NIFTY)</t>
        </r>
      </text>
    </comment>
    <comment ref="K12" authorId="0" shapeId="0" xr:uid="{AB0FF0D5-CB83-4EF6-9C20-B4B382D9D649}">
      <text>
        <r>
          <rPr>
            <b/>
            <sz val="9"/>
            <color indexed="81"/>
            <rFont val="Tahoma"/>
            <charset val="1"/>
          </rPr>
          <t>Prashanth K:</t>
        </r>
        <r>
          <rPr>
            <sz val="9"/>
            <color indexed="81"/>
            <rFont val="Tahoma"/>
            <charset val="1"/>
          </rPr>
          <t xml:space="preserve">
Hamada Formula: βU = βL / (1 + (1-T) × D/E)</t>
        </r>
      </text>
    </comment>
    <comment ref="I13" authorId="0" shapeId="0" xr:uid="{589821FF-A448-4A1C-9749-140815FFBCD6}">
      <text>
        <r>
          <rPr>
            <b/>
            <sz val="9"/>
            <color indexed="81"/>
            <rFont val="Tahoma"/>
            <charset val="1"/>
          </rPr>
          <t>India marginal corporate tax rate 25.17% (sec 115BAA)</t>
        </r>
      </text>
    </comment>
    <comment ref="J13" authorId="0" shapeId="0" xr:uid="{2C70706C-A917-449A-A5B5-7172AE88AF3A}">
      <text>
        <r>
          <rPr>
            <b/>
            <sz val="9"/>
            <color indexed="81"/>
            <rFont val="Tahoma"/>
            <charset val="1"/>
          </rPr>
          <t>Prashanth K:</t>
        </r>
        <r>
          <rPr>
            <sz val="9"/>
            <color indexed="81"/>
            <rFont val="Tahoma"/>
            <charset val="1"/>
          </rPr>
          <t xml:space="preserve">
INPUT: Levered Beta from screener.in / Yahoo Finance (5Y monthly beta vs NIFTY)</t>
        </r>
      </text>
    </comment>
    <comment ref="K13" authorId="0" shapeId="0" xr:uid="{348739D8-C39B-4669-BFC8-2D492CE1EFCB}">
      <text>
        <r>
          <rPr>
            <b/>
            <sz val="9"/>
            <color indexed="81"/>
            <rFont val="Tahoma"/>
            <charset val="1"/>
          </rPr>
          <t>Prashanth K:</t>
        </r>
        <r>
          <rPr>
            <sz val="9"/>
            <color indexed="81"/>
            <rFont val="Tahoma"/>
            <charset val="1"/>
          </rPr>
          <t xml:space="preserve">
Hamada Formula: βU = βL / (1 + (1-T) × D/E)</t>
        </r>
      </text>
    </comment>
    <comment ref="I14" authorId="0" shapeId="0" xr:uid="{8DA2C420-61EE-4ABB-BA51-1651290D7957}">
      <text>
        <r>
          <rPr>
            <b/>
            <sz val="9"/>
            <color indexed="81"/>
            <rFont val="Tahoma"/>
            <charset val="1"/>
          </rPr>
          <t>India marginal corporate tax rate 25.17% (sec 115BAA)</t>
        </r>
      </text>
    </comment>
    <comment ref="J14" authorId="0" shapeId="0" xr:uid="{04251807-DAA9-43D4-B3A1-8C178EABE282}">
      <text>
        <r>
          <rPr>
            <b/>
            <sz val="9"/>
            <color indexed="81"/>
            <rFont val="Tahoma"/>
            <charset val="1"/>
          </rPr>
          <t>Prashanth K:</t>
        </r>
        <r>
          <rPr>
            <sz val="9"/>
            <color indexed="81"/>
            <rFont val="Tahoma"/>
            <charset val="1"/>
          </rPr>
          <t xml:space="preserve">
INPUT: Levered Beta from screener.in / Yahoo Finance (5Y monthly beta vs NIFTY)</t>
        </r>
      </text>
    </comment>
    <comment ref="K14" authorId="0" shapeId="0" xr:uid="{EDACBA9E-5C03-46DB-8804-C4381D3667AA}">
      <text>
        <r>
          <rPr>
            <b/>
            <sz val="9"/>
            <color indexed="81"/>
            <rFont val="Tahoma"/>
            <charset val="1"/>
          </rPr>
          <t>Prashanth K:</t>
        </r>
        <r>
          <rPr>
            <sz val="9"/>
            <color indexed="81"/>
            <rFont val="Tahoma"/>
            <charset val="1"/>
          </rPr>
          <t xml:space="preserve">
Hamada Formula: βU = βL / (1 + (1-T) × D/E)</t>
        </r>
      </text>
    </comment>
    <comment ref="I15" authorId="0" shapeId="0" xr:uid="{A7214A42-2995-4541-9DC0-B3EF30077B81}">
      <text>
        <r>
          <rPr>
            <b/>
            <sz val="9"/>
            <color indexed="81"/>
            <rFont val="Tahoma"/>
            <charset val="1"/>
          </rPr>
          <t>India marginal corporate tax rate 25.17% (sec 115BAA)</t>
        </r>
      </text>
    </comment>
    <comment ref="J15" authorId="0" shapeId="0" xr:uid="{013295BF-D566-4A41-9C76-996C5BD05DB6}">
      <text>
        <r>
          <rPr>
            <b/>
            <sz val="9"/>
            <color indexed="81"/>
            <rFont val="Tahoma"/>
            <charset val="1"/>
          </rPr>
          <t>Prashanth K:</t>
        </r>
        <r>
          <rPr>
            <sz val="9"/>
            <color indexed="81"/>
            <rFont val="Tahoma"/>
            <charset val="1"/>
          </rPr>
          <t xml:space="preserve">
INPUT: Levered Beta from screener.in / Yahoo Finance (5Y monthly beta vs NIFTY)</t>
        </r>
      </text>
    </comment>
    <comment ref="K15" authorId="0" shapeId="0" xr:uid="{FD4CD535-8D5A-4259-B602-63250A74594F}">
      <text>
        <r>
          <rPr>
            <b/>
            <sz val="9"/>
            <color indexed="81"/>
            <rFont val="Tahoma"/>
            <charset val="1"/>
          </rPr>
          <t>Prashanth K:</t>
        </r>
        <r>
          <rPr>
            <sz val="9"/>
            <color indexed="81"/>
            <rFont val="Tahoma"/>
            <charset val="1"/>
          </rPr>
          <t xml:space="preserve">
Hamada Formula: βU = βL / (1 + (1-T) × D/E)</t>
        </r>
      </text>
    </comment>
    <comment ref="I16" authorId="0" shapeId="0" xr:uid="{F7D43E2B-A20D-4532-835A-E6D24308C857}">
      <text>
        <r>
          <rPr>
            <b/>
            <sz val="9"/>
            <color indexed="81"/>
            <rFont val="Tahoma"/>
            <charset val="1"/>
          </rPr>
          <t>India marginal corporate tax rate 25.17% (sec 115BAA)</t>
        </r>
      </text>
    </comment>
    <comment ref="J16" authorId="0" shapeId="0" xr:uid="{F103A2DF-250F-4CFA-9FB4-15C5678F0913}">
      <text>
        <r>
          <rPr>
            <b/>
            <sz val="9"/>
            <color indexed="81"/>
            <rFont val="Tahoma"/>
            <charset val="1"/>
          </rPr>
          <t>Prashanth K:</t>
        </r>
        <r>
          <rPr>
            <sz val="9"/>
            <color indexed="81"/>
            <rFont val="Tahoma"/>
            <charset val="1"/>
          </rPr>
          <t xml:space="preserve">
INPUT: Levered Beta from screener.in / Yahoo Finance (5Y monthly beta vs NIFTY)</t>
        </r>
      </text>
    </comment>
    <comment ref="K16" authorId="0" shapeId="0" xr:uid="{70A5B776-7E2C-4A37-A73B-C2A347BD1AAB}">
      <text>
        <r>
          <rPr>
            <b/>
            <sz val="9"/>
            <color indexed="81"/>
            <rFont val="Tahoma"/>
            <charset val="1"/>
          </rPr>
          <t>Prashanth K:</t>
        </r>
        <r>
          <rPr>
            <sz val="9"/>
            <color indexed="81"/>
            <rFont val="Tahoma"/>
            <charset val="1"/>
          </rPr>
          <t xml:space="preserve">
Hamada Formula: βU = βL / (1 + (1-T) × D/E)</t>
        </r>
      </text>
    </comment>
    <comment ref="K36" authorId="0" shapeId="0" xr:uid="{EC970DD3-7207-4EFA-8F9A-E325C95A8279}">
      <text>
        <r>
          <rPr>
            <b/>
            <sz val="9"/>
            <color indexed="81"/>
            <rFont val="Tahoma"/>
            <charset val="1"/>
          </rPr>
          <t>Prashanth K:</t>
        </r>
        <r>
          <rPr>
            <sz val="9"/>
            <color indexed="81"/>
            <rFont val="Tahoma"/>
            <charset val="1"/>
          </rPr>
          <t xml:space="preserve">
Assumption: Interest rate on Alkem's borrowings</t>
        </r>
      </text>
    </comment>
    <comment ref="K37" authorId="0" shapeId="0" xr:uid="{EFEA06E0-E6C9-472E-BC6E-A3A24B2CAFDC}">
      <text>
        <r>
          <rPr>
            <b/>
            <sz val="9"/>
            <color indexed="81"/>
            <rFont val="Tahoma"/>
            <charset val="1"/>
          </rPr>
          <t>Prashanth K:</t>
        </r>
        <r>
          <rPr>
            <sz val="9"/>
            <color indexed="81"/>
            <rFont val="Tahoma"/>
            <charset val="1"/>
          </rPr>
          <t xml:space="preserve">
Alkem's effective tax rate</t>
        </r>
      </text>
    </comment>
    <comment ref="K41" authorId="0" shapeId="0" xr:uid="{AB99D407-03A0-48A2-95C7-C38A393AF44D}">
      <text>
        <r>
          <rPr>
            <b/>
            <sz val="9"/>
            <color indexed="81"/>
            <rFont val="Tahoma"/>
            <charset val="1"/>
          </rPr>
          <t>Prashanth K:</t>
        </r>
        <r>
          <rPr>
            <sz val="9"/>
            <color indexed="81"/>
            <rFont val="Tahoma"/>
            <charset val="1"/>
          </rPr>
          <t xml:space="preserve">
10-year India G-Sec yield</t>
        </r>
      </text>
    </comment>
    <comment ref="K42" authorId="0" shapeId="0" xr:uid="{99064EA6-0870-47A4-ACFF-4477F8AE0450}">
      <text>
        <r>
          <rPr>
            <b/>
            <sz val="9"/>
            <color indexed="81"/>
            <rFont val="Tahoma"/>
            <charset val="1"/>
          </rPr>
          <t>Prashanth K:</t>
        </r>
        <r>
          <rPr>
            <sz val="9"/>
            <color indexed="81"/>
            <rFont val="Tahoma"/>
            <charset val="1"/>
          </rPr>
          <t xml:space="preserve">
Link to 'Market Returns'!F7 (NIFTY 50 long-term market return)</t>
        </r>
      </text>
    </comment>
    <comment ref="K44" authorId="0" shapeId="0" xr:uid="{62ADACB9-5B67-43BA-AFF2-3630D7863867}">
      <text>
        <r>
          <rPr>
            <b/>
            <sz val="9"/>
            <color indexed="81"/>
            <rFont val="Tahoma"/>
            <charset val="1"/>
          </rPr>
          <t>Prashanth K:</t>
        </r>
        <r>
          <rPr>
            <sz val="9"/>
            <color indexed="81"/>
            <rFont val="Tahoma"/>
            <charset val="1"/>
          </rPr>
          <t xml:space="preserve">
Alkem's levered beta (from median unlevered × re-levered at Alkem's D/E)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<sst xmlns="http://schemas.openxmlformats.org/spreadsheetml/2006/main" count="3022" uniqueCount="434">
  <si>
    <t>ALKEM LABORATORIES LIMITED</t>
  </si>
  <si>
    <t>Historical Financial Information</t>
  </si>
  <si>
    <t>Income Statement</t>
  </si>
  <si>
    <t>Unit</t>
  </si>
  <si>
    <t>INCOME</t>
  </si>
  <si>
    <t>(a) Revenue from operations</t>
  </si>
  <si>
    <t>₹ MM</t>
  </si>
  <si>
    <t>(b) Other income</t>
  </si>
  <si>
    <t>Total Income</t>
  </si>
  <si>
    <t>EXPENSES</t>
  </si>
  <si>
    <t>(a) Cost of materials consumed</t>
  </si>
  <si>
    <t>(b) Purchases of stock-in-trade</t>
  </si>
  <si>
    <t>(c) Changes in inventories of finished goods,
     work-in-progress and stock-in-trade</t>
  </si>
  <si>
    <t>(d) Employee benefits expense</t>
  </si>
  <si>
    <t>(e) Finance costs</t>
  </si>
  <si>
    <t>(f) Depreciation and amortisation expense</t>
  </si>
  <si>
    <t>(g) Other expenses</t>
  </si>
  <si>
    <t>Total Expenses</t>
  </si>
  <si>
    <t>Profit before exceptional items and tax (1) - (2)</t>
  </si>
  <si>
    <t>Exceptional items</t>
  </si>
  <si>
    <t>Profit before tax (3) + (4)</t>
  </si>
  <si>
    <t>TAX EXPENSE</t>
  </si>
  <si>
    <t>(a) Current tax</t>
  </si>
  <si>
    <t>(b) Deferred tax charge / (credit) (net)</t>
  </si>
  <si>
    <t>Tax adjustment of earlier periods</t>
  </si>
  <si>
    <t>Total tax expenses (a + b)</t>
  </si>
  <si>
    <t>Profit for the year (5) - (6)</t>
  </si>
  <si>
    <t>Profit attributable to Non-Controlling Interest</t>
  </si>
  <si>
    <t>Profit attributable to Owners of the Company (7) - (8)</t>
  </si>
  <si>
    <t>Balance Sheet</t>
  </si>
  <si>
    <t>ASSETS</t>
  </si>
  <si>
    <t>Non-current assets</t>
  </si>
  <si>
    <t>(a) Property, plant and equipment</t>
  </si>
  <si>
    <t>Right of use assets</t>
  </si>
  <si>
    <t>(b) Capital work in progress</t>
  </si>
  <si>
    <t>(c) Goodwill</t>
  </si>
  <si>
    <t>(d) Other intangible assets</t>
  </si>
  <si>
    <t>(e) Goodwill on consolidation</t>
  </si>
  <si>
    <t>Intangible assets under development</t>
  </si>
  <si>
    <t>(f) Financial assets</t>
  </si>
  <si>
    <t>(i) Investments</t>
  </si>
  <si>
    <t>(ii) Loans</t>
  </si>
  <si>
    <t>(iii) Other financial assets</t>
  </si>
  <si>
    <t>(g) Deferred tax assets (net)</t>
  </si>
  <si>
    <t>(h) Non-current tax assets (net)</t>
  </si>
  <si>
    <t>(i) Other non-current assets</t>
  </si>
  <si>
    <t>Total non-current assets</t>
  </si>
  <si>
    <t>Current assets</t>
  </si>
  <si>
    <t>(a) Inventories</t>
  </si>
  <si>
    <t>(b) Financial assets</t>
  </si>
  <si>
    <t>(ii) Trade receivables</t>
  </si>
  <si>
    <t>(iii) Cash and cash equivalents</t>
  </si>
  <si>
    <t>(iv) Bank balances other than (iii) above</t>
  </si>
  <si>
    <t>(v) Loans</t>
  </si>
  <si>
    <t>(vi) Other financial assets</t>
  </si>
  <si>
    <t>(c) Other current assets</t>
  </si>
  <si>
    <t>(d) Non-current assets held for sale</t>
  </si>
  <si>
    <t>Total current assets</t>
  </si>
  <si>
    <t>TOTAL ASSETS</t>
  </si>
  <si>
    <t>EQUITY AND LIABILITIES</t>
  </si>
  <si>
    <t>Equity</t>
  </si>
  <si>
    <t>(a) Equity share capital</t>
  </si>
  <si>
    <t>(b) Other equity</t>
  </si>
  <si>
    <t>Equity attributable to owners of the Company</t>
  </si>
  <si>
    <t>(c) Non-controlling interest</t>
  </si>
  <si>
    <t>Total Equity</t>
  </si>
  <si>
    <t>Liabilities</t>
  </si>
  <si>
    <t>Non-current liabilities</t>
  </si>
  <si>
    <t>(a) Financial liabilities</t>
  </si>
  <si>
    <t>(i) Borrowings</t>
  </si>
  <si>
    <t>Lease liabilities</t>
  </si>
  <si>
    <t>Other financial liabilities</t>
  </si>
  <si>
    <t>(b) Provisions</t>
  </si>
  <si>
    <t>(c) Deferred tax liabilities (net)</t>
  </si>
  <si>
    <t>(d) Other non-current liabilities</t>
  </si>
  <si>
    <t>Total non-current liabilities</t>
  </si>
  <si>
    <t>Current liabilities</t>
  </si>
  <si>
    <t>(ii) Lease Liabilities</t>
  </si>
  <si>
    <t>(iii) Trade payables</t>
  </si>
  <si>
    <t>Dues of micro and small enterprises</t>
  </si>
  <si>
    <t>Dues of creditors other than micro and small enterprises</t>
  </si>
  <si>
    <t>(iv) Other financial liabilities</t>
  </si>
  <si>
    <t>(v) Other current liabilities</t>
  </si>
  <si>
    <t>(c) Provisions</t>
  </si>
  <si>
    <t>(d) Current tax liabilities (net)</t>
  </si>
  <si>
    <t>Total current liabilities</t>
  </si>
  <si>
    <t>Total Liabilities</t>
  </si>
  <si>
    <t>TOTAL EQUITY AND LIABILITIES</t>
  </si>
  <si>
    <t>Cash Flow Statement</t>
  </si>
  <si>
    <t>A. Cash Flow from Operating Activities:</t>
  </si>
  <si>
    <t>Profit before tax</t>
  </si>
  <si>
    <t>Adjustments for:</t>
  </si>
  <si>
    <t>Depreciation and amortisation expense</t>
  </si>
  <si>
    <t>Liabilities no longer required written back</t>
  </si>
  <si>
    <t>Profit on sale of investments</t>
  </si>
  <si>
    <t>Unrealised (gain)/loss on fair valuation of investments (net)</t>
  </si>
  <si>
    <t>Profit on sale of property plant and equipment (net)</t>
  </si>
  <si>
    <t>Employee stock compensation</t>
  </si>
  <si>
    <t>Recovery of Bad debts</t>
  </si>
  <si>
    <t>Unrealised foreign currency (gain)/loss on revaluation (net)</t>
  </si>
  <si>
    <t>Dividend Income</t>
  </si>
  <si>
    <t>Profit on sale of brand (net)</t>
  </si>
  <si>
    <t>Impairment loss on property, plant and equipment</t>
  </si>
  <si>
    <t>Interest Income</t>
  </si>
  <si>
    <t>Interest expenses</t>
  </si>
  <si>
    <t>Allowances for doubtful debts</t>
  </si>
  <si>
    <t>Rent Income</t>
  </si>
  <si>
    <t>Subtotal of Adjustments</t>
  </si>
  <si>
    <t>Operating profit before working capital changes</t>
  </si>
  <si>
    <t>Adjustments for changes in working capital:</t>
  </si>
  <si>
    <t>(Increase) in trade receivables</t>
  </si>
  <si>
    <t>(Increase)/Decrease in loans, other financial assets and other assets</t>
  </si>
  <si>
    <t>(Increase) Decrease in inventories</t>
  </si>
  <si>
    <t>Increase/(Decrease) in trade payable, other financial liabilities and other liab.</t>
  </si>
  <si>
    <t>Increase in provisions</t>
  </si>
  <si>
    <t>Subtotal of adjustments</t>
  </si>
  <si>
    <t>Cash generated from operations</t>
  </si>
  <si>
    <t>Less: Income taxes paid (net of refund)</t>
  </si>
  <si>
    <t>Net Cash generated from operating activities</t>
  </si>
  <si>
    <t>B. Cash Flow from Investing Activities:</t>
  </si>
  <si>
    <t>Purchases of property, plant and equipment</t>
  </si>
  <si>
    <t>Sale of property, plant and equipment</t>
  </si>
  <si>
    <t>(Purchase of)/Proceeds from sale of investments (net)</t>
  </si>
  <si>
    <t>Purchase of Investments (net)</t>
  </si>
  <si>
    <t>(Investment made in)/Redemption of bank deposits having maturity of more than 3 months</t>
  </si>
  <si>
    <t>Dividend received</t>
  </si>
  <si>
    <t>Interest received</t>
  </si>
  <si>
    <t>Rent received</t>
  </si>
  <si>
    <t>Net cash generated from/(used in) investing activities</t>
  </si>
  <si>
    <t>C. Cash Flow from Financing Activities:</t>
  </si>
  <si>
    <t>Repayment of non-current borrowings (net)</t>
  </si>
  <si>
    <t>Proceeds from current borrowings (net)</t>
  </si>
  <si>
    <t>Proceeds from issue of compulsory convertible preferance shares</t>
  </si>
  <si>
    <t>Dividends paid</t>
  </si>
  <si>
    <t>Repayment of lease liabilities (net)</t>
  </si>
  <si>
    <t>Interest paid</t>
  </si>
  <si>
    <t>Net cash (used in)/generated from financing activities</t>
  </si>
  <si>
    <t>D. Net (decrease)/increase in cash and cash equivalents (A+B+C)</t>
  </si>
  <si>
    <t>E. Cash and cash equivalents as at beginning of the year</t>
  </si>
  <si>
    <t>Add/Less: Effect of exchange difference on foreign currency</t>
  </si>
  <si>
    <t>Cash and cash equivalents as at end of the year</t>
  </si>
  <si>
    <t>Segmented Revenue</t>
  </si>
  <si>
    <t>CAGR</t>
  </si>
  <si>
    <t>2024E</t>
  </si>
  <si>
    <t>India</t>
  </si>
  <si>
    <t>United States of America</t>
  </si>
  <si>
    <t>Other Countries</t>
  </si>
  <si>
    <t>Total</t>
  </si>
  <si>
    <t>Quarterly Financials</t>
  </si>
  <si>
    <t>30-Sep-21</t>
  </si>
  <si>
    <t>31-Dec-21</t>
  </si>
  <si>
    <t>31-Mar-22</t>
  </si>
  <si>
    <t>30-Jun-22</t>
  </si>
  <si>
    <t>30-Sep-22</t>
  </si>
  <si>
    <t>31-Dec-22</t>
  </si>
  <si>
    <t>31-Mar-23</t>
  </si>
  <si>
    <t>30-Jun-23</t>
  </si>
  <si>
    <t>30-Sep-23</t>
  </si>
  <si>
    <t>31-Dec-23</t>
  </si>
  <si>
    <t>31-03-2024E</t>
  </si>
  <si>
    <t>Sales</t>
  </si>
  <si>
    <t>Q to Q Growth</t>
  </si>
  <si>
    <t>Expenses</t>
  </si>
  <si>
    <t>Operating Profit</t>
  </si>
  <si>
    <t>Other Income</t>
  </si>
  <si>
    <t>Depreciation</t>
  </si>
  <si>
    <t>Interest</t>
  </si>
  <si>
    <t>Tax</t>
  </si>
  <si>
    <t>Net profit</t>
  </si>
  <si>
    <t>Historical Period</t>
  </si>
  <si>
    <t>Forecast Period</t>
  </si>
  <si>
    <t>Financial Statement &amp; DCF Analysis</t>
  </si>
  <si>
    <t xml:space="preserve">Ratios &amp; Assumptions </t>
  </si>
  <si>
    <t>Units</t>
  </si>
  <si>
    <t>Scenarios</t>
  </si>
  <si>
    <t>Growth Rate</t>
  </si>
  <si>
    <t>Base Case</t>
  </si>
  <si>
    <t>Revenue Growth</t>
  </si>
  <si>
    <t>%</t>
  </si>
  <si>
    <t>Scenario</t>
  </si>
  <si>
    <t>Description</t>
  </si>
  <si>
    <t>Rate</t>
  </si>
  <si>
    <t>Cost of Good Sold (% of Revenue)</t>
  </si>
  <si>
    <t>Average growth rate from the past four years</t>
  </si>
  <si>
    <t>Salaries and benefits (% of Revenue)</t>
  </si>
  <si>
    <t>Bull Case</t>
  </si>
  <si>
    <t>Maximum growth rate demonstrated by the company</t>
  </si>
  <si>
    <t>Other SG&amp;A Expenses (% of Revenue)</t>
  </si>
  <si>
    <t>Bear Case</t>
  </si>
  <si>
    <t>Minimum growth rate experienced by the company</t>
  </si>
  <si>
    <t>Depreciation &amp; Amortization Expenses (% of PP&amp;E)</t>
  </si>
  <si>
    <t>Interest (% of Debt)</t>
  </si>
  <si>
    <t>Active Scenario</t>
  </si>
  <si>
    <t>Other Income (Expenses) (% of Revenue)</t>
  </si>
  <si>
    <t>Tax Rate (% of Earnings before Tax)</t>
  </si>
  <si>
    <t>Dividends Payout</t>
  </si>
  <si>
    <t>Accounts Receivable</t>
  </si>
  <si>
    <t>Inventory</t>
  </si>
  <si>
    <t>Accounts Payable</t>
  </si>
  <si>
    <t>Days</t>
  </si>
  <si>
    <t>Capital Asset Turnover Ratio</t>
  </si>
  <si>
    <t>Times</t>
  </si>
  <si>
    <t>Income</t>
  </si>
  <si>
    <t>Revenue</t>
  </si>
  <si>
    <t>Cold of Good Sold (COGS)</t>
  </si>
  <si>
    <t>Gross profit</t>
  </si>
  <si>
    <t>Salary and benefits</t>
  </si>
  <si>
    <t>Other SG&amp;A Expenses</t>
  </si>
  <si>
    <t>EBITDA</t>
  </si>
  <si>
    <t>Depreciation &amp; Amortization Expenses</t>
  </si>
  <si>
    <t>EBIT</t>
  </si>
  <si>
    <t>Other Income (Expenses)</t>
  </si>
  <si>
    <t>Earnings before Tax</t>
  </si>
  <si>
    <t>Taxes</t>
  </si>
  <si>
    <t>Net Earnings</t>
  </si>
  <si>
    <t xml:space="preserve">Balance Sheet </t>
  </si>
  <si>
    <t>Assets</t>
  </si>
  <si>
    <t>Current Assets:</t>
  </si>
  <si>
    <t>Cash</t>
  </si>
  <si>
    <t>Bank Deposits</t>
  </si>
  <si>
    <t>Other Current Assets</t>
  </si>
  <si>
    <t>Non - Current Assets:</t>
  </si>
  <si>
    <t>Property &amp; Equipment</t>
  </si>
  <si>
    <t>Goodwill</t>
  </si>
  <si>
    <t>Financial Assets</t>
  </si>
  <si>
    <t>Other Non-Current Assets</t>
  </si>
  <si>
    <t>Total Assets</t>
  </si>
  <si>
    <t>Current Liabilities:</t>
  </si>
  <si>
    <t>Other Current Liability</t>
  </si>
  <si>
    <t>Non - Current Liabilities:</t>
  </si>
  <si>
    <t>Debt</t>
  </si>
  <si>
    <t>Other Non - Current Liability</t>
  </si>
  <si>
    <t>Shareholder's Equity</t>
  </si>
  <si>
    <t>Non - Controlling Interest</t>
  </si>
  <si>
    <t>Total Liabilities &amp; Shareholders Equity</t>
  </si>
  <si>
    <t>Check</t>
  </si>
  <si>
    <t>Operating Cash Flows:</t>
  </si>
  <si>
    <t>Net Profits:</t>
  </si>
  <si>
    <t xml:space="preserve">Plus: Depreciation and Amortization </t>
  </si>
  <si>
    <t>Plus / Less: Adjustment &amp; Non - operating items</t>
  </si>
  <si>
    <t>Plus / Less: Adjustment &amp; Operating Assets &amp; Liabilities</t>
  </si>
  <si>
    <t>Cash form Operations</t>
  </si>
  <si>
    <t>Investing Cash Flows:</t>
  </si>
  <si>
    <t>Investments in Property Plant and Equipment (PP&amp;E)</t>
  </si>
  <si>
    <t>sale of property plant and Equipment</t>
  </si>
  <si>
    <t>purchase / Sale of Investments</t>
  </si>
  <si>
    <t>Dividend Received</t>
  </si>
  <si>
    <t>Interest Received</t>
  </si>
  <si>
    <t>Rent Received</t>
  </si>
  <si>
    <t>Cash from Investing</t>
  </si>
  <si>
    <t>Financing Cash Flows:</t>
  </si>
  <si>
    <t>Issuance or Re-payment of Debt</t>
  </si>
  <si>
    <t>Issuance or redemption of Non  controlling Interest (NCI)</t>
  </si>
  <si>
    <t>Dividends Paid</t>
  </si>
  <si>
    <t>Interest Paid</t>
  </si>
  <si>
    <t>Cash from Financing</t>
  </si>
  <si>
    <t>Net Increase/Decrease in Cash</t>
  </si>
  <si>
    <t>Opening Cash Balance</t>
  </si>
  <si>
    <t>Closing Cash Balance</t>
  </si>
  <si>
    <t>Supporting Schedules</t>
  </si>
  <si>
    <t>Working Capital</t>
  </si>
  <si>
    <t>Others</t>
  </si>
  <si>
    <t>Depreciation Schedule</t>
  </si>
  <si>
    <t xml:space="preserve">PPE Opening </t>
  </si>
  <si>
    <t>Plus Capex</t>
  </si>
  <si>
    <t>Less Depreciation</t>
  </si>
  <si>
    <t xml:space="preserve">PPE Closing </t>
  </si>
  <si>
    <t>Debt &amp; Interest Schedule</t>
  </si>
  <si>
    <t xml:space="preserve">Debt Opening </t>
  </si>
  <si>
    <t>Issuance (repayment)</t>
  </si>
  <si>
    <t xml:space="preserve">Debt Closing </t>
  </si>
  <si>
    <t>Interest Expense</t>
  </si>
  <si>
    <t>DCF</t>
  </si>
  <si>
    <t>Assumptions</t>
  </si>
  <si>
    <t>Transaction Date</t>
  </si>
  <si>
    <t>Fiscal Year End</t>
  </si>
  <si>
    <t>Tax Rate</t>
  </si>
  <si>
    <t>EV/EBITDA Multiple</t>
  </si>
  <si>
    <t>Perpetual Growth Rate</t>
  </si>
  <si>
    <t>Discount Rate</t>
  </si>
  <si>
    <t>Shares Outstanding</t>
  </si>
  <si>
    <t>Current Price</t>
  </si>
  <si>
    <t>Discounted Cash Flow</t>
  </si>
  <si>
    <t>Entry</t>
  </si>
  <si>
    <t>Exit</t>
  </si>
  <si>
    <t>Terminal Value</t>
  </si>
  <si>
    <t>Date</t>
  </si>
  <si>
    <t>EV/EBITDA</t>
  </si>
  <si>
    <t>Time periods</t>
  </si>
  <si>
    <t>Prep. Growth</t>
  </si>
  <si>
    <t>Year frac.</t>
  </si>
  <si>
    <t>Average</t>
  </si>
  <si>
    <t>Less: Cash Taxes</t>
  </si>
  <si>
    <t>NOPAT</t>
  </si>
  <si>
    <t>Plus: Depreciation &amp; Amortization</t>
  </si>
  <si>
    <t>Less: Capex</t>
  </si>
  <si>
    <t>Less: Changes in NWC</t>
  </si>
  <si>
    <t>Unlevered FCFF</t>
  </si>
  <si>
    <t>Transaction FCFF</t>
  </si>
  <si>
    <t>-</t>
  </si>
  <si>
    <t>Intrinsic Value</t>
  </si>
  <si>
    <t>Market Value</t>
  </si>
  <si>
    <t>Rate of Return</t>
  </si>
  <si>
    <t>Enterprise Value</t>
  </si>
  <si>
    <t>Market Cap</t>
  </si>
  <si>
    <t>Plus: Cash &amp; Equivalents</t>
  </si>
  <si>
    <t>Plus: Debt</t>
  </si>
  <si>
    <t>Target Price</t>
  </si>
  <si>
    <t>Less: Debt</t>
  </si>
  <si>
    <t>Plus: Non-Controlling Interest</t>
  </si>
  <si>
    <t>TP Upside</t>
  </si>
  <si>
    <t>Less: Non-Controlling Interest</t>
  </si>
  <si>
    <t>Less: Cash &amp; Equivalents</t>
  </si>
  <si>
    <t>Equity Value</t>
  </si>
  <si>
    <t>Equity Value/Share</t>
  </si>
  <si>
    <t>Sensitivity Analysis</t>
  </si>
  <si>
    <t>Sensitivites - Intrinsic Value (Rs/Share)</t>
  </si>
  <si>
    <t>Exit Multiple</t>
  </si>
  <si>
    <t xml:space="preserve">Comps Valuation </t>
  </si>
  <si>
    <t>Market Data</t>
  </si>
  <si>
    <t>Financial Data</t>
  </si>
  <si>
    <t>Valuation</t>
  </si>
  <si>
    <t xml:space="preserve">Price </t>
  </si>
  <si>
    <t>Shares</t>
  </si>
  <si>
    <t xml:space="preserve">Debt </t>
  </si>
  <si>
    <t>Cash &amp; Equivalents</t>
  </si>
  <si>
    <t>EV</t>
  </si>
  <si>
    <t>Earnings</t>
  </si>
  <si>
    <t>EV/Sales</t>
  </si>
  <si>
    <t>P/E</t>
  </si>
  <si>
    <t>Company Name</t>
  </si>
  <si>
    <t>(₹/Share)</t>
  </si>
  <si>
    <t>M</t>
  </si>
  <si>
    <t>Dr. Reddy's Laboratories Limited</t>
  </si>
  <si>
    <t>Zydus Lifesciences Limited</t>
  </si>
  <si>
    <t>Torrent Pharmaceuticals Limited</t>
  </si>
  <si>
    <t>Lupin Limited</t>
  </si>
  <si>
    <t>Aurobindo Pharma Limited</t>
  </si>
  <si>
    <t>Abbott India Limited</t>
  </si>
  <si>
    <t>GlaxoSmithKline Pharmaceuticals Limited</t>
  </si>
  <si>
    <t>Ipca Laboratories Limited</t>
  </si>
  <si>
    <t>Gland Pharma Limited</t>
  </si>
  <si>
    <t>Median</t>
  </si>
  <si>
    <t>Alkem Laboratories Limited</t>
  </si>
  <si>
    <t>Metrics</t>
  </si>
  <si>
    <t>Comps</t>
  </si>
  <si>
    <t xml:space="preserve">Net Debt </t>
  </si>
  <si>
    <t>Share Price</t>
  </si>
  <si>
    <t>EV/Revenue</t>
  </si>
  <si>
    <t>Market Returns</t>
  </si>
  <si>
    <t>Index Name</t>
  </si>
  <si>
    <t>Total Returns Index</t>
  </si>
  <si>
    <t>Nifty 50 TRI</t>
  </si>
  <si>
    <t>NIFTY 50</t>
  </si>
  <si>
    <t>Yearfra</t>
  </si>
  <si>
    <t>Beta</t>
  </si>
  <si>
    <t>Company Beta</t>
  </si>
  <si>
    <t>SUMMARY OUTPUT</t>
  </si>
  <si>
    <t>Index Close</t>
  </si>
  <si>
    <t>% Change</t>
  </si>
  <si>
    <t>Stock</t>
  </si>
  <si>
    <t>%Change</t>
  </si>
  <si>
    <t xml:space="preserve">Date </t>
  </si>
  <si>
    <t>Price</t>
  </si>
  <si>
    <t>Monthly</t>
  </si>
  <si>
    <t>Close Price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</si>
  <si>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</si>
  <si>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</si>
  <si>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</si>
  <si>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</si>
  <si>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</si>
  <si>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</si>
  <si>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</si>
  <si>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</si>
  <si>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</si>
  <si>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</si>
  <si>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</si>
  <si>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</si>
  <si>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</si>
  <si>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</si>
  <si>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Coefficients</t>
  </si>
  <si>
    <t>t Stat</t>
  </si>
  <si>
    <t>P-value</t>
  </si>
  <si>
    <t>Lower 95%</t>
  </si>
  <si>
    <t>Upper 95%</t>
  </si>
  <si>
    <t>Intercept</t>
  </si>
  <si>
    <t>X Variable 1</t>
  </si>
  <si>
    <t>Weighted - Average Cost of Capital (WACC)</t>
  </si>
  <si>
    <t>All Amounts Denominated in INR MM Unless Otherwise Stated</t>
  </si>
  <si>
    <t>Comparable Companies Beta</t>
  </si>
  <si>
    <t>Equity &amp;</t>
  </si>
  <si>
    <t>Debt/</t>
  </si>
  <si>
    <t>Levered</t>
  </si>
  <si>
    <t>Unlevered</t>
  </si>
  <si>
    <t>Name</t>
  </si>
  <si>
    <t>Value</t>
  </si>
  <si>
    <t>Capital</t>
  </si>
  <si>
    <t>Rate %</t>
  </si>
  <si>
    <t xml:space="preserve">Average </t>
  </si>
  <si>
    <t>Alkem Pharma</t>
  </si>
  <si>
    <t xml:space="preserve">WACC Calculation </t>
  </si>
  <si>
    <t>Target Capital Structure</t>
  </si>
  <si>
    <t>Proportion of Debt</t>
  </si>
  <si>
    <t>Proportion of Equity</t>
  </si>
  <si>
    <t>Current Capital Structure</t>
  </si>
  <si>
    <t>Total Debt</t>
  </si>
  <si>
    <t>Debt / Equity</t>
  </si>
  <si>
    <t>Cost of Debt</t>
  </si>
  <si>
    <t>Pre-Tax Cost of Debt</t>
  </si>
  <si>
    <t>After - Tax Cost of Debt</t>
  </si>
  <si>
    <t>Cost of Equity</t>
  </si>
  <si>
    <t>Risk Free Rate</t>
  </si>
  <si>
    <t>Equity market Return</t>
  </si>
  <si>
    <t>Equity Risk Premium</t>
  </si>
  <si>
    <t>Levered Equity Beta</t>
  </si>
  <si>
    <t>WACC</t>
  </si>
  <si>
    <t>Valuation Summary - Football Field</t>
  </si>
  <si>
    <t>Football Field</t>
  </si>
  <si>
    <t>52-week hi/lo</t>
  </si>
  <si>
    <t>Market Consensus</t>
  </si>
  <si>
    <t>Method</t>
  </si>
  <si>
    <t>Low</t>
  </si>
  <si>
    <t>Range</t>
  </si>
  <si>
    <t>High</t>
  </si>
  <si>
    <t>52-week</t>
  </si>
  <si>
    <t>Consensus</t>
  </si>
  <si>
    <t>Valuation Summary</t>
  </si>
  <si>
    <t>Methodology</t>
  </si>
  <si>
    <t>Midpoint</t>
  </si>
  <si>
    <t>vs. CMP</t>
  </si>
  <si>
    <t>Trading Comps</t>
  </si>
  <si>
    <t>Blended Target</t>
  </si>
  <si>
    <t>Current Market Price</t>
  </si>
  <si>
    <t>Recommendation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</si>
</sst>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#,##0;\(#,##0\);\-"/>
    <numFmt numFmtId="165" formatCode="#,##0.0"/>
    <numFmt numFmtId="166" formatCode="_ * #,##0_ ;_ * \-#,##0_ ;_ * &quot;-&quot;??_ ;_ @_ "/>
    <numFmt numFmtId="167" formatCode="0.0%"/>
    <numFmt numFmtId="168" formatCode="#,##0;\(#,##0\)"/>
    <numFmt numFmtId="169" formatCode="#,##0.000;\(#,##0.000\);0.000"/>
    <numFmt numFmtId="170" formatCode="0.0&quot;x&quot;"/>
    <numFmt numFmtId="171" formatCode="#,##0.000"/>
    <numFmt numFmtId="172" formatCode="_ [$₹-4009]\ * #,##0.00_ ;_ [$₹-4009]\ * \-#,##0.00_ ;_ [$₹-4009]\ * &quot;-&quot;??_ ;_ @_ "/>
    <numFmt numFmtId="173" formatCode="0.0"/>
    <numFmt numFmtId="174" formatCode="[$₹-4009]#,##0;\([$₹-4009]#,##0\)"/>
    <numFmt numFmtId="175" formatCode="0.00000000"/>
    <numFmt numFmtId="176" formatCode="0.0000000"/>
    <numFmt numFmtId="177" formatCode="0.0000"/>
    <numFmt numFmtId="178" formatCode="0.000000"/>
    <numFmt numFmtId="179" formatCode="#&quot;A&quot;"/>
    <numFmt numFmtId="180" formatCode="#&quot;F&quot;"/>
    <numFmt numFmtId="181" formatCode="0.0\x"/>
  </numFmts>
  <fonts count="50">
    <font>
      <sz val="11"/>
      <color theme="1"/>
      <name val="Calibri"/>
      <family val="2"/>
    </font>
    <font>
      <sz val="11"/>
      <color theme="1"/>
      <name val="Book Antiqua"/>
      <family val="1"/>
    </font>
    <font>
      <sz val="11"/>
      <color theme="0"/>
      <name val="Book Antiqua"/>
      <family val="1"/>
    </font>
    <font>
      <b/>
      <sz val="11"/>
      <color theme="1"/>
      <name val="Book Antiqua"/>
      <family val="1"/>
    </font>
    <font>
      <sz val="11"/>
      <color theme="1"/>
      <name val="Calibri"/>
      <family val="2"/>
    </font>
    <font>
      <sz val="11"/>
      <color rgb="FF0000FF"/>
      <name val="Arial"/>
      <charset val="1"/>
    </font>
    <font>
      <b/>
      <sz val="11"/>
      <color rgb="FF000000"/>
      <name val="Arial"/>
      <charset val="1"/>
    </font>
    <font>
      <b/>
      <sz val="11"/>
      <color rgb="FFFFFFFF"/>
      <name val="Arial"/>
      <charset val="1"/>
    </font>
    <font>
      <sz val="9"/>
      <color rgb="FF666666"/>
      <name val="Arial"/>
      <charset val="1"/>
    </font>
    <font>
      <sz val="11"/>
      <color rgb="FF000000"/>
      <name val="Arial"/>
      <charset val="1"/>
    </font>
    <font>
      <b/>
      <sz val="12"/>
      <color rgb="FF000000"/>
      <name val="Arial"/>
      <charset val="1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b/>
      <sz val="12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sz val="11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1"/>
      <color rgb="FFFFFFFF"/>
      <name val="Arial"/>
      <family val="2"/>
    </font>
    <font>
      <b/>
      <sz val="14"/>
      <color theme="1"/>
      <name val="Book Antiqua"/>
      <family val="1"/>
    </font>
    <font>
      <b/>
      <sz val="11"/>
      <color theme="1"/>
      <name val="Calibri"/>
      <family val="2"/>
    </font>
    <font>
      <sz val="11"/>
      <color rgb="FF008000"/>
      <name val="Calibri"/>
      <family val="2"/>
    </font>
    <font>
      <sz val="11"/>
      <color rgb="FF0000FF"/>
      <name val="Calibri"/>
      <family val="2"/>
    </font>
    <font>
      <b/>
      <sz val="11"/>
      <color rgb="FF0000FF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B05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008000"/>
      <name val="Calibri"/>
      <family val="2"/>
    </font>
    <font>
      <sz val="11"/>
      <color theme="0"/>
      <name val="Calibri"/>
      <family val="2"/>
    </font>
    <font>
      <sz val="9"/>
      <color rgb="FF666666"/>
      <name val="Arial"/>
      <family val="2"/>
    </font>
    <font>
      <sz val="9"/>
      <color theme="0"/>
      <name val="Arial"/>
      <family val="2"/>
    </font>
    <font>
      <sz val="11"/>
      <color theme="4" tint="-0.499984740745262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indexed="8"/>
      <name val="Calibri"/>
      <charset val="134"/>
    </font>
    <font>
      <b/>
      <sz val="11"/>
      <color theme="0"/>
      <name val="Book Antiqua"/>
      <family val="1"/>
    </font>
    <font>
      <b/>
      <sz val="12"/>
      <color rgb="FFFFFFFF"/>
      <name val="Calibri"/>
      <family val="2"/>
    </font>
    <font>
      <sz val="11"/>
      <color indexed="8"/>
      <name val="Calibri"/>
      <family val="2"/>
    </font>
    <font>
      <b/>
      <i/>
      <sz val="11"/>
      <color theme="1"/>
      <name val="Calibri"/>
      <family val="2"/>
    </font>
    <font>
      <i/>
      <sz val="11"/>
      <color theme="1"/>
      <name val="Calibri"/>
      <family val="2"/>
    </font>
    <font>
      <i/>
      <sz val="11"/>
      <color rgb="FF0000FF"/>
      <name val="Calibri"/>
      <family val="2"/>
    </font>
    <font>
      <b/>
      <sz val="12"/>
      <color theme="1"/>
      <name val="Book Antiqua"/>
      <family val="1"/>
    </font>
    <font>
      <b/>
      <sz val="11"/>
      <color theme="0"/>
      <name val="Calibri"/>
      <family val="2"/>
    </font>
    <font>
      <b/>
      <i/>
      <sz val="11"/>
      <color theme="0"/>
      <name val="Calibri"/>
      <family val="2"/>
    </font>
    <font>
      <b/>
      <sz val="11"/>
      <color theme="0"/>
      <name val="Arial"/>
      <family val="2"/>
    </font>
    <font>
      <b/>
      <sz val="11"/>
      <color rgb="FFFFFFFF"/>
      <name val="Calibri"/>
      <family val="2"/>
    </font>
    <font>
      <b/>
      <sz val="12"/>
      <color theme="0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E2EFDA"/>
        <bgColor rgb="FFDCE6F1"/>
      </patternFill>
    </fill>
    <fill>
      <patternFill patternType="solid">
        <fgColor rgb="FF2E4057"/>
        <bgColor rgb="FF1B2A4A"/>
      </patternFill>
    </fill>
    <fill>
      <patternFill patternType="solid">
        <fgColor rgb="FFDCE6F1"/>
        <bgColor rgb="FFE2EFDA"/>
      </patternFill>
    </fill>
    <fill>
      <patternFill patternType="solid">
        <fgColor rgb="FFF2F2F2"/>
        <bgColor rgb="FFE2EFDA"/>
      </patternFill>
    </fill>
    <fill>
      <patternFill patternType="solid">
        <fgColor rgb="FFD6E4F0"/>
        <bgColor rgb="FFCCFFFF"/>
      </patternFill>
    </fill>
    <fill>
      <patternFill patternType="solid">
        <fgColor rgb="FFB4C6E7"/>
        <bgColor rgb="FF99CCFF"/>
      </patternFill>
    </fill>
    <fill>
      <patternFill patternType="solid">
        <fgColor rgb="FF2F5496"/>
        <bgColor rgb="FF666699"/>
      </patternFill>
    </fill>
    <fill>
      <patternFill patternType="solid">
        <fgColor rgb="FFE2EFD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2E405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03764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-0.499984740745262"/>
        <bgColor rgb="FF1B2A4A"/>
      </patternFill>
    </fill>
    <fill>
      <patternFill patternType="solid">
        <fgColor rgb="FF000000"/>
        <bgColor indexed="64"/>
      </patternFill>
    </fill>
    <fill>
      <patternFill patternType="solid">
        <fgColor rgb="FF1F1F1F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2F2F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214">
    <xf numFmtId="0" fontId="0" fillId="0" borderId="0" xfId="0"/>
    <xf numFmtId="0" fontId="1" fillId="0" borderId="0" xfId="0" applyFont="1"/>
    <xf numFmtId="3" fontId="1" fillId="0" borderId="0" xfId="0" applyNumberFormat="1" applyFont="1"/>
    <xf numFmtId="3" fontId="5" fillId="0" borderId="0" xfId="0" applyNumberFormat="1" applyFont="1" applyAlignment="1">
      <alignment horizontal="right" vertical="center"/>
    </xf>
    <xf numFmtId="0" fontId="7" fillId="4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right" vertical="center"/>
    </xf>
    <xf numFmtId="0" fontId="6" fillId="5" borderId="0" xfId="0" applyFont="1" applyFill="1"/>
    <xf numFmtId="0" fontId="9" fillId="0" borderId="0" xfId="0" applyFont="1" applyAlignment="1">
      <alignment horizontal="left" vertical="center" indent="2"/>
    </xf>
    <xf numFmtId="0" fontId="6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 wrapText="1" indent="2"/>
    </xf>
    <xf numFmtId="0" fontId="6" fillId="0" borderId="0" xfId="0" applyFont="1"/>
    <xf numFmtId="0" fontId="10" fillId="0" borderId="0" xfId="0" applyFont="1"/>
    <xf numFmtId="164" fontId="6" fillId="6" borderId="0" xfId="0" applyNumberFormat="1" applyFont="1" applyFill="1" applyAlignment="1">
      <alignment horizontal="right" vertical="center"/>
    </xf>
    <xf numFmtId="3" fontId="10" fillId="3" borderId="2" xfId="0" applyNumberFormat="1" applyFont="1" applyFill="1" applyBorder="1" applyAlignment="1">
      <alignment horizontal="right" vertical="center"/>
    </xf>
    <xf numFmtId="0" fontId="11" fillId="0" borderId="0" xfId="0" applyFont="1"/>
    <xf numFmtId="0" fontId="12" fillId="0" borderId="0" xfId="0" applyFont="1"/>
    <xf numFmtId="3" fontId="12" fillId="0" borderId="0" xfId="0" applyNumberFormat="1" applyFont="1"/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indent="2"/>
    </xf>
    <xf numFmtId="0" fontId="14" fillId="0" borderId="0" xfId="0" applyFont="1" applyAlignment="1">
      <alignment indent="1"/>
    </xf>
    <xf numFmtId="0" fontId="15" fillId="0" borderId="0" xfId="0" applyFont="1" applyAlignment="1">
      <alignment indent="3"/>
    </xf>
    <xf numFmtId="4" fontId="15" fillId="0" borderId="0" xfId="0" applyNumberFormat="1" applyFont="1"/>
    <xf numFmtId="0" fontId="15" fillId="0" borderId="0" xfId="0" applyFont="1"/>
    <xf numFmtId="0" fontId="15" fillId="0" borderId="0" xfId="0" applyFont="1" applyAlignment="1">
      <alignment indent="1"/>
    </xf>
    <xf numFmtId="4" fontId="14" fillId="7" borderId="1" xfId="0" applyNumberFormat="1" applyFont="1" applyFill="1" applyBorder="1"/>
    <xf numFmtId="4" fontId="12" fillId="0" borderId="0" xfId="0" applyNumberFormat="1" applyFont="1"/>
    <xf numFmtId="0" fontId="16" fillId="0" borderId="0" xfId="0" applyFont="1" applyAlignment="1">
      <alignment indent="2"/>
    </xf>
    <xf numFmtId="0" fontId="16" fillId="0" borderId="0" xfId="0" applyFont="1" applyAlignment="1">
      <alignment indent="1"/>
    </xf>
    <xf numFmtId="0" fontId="17" fillId="0" borderId="0" xfId="0" applyFont="1"/>
    <xf numFmtId="0" fontId="17" fillId="0" borderId="0" xfId="0" applyFont="1" applyAlignment="1">
      <alignment indent="1"/>
    </xf>
    <xf numFmtId="0" fontId="17" fillId="0" borderId="0" xfId="0" applyFont="1" applyAlignment="1">
      <alignment indent="2"/>
    </xf>
    <xf numFmtId="0" fontId="16" fillId="0" borderId="0" xfId="0" applyFont="1" applyAlignment="1">
      <alignment indent="3"/>
    </xf>
    <xf numFmtId="4" fontId="16" fillId="0" borderId="0" xfId="0" applyNumberFormat="1" applyFont="1"/>
    <xf numFmtId="3" fontId="14" fillId="7" borderId="1" xfId="0" applyNumberFormat="1" applyFont="1" applyFill="1" applyBorder="1"/>
    <xf numFmtId="4" fontId="17" fillId="0" borderId="0" xfId="0" applyNumberFormat="1" applyFont="1"/>
    <xf numFmtId="165" fontId="16" fillId="0" borderId="0" xfId="0" applyNumberFormat="1" applyFont="1"/>
    <xf numFmtId="3" fontId="16" fillId="0" borderId="0" xfId="0" applyNumberFormat="1" applyFont="1"/>
    <xf numFmtId="166" fontId="12" fillId="0" borderId="0" xfId="1" applyNumberFormat="1" applyFont="1"/>
    <xf numFmtId="0" fontId="18" fillId="0" borderId="0" xfId="0" applyFont="1"/>
    <xf numFmtId="4" fontId="17" fillId="7" borderId="1" xfId="0" applyNumberFormat="1" applyFont="1" applyFill="1" applyBorder="1"/>
    <xf numFmtId="4" fontId="17" fillId="8" borderId="3" xfId="0" applyNumberFormat="1" applyFont="1" applyFill="1" applyBorder="1"/>
    <xf numFmtId="0" fontId="19" fillId="9" borderId="0" xfId="0" applyFont="1" applyFill="1" applyAlignment="1">
      <alignment horizontal="center"/>
    </xf>
    <xf numFmtId="0" fontId="16" fillId="0" borderId="0" xfId="0" applyFont="1"/>
    <xf numFmtId="0" fontId="20" fillId="0" borderId="0" xfId="0" applyFont="1"/>
    <xf numFmtId="0" fontId="21" fillId="0" borderId="0" xfId="0" applyFont="1"/>
    <xf numFmtId="164" fontId="22" fillId="0" borderId="0" xfId="0" applyNumberFormat="1" applyFont="1"/>
    <xf numFmtId="3" fontId="16" fillId="0" borderId="0" xfId="0" applyNumberFormat="1" applyFont="1" applyAlignment="1">
      <alignment horizontal="right"/>
    </xf>
    <xf numFmtId="3" fontId="0" fillId="0" borderId="0" xfId="0" applyNumberFormat="1"/>
    <xf numFmtId="167" fontId="23" fillId="0" borderId="0" xfId="0" applyNumberFormat="1" applyFont="1"/>
    <xf numFmtId="164" fontId="25" fillId="0" borderId="0" xfId="0" applyNumberFormat="1" applyFont="1"/>
    <xf numFmtId="168" fontId="22" fillId="0" borderId="0" xfId="0" applyNumberFormat="1" applyFont="1"/>
    <xf numFmtId="164" fontId="26" fillId="0" borderId="0" xfId="0" applyNumberFormat="1" applyFont="1"/>
    <xf numFmtId="164" fontId="27" fillId="0" borderId="0" xfId="0" applyNumberFormat="1" applyFont="1"/>
    <xf numFmtId="166" fontId="0" fillId="0" borderId="0" xfId="1" applyNumberFormat="1" applyFont="1"/>
    <xf numFmtId="164" fontId="22" fillId="0" borderId="0" xfId="1" applyNumberFormat="1" applyFont="1"/>
    <xf numFmtId="169" fontId="25" fillId="0" borderId="0" xfId="0" applyNumberFormat="1" applyFont="1"/>
    <xf numFmtId="164" fontId="30" fillId="0" borderId="0" xfId="0" applyNumberFormat="1" applyFont="1"/>
    <xf numFmtId="9" fontId="0" fillId="0" borderId="0" xfId="2" applyFont="1"/>
    <xf numFmtId="49" fontId="25" fillId="0" borderId="0" xfId="0" applyNumberFormat="1" applyFont="1" applyAlignment="1">
      <alignment horizontal="right"/>
    </xf>
    <xf numFmtId="0" fontId="3" fillId="0" borderId="0" xfId="0" applyFont="1"/>
    <xf numFmtId="167" fontId="25" fillId="0" borderId="0" xfId="0" applyNumberFormat="1" applyFont="1"/>
    <xf numFmtId="49" fontId="0" fillId="0" borderId="0" xfId="0" applyNumberFormat="1" applyAlignment="1">
      <alignment horizontal="right"/>
    </xf>
    <xf numFmtId="1" fontId="25" fillId="0" borderId="0" xfId="0" applyNumberFormat="1" applyFont="1"/>
    <xf numFmtId="1" fontId="23" fillId="0" borderId="0" xfId="0" applyNumberFormat="1" applyFont="1"/>
    <xf numFmtId="170" fontId="25" fillId="0" borderId="0" xfId="0" applyNumberFormat="1" applyFont="1"/>
    <xf numFmtId="170" fontId="23" fillId="0" borderId="0" xfId="0" applyNumberFormat="1" applyFont="1"/>
    <xf numFmtId="167" fontId="25" fillId="0" borderId="0" xfId="2" applyNumberFormat="1" applyFont="1"/>
    <xf numFmtId="3" fontId="25" fillId="0" borderId="0" xfId="0" applyNumberFormat="1" applyFont="1"/>
    <xf numFmtId="167" fontId="0" fillId="0" borderId="0" xfId="2" applyNumberFormat="1" applyFont="1"/>
    <xf numFmtId="167" fontId="0" fillId="0" borderId="0" xfId="0" applyNumberFormat="1"/>
    <xf numFmtId="0" fontId="3" fillId="0" borderId="4" xfId="0" applyFont="1" applyBorder="1"/>
    <xf numFmtId="0" fontId="0" fillId="0" borderId="4" xfId="0" applyBorder="1"/>
    <xf numFmtId="0" fontId="3" fillId="0" borderId="4" xfId="0" applyFont="1" applyBorder="1" applyAlignment="1">
      <alignment horizontal="center"/>
    </xf>
    <xf numFmtId="0" fontId="19" fillId="12" borderId="0" xfId="0" applyFont="1" applyFill="1" applyAlignment="1">
      <alignment horizontal="center"/>
    </xf>
    <xf numFmtId="167" fontId="0" fillId="11" borderId="0" xfId="0" applyNumberFormat="1" applyFill="1" applyAlignment="1">
      <alignment horizontal="right"/>
    </xf>
    <xf numFmtId="167" fontId="0" fillId="0" borderId="0" xfId="0" applyNumberFormat="1" applyAlignment="1">
      <alignment horizontal="right"/>
    </xf>
    <xf numFmtId="0" fontId="24" fillId="11" borderId="0" xfId="0" applyFont="1" applyFill="1" applyAlignment="1">
      <alignment horizontal="center"/>
    </xf>
    <xf numFmtId="167" fontId="21" fillId="10" borderId="0" xfId="0" applyNumberFormat="1" applyFont="1" applyFill="1" applyAlignment="1">
      <alignment horizontal="right"/>
    </xf>
    <xf numFmtId="0" fontId="3" fillId="0" borderId="0" xfId="0" applyFont="1" applyAlignment="1">
      <alignment horizontal="center"/>
    </xf>
    <xf numFmtId="167" fontId="0" fillId="0" borderId="0" xfId="2" applyNumberFormat="1" applyFont="1" applyAlignment="1">
      <alignment horizontal="right"/>
    </xf>
    <xf numFmtId="9" fontId="17" fillId="0" borderId="0" xfId="2" applyFont="1"/>
    <xf numFmtId="171" fontId="0" fillId="0" borderId="0" xfId="0" applyNumberFormat="1"/>
    <xf numFmtId="2" fontId="0" fillId="0" borderId="0" xfId="0" applyNumberFormat="1"/>
    <xf numFmtId="2" fontId="21" fillId="0" borderId="0" xfId="0" applyNumberFormat="1" applyFont="1"/>
    <xf numFmtId="164" fontId="0" fillId="0" borderId="0" xfId="0" applyNumberFormat="1"/>
    <xf numFmtId="1" fontId="0" fillId="0" borderId="0" xfId="0" applyNumberFormat="1"/>
    <xf numFmtId="164" fontId="0" fillId="0" borderId="0" xfId="1" applyNumberFormat="1" applyFont="1"/>
    <xf numFmtId="0" fontId="32" fillId="0" borderId="0" xfId="0" applyFont="1" applyAlignment="1">
      <alignment horizontal="center" vertical="center"/>
    </xf>
    <xf numFmtId="0" fontId="31" fillId="2" borderId="0" xfId="0" applyFont="1" applyFill="1"/>
    <xf numFmtId="172" fontId="31" fillId="2" borderId="0" xfId="3" applyNumberFormat="1" applyFont="1" applyFill="1"/>
    <xf numFmtId="0" fontId="33" fillId="2" borderId="0" xfId="0" applyFont="1" applyFill="1" applyAlignment="1">
      <alignment horizontal="center" vertical="center"/>
    </xf>
    <xf numFmtId="10" fontId="0" fillId="0" borderId="0" xfId="0" applyNumberFormat="1"/>
    <xf numFmtId="170" fontId="0" fillId="0" borderId="0" xfId="0" applyNumberFormat="1"/>
    <xf numFmtId="170" fontId="0" fillId="0" borderId="0" xfId="0" applyNumberFormat="1" applyAlignment="1">
      <alignment horizontal="right"/>
    </xf>
    <xf numFmtId="166" fontId="34" fillId="13" borderId="0" xfId="1" applyNumberFormat="1" applyFont="1" applyFill="1"/>
    <xf numFmtId="166" fontId="34" fillId="0" borderId="0" xfId="1" applyNumberFormat="1" applyFont="1"/>
    <xf numFmtId="166" fontId="0" fillId="0" borderId="0" xfId="0" applyNumberFormat="1"/>
    <xf numFmtId="43" fontId="0" fillId="0" borderId="0" xfId="1" applyFont="1" applyAlignment="1">
      <alignment horizontal="right"/>
    </xf>
    <xf numFmtId="170" fontId="0" fillId="0" borderId="0" xfId="0" applyNumberFormat="1" applyAlignment="1">
      <alignment horizontal="center"/>
    </xf>
    <xf numFmtId="173" fontId="0" fillId="0" borderId="0" xfId="0" applyNumberFormat="1"/>
    <xf numFmtId="0" fontId="37" fillId="0" borderId="0" xfId="0" applyFont="1" applyAlignment="1">
      <alignment vertical="center"/>
    </xf>
    <xf numFmtId="15" fontId="37" fillId="0" borderId="0" xfId="0" applyNumberFormat="1" applyFont="1" applyAlignment="1">
      <alignment vertical="center"/>
    </xf>
    <xf numFmtId="10" fontId="0" fillId="0" borderId="0" xfId="2" applyNumberFormat="1" applyFont="1"/>
    <xf numFmtId="0" fontId="31" fillId="0" borderId="0" xfId="0" applyFont="1"/>
    <xf numFmtId="167" fontId="23" fillId="0" borderId="0" xfId="0" applyNumberFormat="1" applyFont="1" applyAlignment="1">
      <alignment horizontal="right"/>
    </xf>
    <xf numFmtId="0" fontId="26" fillId="0" borderId="0" xfId="0" applyFont="1"/>
    <xf numFmtId="167" fontId="21" fillId="0" borderId="0" xfId="0" applyNumberFormat="1" applyFont="1" applyAlignment="1">
      <alignment horizontal="right"/>
    </xf>
    <xf numFmtId="2" fontId="23" fillId="0" borderId="0" xfId="0" applyNumberFormat="1" applyFont="1" applyAlignment="1">
      <alignment horizontal="right"/>
    </xf>
    <xf numFmtId="2" fontId="0" fillId="0" borderId="0" xfId="0" applyNumberFormat="1" applyAlignment="1">
      <alignment horizontal="right"/>
    </xf>
    <xf numFmtId="0" fontId="39" fillId="14" borderId="0" xfId="0" applyFont="1" applyFill="1"/>
    <xf numFmtId="0" fontId="21" fillId="15" borderId="0" xfId="0" applyFont="1" applyFill="1"/>
    <xf numFmtId="174" fontId="22" fillId="0" borderId="0" xfId="0" applyNumberFormat="1" applyFont="1" applyAlignment="1">
      <alignment horizontal="right"/>
    </xf>
    <xf numFmtId="167" fontId="22" fillId="0" borderId="0" xfId="0" applyNumberFormat="1" applyFont="1" applyAlignment="1">
      <alignment horizontal="right"/>
    </xf>
    <xf numFmtId="167" fontId="39" fillId="14" borderId="0" xfId="0" applyNumberFormat="1" applyFont="1" applyFill="1" applyAlignment="1">
      <alignment horizontal="right"/>
    </xf>
    <xf numFmtId="0" fontId="0" fillId="2" borderId="0" xfId="0" applyFill="1"/>
    <xf numFmtId="0" fontId="40" fillId="0" borderId="0" xfId="0" applyFont="1" applyAlignment="1">
      <alignment vertical="center"/>
    </xf>
    <xf numFmtId="43" fontId="40" fillId="0" borderId="0" xfId="1" applyFont="1" applyFill="1" applyBorder="1" applyAlignment="1" applyProtection="1">
      <alignment vertical="center"/>
    </xf>
    <xf numFmtId="17" fontId="37" fillId="0" borderId="0" xfId="0" applyNumberFormat="1" applyFont="1" applyAlignment="1">
      <alignment vertical="center"/>
    </xf>
    <xf numFmtId="167" fontId="40" fillId="0" borderId="0" xfId="2" applyNumberFormat="1" applyFont="1" applyFill="1" applyBorder="1" applyAlignment="1" applyProtection="1">
      <alignment vertical="center"/>
    </xf>
    <xf numFmtId="167" fontId="40" fillId="0" borderId="0" xfId="2" applyNumberFormat="1" applyFont="1" applyAlignment="1">
      <alignment vertical="center"/>
    </xf>
    <xf numFmtId="0" fontId="41" fillId="2" borderId="0" xfId="0" applyFont="1" applyFill="1" applyAlignment="1">
      <alignment horizontal="center"/>
    </xf>
    <xf numFmtId="175" fontId="0" fillId="0" borderId="0" xfId="0" applyNumberFormat="1"/>
    <xf numFmtId="0" fontId="0" fillId="0" borderId="1" xfId="0" applyBorder="1"/>
    <xf numFmtId="1" fontId="0" fillId="0" borderId="1" xfId="0" applyNumberFormat="1" applyBorder="1"/>
    <xf numFmtId="0" fontId="0" fillId="0" borderId="5" xfId="0" applyBorder="1"/>
    <xf numFmtId="0" fontId="0" fillId="0" borderId="6" xfId="0" applyBorder="1"/>
    <xf numFmtId="0" fontId="41" fillId="0" borderId="6" xfId="0" applyFont="1" applyBorder="1" applyAlignment="1">
      <alignment horizontal="center"/>
    </xf>
    <xf numFmtId="175" fontId="0" fillId="0" borderId="1" xfId="0" applyNumberFormat="1" applyBorder="1"/>
    <xf numFmtId="176" fontId="0" fillId="0" borderId="0" xfId="0" applyNumberFormat="1"/>
    <xf numFmtId="177" fontId="0" fillId="0" borderId="0" xfId="0" applyNumberFormat="1"/>
    <xf numFmtId="178" fontId="0" fillId="0" borderId="1" xfId="0" applyNumberFormat="1" applyBorder="1"/>
    <xf numFmtId="177" fontId="0" fillId="0" borderId="1" xfId="0" applyNumberFormat="1" applyBorder="1"/>
    <xf numFmtId="0" fontId="21" fillId="0" borderId="6" xfId="0" applyFont="1" applyBorder="1"/>
    <xf numFmtId="14" fontId="25" fillId="16" borderId="8" xfId="0" applyNumberFormat="1" applyFont="1" applyFill="1" applyBorder="1" applyAlignment="1">
      <alignment horizontal="right"/>
    </xf>
    <xf numFmtId="14" fontId="0" fillId="15" borderId="7" xfId="0" applyNumberFormat="1" applyFill="1" applyBorder="1" applyAlignment="1">
      <alignment horizontal="right"/>
    </xf>
    <xf numFmtId="167" fontId="0" fillId="15" borderId="7" xfId="0" applyNumberFormat="1" applyFill="1" applyBorder="1" applyAlignment="1">
      <alignment horizontal="right"/>
    </xf>
    <xf numFmtId="2" fontId="0" fillId="15" borderId="7" xfId="0" applyNumberFormat="1" applyFill="1" applyBorder="1" applyAlignment="1">
      <alignment horizontal="right"/>
    </xf>
    <xf numFmtId="0" fontId="42" fillId="0" borderId="0" xfId="0" applyFont="1"/>
    <xf numFmtId="14" fontId="42" fillId="0" borderId="0" xfId="0" applyNumberFormat="1" applyFont="1"/>
    <xf numFmtId="2" fontId="42" fillId="0" borderId="0" xfId="0" applyNumberFormat="1" applyFont="1"/>
    <xf numFmtId="2" fontId="43" fillId="0" borderId="0" xfId="0" applyNumberFormat="1" applyFont="1"/>
    <xf numFmtId="168" fontId="0" fillId="0" borderId="0" xfId="0" applyNumberFormat="1"/>
    <xf numFmtId="0" fontId="21" fillId="0" borderId="6" xfId="0" applyFont="1" applyBorder="1" applyAlignment="1">
      <alignment horizontal="right"/>
    </xf>
    <xf numFmtId="0" fontId="41" fillId="0" borderId="5" xfId="0" applyFont="1" applyBorder="1"/>
    <xf numFmtId="168" fontId="21" fillId="0" borderId="5" xfId="0" applyNumberFormat="1" applyFont="1" applyBorder="1"/>
    <xf numFmtId="0" fontId="41" fillId="0" borderId="6" xfId="0" applyFont="1" applyBorder="1"/>
    <xf numFmtId="168" fontId="21" fillId="0" borderId="6" xfId="0" applyNumberFormat="1" applyFont="1" applyBorder="1"/>
    <xf numFmtId="0" fontId="41" fillId="0" borderId="1" xfId="0" applyFont="1" applyBorder="1"/>
    <xf numFmtId="0" fontId="21" fillId="0" borderId="1" xfId="0" applyFont="1" applyBorder="1" applyAlignment="1">
      <alignment horizontal="right"/>
    </xf>
    <xf numFmtId="168" fontId="21" fillId="0" borderId="1" xfId="0" applyNumberFormat="1" applyFont="1" applyBorder="1"/>
    <xf numFmtId="0" fontId="44" fillId="0" borderId="0" xfId="0" applyFont="1"/>
    <xf numFmtId="179" fontId="2" fillId="2" borderId="0" xfId="0" applyNumberFormat="1" applyFont="1" applyFill="1"/>
    <xf numFmtId="167" fontId="21" fillId="0" borderId="0" xfId="2" applyNumberFormat="1" applyFont="1"/>
    <xf numFmtId="0" fontId="45" fillId="2" borderId="0" xfId="0" applyFont="1" applyFill="1"/>
    <xf numFmtId="0" fontId="2" fillId="2" borderId="0" xfId="0" applyFont="1" applyFill="1"/>
    <xf numFmtId="0" fontId="3" fillId="0" borderId="1" xfId="0" applyFont="1" applyBorder="1"/>
    <xf numFmtId="0" fontId="38" fillId="2" borderId="0" xfId="0" applyFont="1" applyFill="1"/>
    <xf numFmtId="180" fontId="2" fillId="2" borderId="0" xfId="0" applyNumberFormat="1" applyFont="1" applyFill="1"/>
    <xf numFmtId="0" fontId="38" fillId="2" borderId="1" xfId="0" applyFont="1" applyFill="1" applyBorder="1"/>
    <xf numFmtId="0" fontId="47" fillId="17" borderId="1" xfId="0" applyFont="1" applyFill="1" applyBorder="1" applyAlignment="1">
      <alignment horizontal="center" vertical="center"/>
    </xf>
    <xf numFmtId="0" fontId="31" fillId="2" borderId="1" xfId="0" applyFont="1" applyFill="1" applyBorder="1"/>
    <xf numFmtId="0" fontId="21" fillId="0" borderId="10" xfId="0" applyFont="1" applyBorder="1"/>
    <xf numFmtId="0" fontId="0" fillId="0" borderId="11" xfId="0" applyBorder="1"/>
    <xf numFmtId="0" fontId="0" fillId="0" borderId="12" xfId="0" applyBorder="1"/>
    <xf numFmtId="167" fontId="27" fillId="0" borderId="0" xfId="0" applyNumberFormat="1" applyFont="1" applyAlignment="1">
      <alignment horizontal="right"/>
    </xf>
    <xf numFmtId="170" fontId="27" fillId="0" borderId="0" xfId="0" applyNumberFormat="1" applyFont="1" applyAlignment="1">
      <alignment horizontal="right"/>
    </xf>
    <xf numFmtId="0" fontId="0" fillId="0" borderId="13" xfId="0" applyBorder="1"/>
    <xf numFmtId="173" fontId="27" fillId="0" borderId="14" xfId="0" applyNumberFormat="1" applyFont="1" applyBorder="1" applyAlignment="1">
      <alignment horizontal="right"/>
    </xf>
    <xf numFmtId="0" fontId="0" fillId="0" borderId="14" xfId="0" applyBorder="1"/>
    <xf numFmtId="0" fontId="0" fillId="0" borderId="9" xfId="0" applyBorder="1"/>
    <xf numFmtId="9" fontId="0" fillId="0" borderId="9" xfId="2" applyFont="1" applyBorder="1"/>
    <xf numFmtId="14" fontId="25" fillId="16" borderId="9" xfId="0" applyNumberFormat="1" applyFont="1" applyFill="1" applyBorder="1" applyAlignment="1">
      <alignment horizontal="right"/>
    </xf>
    <xf numFmtId="14" fontId="0" fillId="15" borderId="9" xfId="0" applyNumberFormat="1" applyFill="1" applyBorder="1" applyAlignment="1">
      <alignment horizontal="right"/>
    </xf>
    <xf numFmtId="167" fontId="27" fillId="0" borderId="9" xfId="0" applyNumberFormat="1" applyFont="1" applyBorder="1" applyAlignment="1">
      <alignment horizontal="right"/>
    </xf>
    <xf numFmtId="170" fontId="27" fillId="0" borderId="9" xfId="0" applyNumberFormat="1" applyFont="1" applyBorder="1" applyAlignment="1">
      <alignment horizontal="right"/>
    </xf>
    <xf numFmtId="167" fontId="0" fillId="15" borderId="9" xfId="0" applyNumberFormat="1" applyFill="1" applyBorder="1" applyAlignment="1">
      <alignment horizontal="right"/>
    </xf>
    <xf numFmtId="2" fontId="0" fillId="15" borderId="9" xfId="0" applyNumberFormat="1" applyFill="1" applyBorder="1" applyAlignment="1">
      <alignment horizontal="right"/>
    </xf>
    <xf numFmtId="173" fontId="27" fillId="0" borderId="9" xfId="0" applyNumberFormat="1" applyFont="1" applyBorder="1" applyAlignment="1">
      <alignment horizontal="right"/>
    </xf>
    <xf numFmtId="180" fontId="21" fillId="0" borderId="6" xfId="0" applyNumberFormat="1" applyFont="1" applyBorder="1" applyAlignment="1">
      <alignment horizontal="right"/>
    </xf>
    <xf numFmtId="0" fontId="44" fillId="0" borderId="1" xfId="0" applyFont="1" applyBorder="1"/>
    <xf numFmtId="168" fontId="23" fillId="0" borderId="0" xfId="0" applyNumberFormat="1" applyFont="1"/>
    <xf numFmtId="168" fontId="21" fillId="0" borderId="0" xfId="0" applyNumberFormat="1" applyFont="1"/>
    <xf numFmtId="4" fontId="48" fillId="18" borderId="0" xfId="0" applyNumberFormat="1" applyFont="1" applyFill="1"/>
    <xf numFmtId="0" fontId="21" fillId="0" borderId="0" xfId="0" applyFont="1" applyAlignment="1">
      <alignment horizontal="center"/>
    </xf>
    <xf numFmtId="0" fontId="49" fillId="2" borderId="0" xfId="0" applyFont="1" applyFill="1"/>
    <xf numFmtId="181" fontId="0" fillId="0" borderId="1" xfId="0" applyNumberFormat="1" applyBorder="1"/>
    <xf numFmtId="43" fontId="0" fillId="0" borderId="0" xfId="0" applyNumberFormat="1"/>
    <xf numFmtId="3" fontId="21" fillId="20" borderId="0" xfId="0" applyNumberFormat="1" applyFont="1" applyFill="1"/>
    <xf numFmtId="3" fontId="0" fillId="21" borderId="0" xfId="0" applyNumberFormat="1" applyFill="1"/>
    <xf numFmtId="167" fontId="21" fillId="0" borderId="1" xfId="0" applyNumberFormat="1" applyFont="1" applyBorder="1" applyAlignment="1">
      <alignment horizontal="center"/>
    </xf>
    <xf numFmtId="43" fontId="0" fillId="0" borderId="15" xfId="1" applyFont="1" applyBorder="1"/>
    <xf numFmtId="167" fontId="0" fillId="0" borderId="15" xfId="2" applyNumberFormat="1" applyFont="1" applyBorder="1"/>
    <xf numFmtId="0" fontId="0" fillId="0" borderId="15" xfId="0" applyBorder="1"/>
    <xf numFmtId="167" fontId="21" fillId="0" borderId="15" xfId="0" applyNumberFormat="1" applyFont="1" applyBorder="1" applyAlignment="1">
      <alignment horizontal="center"/>
    </xf>
    <xf numFmtId="0" fontId="21" fillId="15" borderId="0" xfId="0" applyFont="1" applyFill="1" applyAlignment="1">
      <alignment horizontal="center"/>
    </xf>
    <xf numFmtId="0" fontId="21" fillId="22" borderId="0" xfId="0" applyFont="1" applyFill="1"/>
    <xf numFmtId="3" fontId="21" fillId="22" borderId="0" xfId="0" applyNumberFormat="1" applyFont="1" applyFill="1"/>
    <xf numFmtId="167" fontId="21" fillId="22" borderId="0" xfId="0" applyNumberFormat="1" applyFont="1" applyFill="1"/>
    <xf numFmtId="3" fontId="21" fillId="11" borderId="0" xfId="0" applyNumberFormat="1" applyFont="1" applyFill="1"/>
    <xf numFmtId="0" fontId="21" fillId="11" borderId="0" xfId="0" applyFont="1" applyFill="1" applyAlignment="1">
      <alignment horizontal="center"/>
    </xf>
    <xf numFmtId="3" fontId="31" fillId="2" borderId="0" xfId="0" applyNumberFormat="1" applyFont="1" applyFill="1"/>
    <xf numFmtId="0" fontId="45" fillId="2" borderId="0" xfId="0" applyFont="1" applyFill="1" applyAlignment="1">
      <alignment horizontal="center"/>
    </xf>
    <xf numFmtId="0" fontId="21" fillId="0" borderId="1" xfId="0" applyFont="1" applyBorder="1"/>
    <xf numFmtId="0" fontId="21" fillId="0" borderId="1" xfId="0" applyFont="1" applyBorder="1" applyAlignment="1">
      <alignment horizontal="center"/>
    </xf>
    <xf numFmtId="0" fontId="0" fillId="0" borderId="0" xfId="0"/>
    <xf numFmtId="0" fontId="21" fillId="0" borderId="0" xfId="0" applyFont="1" applyAlignment="1">
      <alignment horizontal="center" vertical="center"/>
    </xf>
    <xf numFmtId="0" fontId="38" fillId="2" borderId="1" xfId="0" applyFont="1" applyFill="1" applyBorder="1"/>
    <xf numFmtId="0" fontId="3" fillId="0" borderId="1" xfId="0" applyFont="1" applyBorder="1"/>
    <xf numFmtId="0" fontId="2" fillId="2" borderId="0" xfId="0" applyFont="1" applyFill="1"/>
    <xf numFmtId="0" fontId="38" fillId="2" borderId="0" xfId="0" applyFont="1" applyFill="1"/>
    <xf numFmtId="0" fontId="46" fillId="2" borderId="6" xfId="0" applyFont="1" applyFill="1" applyBorder="1" applyAlignment="1">
      <alignment horizontal="center"/>
    </xf>
    <xf numFmtId="0" fontId="49" fillId="19" borderId="0" xfId="0" applyFont="1" applyFill="1" applyAlignment="1">
      <alignment horizontal="center"/>
    </xf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Valuation</a:t>
            </a:r>
            <a:r>
              <a:rPr lang="en-IN" baseline="0"/>
              <a:t> Summary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5.9278748840155195E-2"/>
          <c:y val="0.16454934805836616"/>
          <c:w val="0.91009693259566593"/>
          <c:h val="0.7643051758535484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'Valuation Summary'!$N$7</c:f>
              <c:strCache>
                <c:ptCount val="1"/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'Valuation Summary'!$M$8:$M$11</c:f>
              <c:strCache>
                <c:ptCount val="4"/>
                <c:pt idx="0">
                  <c:v>Comps</c:v>
                </c:pt>
                <c:pt idx="1">
                  <c:v>DCF</c:v>
                </c:pt>
                <c:pt idx="2">
                  <c:v>52-week</c:v>
                </c:pt>
                <c:pt idx="3">
                  <c:v>Consensus</c:v>
                </c:pt>
              </c:strCache>
            </c:strRef>
          </c:cat>
          <c:val>
            <c:numRef>
              <c:f>'Valuation Summary'!$N$8:$N$11</c:f>
              <c:numCache>
                <c:formatCode>General</c:formatCode>
                <c:ptCount val="4"/>
                <c:pt idx="0">
                  <c:v>5373</c:v>
                </c:pt>
                <c:pt idx="1">
                  <c:v>4350</c:v>
                </c:pt>
                <c:pt idx="2">
                  <c:v>3176</c:v>
                </c:pt>
                <c:pt idx="3">
                  <c:v>4800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9A-4683-AA7E-B31164676F8B}"/>
            </c:ext>
          </c:extLst>
        </c:ser>
        <c:ser>
          <c:idx val="1"/>
          <c:order val="1"/>
          <c:tx>
            <c:strRef>
              <c:f>'Valuation Summary'!$O$7</c:f>
              <c:strCache>
                <c:ptCount val="1"/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'Valuation Summary'!$M$8:$M$11</c:f>
              <c:strCache>
                <c:ptCount val="4"/>
                <c:pt idx="0">
                  <c:v>Comps</c:v>
                </c:pt>
                <c:pt idx="1">
                  <c:v>DCF</c:v>
                </c:pt>
                <c:pt idx="2">
                  <c:v>52-week</c:v>
                </c:pt>
                <c:pt idx="3">
                  <c:v>Consensus</c:v>
                </c:pt>
              </c:strCache>
            </c:strRef>
          </c:cat>
          <c:val>
            <c:numRef>
              <c:f>'Valuation Summary'!$O$8:$O$11</c:f>
              <c:numCache>
                <c:formatCode>General</c:formatCode>
                <c:ptCount val="4"/>
                <c:pt idx="0">
                  <c:v>378</c:v>
                </c:pt>
                <c:pt idx="1">
                  <c:v>1635</c:v>
                </c:pt>
                <c:pt idx="2">
                  <c:v>2017</c:v>
                </c:pt>
                <c:pt idx="3">
                  <c:v>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9A-4683-AA7E-B31164676F8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778525264"/>
        <c:axId val="778524304"/>
        <c:axId val="0"/>
      </c:bar3DChart>
      <c:catAx>
        <c:axId val="778525264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8524304"/>
        <c:crosses val="autoZero"/>
        <c:auto val="1"/>
        <c:lblAlgn val="ctr"/>
        <c:lblOffset val="100"/>
        <c:noMultiLvlLbl val="0"/>
      </c:catAx>
      <c:valAx>
        <c:axId val="778524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8525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0</xdr:rowOff>
    </xdr:from>
    <xdr:to>
      <xdr:col>12</xdr:col>
      <xdr:colOff>0</xdr:colOff>
      <xdr:row>32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631038-CEA3-005F-AAB2-71F38A925E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  <wetp:taskpane dockstate="right" visibility="0" width="438" row="4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72201B0F-E916-4C3C-9967-69D4E36A7F1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cdc9416f-bc3c-4837-9f2f-14b226b5e55a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33B3C934-20D2-4CC5-823C-1F77CA7A4AB7}">
  <we:reference id="wa200005271" version="2.6.1.0" store="en-IN" storeType="OMEX"/>
  <we:alternateReferences>
    <we:reference id="WA200005271" version="2.6.1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  <we:customFunctionIds>_xldudf_AI_WEB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F6BE-57F8-4F42-82F1-C5DCB049128B}">
  <dimension ref="A1:P183"/>
  <sheetViews>
    <sheetView showGridLines="0" workbookViewId="0">
      <selection activeCell="O173" sqref="O173"/>
    </sheetView>
  </sheetViews>
  <sheetFormatPr defaultRowHeight="14.4"/>
  <cols>
    <col min="1" max="1" width="3" customWidth="1"/>
    <col min="2" max="3" width="2.6640625" customWidth="1"/>
    <col min="4" max="4" width="74.33203125" customWidth="1"/>
    <col min="5" max="5" width="11.6640625" customWidth="1"/>
    <col min="6" max="6" width="12.88671875" customWidth="1"/>
    <col min="7" max="7" width="14" customWidth="1"/>
    <col min="8" max="8" width="15.6640625" customWidth="1"/>
    <col min="9" max="9" width="15.109375" customWidth="1"/>
    <col min="10" max="10" width="18" customWidth="1"/>
    <col min="11" max="11" width="15.6640625" customWidth="1"/>
    <col min="12" max="12" width="13.5546875" customWidth="1"/>
    <col min="13" max="13" width="12" customWidth="1"/>
    <col min="14" max="14" width="16" customWidth="1"/>
    <col min="15" max="15" width="18.44140625" customWidth="1"/>
    <col min="16" max="16" width="10" bestFit="1" customWidth="1"/>
  </cols>
  <sheetData>
    <row r="1" spans="1:10">
      <c r="A1" s="210" t="s">
        <v>0</v>
      </c>
      <c r="B1" s="210"/>
      <c r="C1" s="210"/>
      <c r="D1" s="210"/>
      <c r="E1" s="156"/>
      <c r="F1" s="156"/>
      <c r="G1" s="156"/>
      <c r="H1" s="156"/>
      <c r="I1" s="156"/>
      <c r="J1" s="156"/>
    </row>
    <row r="2" spans="1:10">
      <c r="A2" s="210" t="s">
        <v>1</v>
      </c>
      <c r="B2" s="210"/>
      <c r="C2" s="210"/>
      <c r="D2" s="210"/>
      <c r="E2" s="156"/>
      <c r="F2" s="156"/>
      <c r="G2" s="156"/>
      <c r="H2" s="156"/>
      <c r="I2" s="156"/>
      <c r="J2" s="156"/>
    </row>
    <row r="4" spans="1:10">
      <c r="A4" s="209" t="s">
        <v>2</v>
      </c>
      <c r="B4" s="209"/>
      <c r="C4" s="209"/>
      <c r="D4" s="209"/>
      <c r="E4" s="4" t="s">
        <v>3</v>
      </c>
      <c r="F4" s="157">
        <v>2019</v>
      </c>
      <c r="G4" s="157">
        <v>2020</v>
      </c>
      <c r="H4" s="157">
        <v>2021</v>
      </c>
      <c r="I4" s="157">
        <v>2022</v>
      </c>
      <c r="J4" s="157">
        <v>2023</v>
      </c>
    </row>
    <row r="5" spans="1:10">
      <c r="D5" s="7" t="s">
        <v>4</v>
      </c>
      <c r="E5" s="5"/>
      <c r="F5" s="3"/>
      <c r="G5" s="3"/>
      <c r="H5" s="3"/>
      <c r="I5" s="3"/>
      <c r="J5" s="3"/>
    </row>
    <row r="6" spans="1:10">
      <c r="D6" s="8" t="s">
        <v>5</v>
      </c>
      <c r="E6" s="89" t="s">
        <v>6</v>
      </c>
      <c r="F6" s="3">
        <v>73572</v>
      </c>
      <c r="G6" s="3">
        <v>83444</v>
      </c>
      <c r="H6" s="3">
        <v>88650</v>
      </c>
      <c r="I6" s="3">
        <v>106342</v>
      </c>
      <c r="J6" s="3">
        <v>115993</v>
      </c>
    </row>
    <row r="7" spans="1:10">
      <c r="D7" s="8" t="s">
        <v>7</v>
      </c>
      <c r="E7" s="5" t="s">
        <v>6</v>
      </c>
      <c r="F7" s="3">
        <v>877</v>
      </c>
      <c r="G7" s="3">
        <v>1042</v>
      </c>
      <c r="H7" s="3">
        <v>2332</v>
      </c>
      <c r="I7" s="3">
        <v>1477</v>
      </c>
      <c r="J7" s="3">
        <v>1131</v>
      </c>
    </row>
    <row r="8" spans="1:10">
      <c r="D8" s="9" t="s">
        <v>8</v>
      </c>
      <c r="E8" s="5" t="s">
        <v>6</v>
      </c>
      <c r="F8" s="6">
        <f>SUM(F6:F7)</f>
        <v>74449</v>
      </c>
      <c r="G8" s="6">
        <f t="shared" ref="G8:J8" si="0">SUM(G6:G7)</f>
        <v>84486</v>
      </c>
      <c r="H8" s="6">
        <f t="shared" si="0"/>
        <v>90982</v>
      </c>
      <c r="I8" s="6">
        <f t="shared" si="0"/>
        <v>107819</v>
      </c>
      <c r="J8" s="6">
        <f t="shared" si="0"/>
        <v>117124</v>
      </c>
    </row>
    <row r="9" spans="1:10">
      <c r="E9" s="5"/>
      <c r="F9" s="6"/>
      <c r="G9" s="6"/>
      <c r="H9" s="6"/>
      <c r="I9" s="6"/>
      <c r="J9" s="6"/>
    </row>
    <row r="10" spans="1:10">
      <c r="D10" s="7" t="s">
        <v>9</v>
      </c>
      <c r="E10" s="5"/>
      <c r="F10" s="6"/>
      <c r="G10" s="6"/>
      <c r="H10" s="6"/>
      <c r="I10" s="6"/>
      <c r="J10" s="6"/>
    </row>
    <row r="11" spans="1:10">
      <c r="D11" s="8" t="s">
        <v>10</v>
      </c>
      <c r="E11" s="5" t="s">
        <v>6</v>
      </c>
      <c r="F11" s="6">
        <v>18111</v>
      </c>
      <c r="G11" s="6">
        <v>21318</v>
      </c>
      <c r="H11" s="6">
        <v>23945</v>
      </c>
      <c r="I11" s="6">
        <v>32261</v>
      </c>
      <c r="J11" s="6">
        <v>30569</v>
      </c>
    </row>
    <row r="12" spans="1:10">
      <c r="D12" s="8" t="s">
        <v>11</v>
      </c>
      <c r="E12" s="5" t="s">
        <v>6</v>
      </c>
      <c r="F12" s="6">
        <v>11302</v>
      </c>
      <c r="G12" s="6">
        <v>14431</v>
      </c>
      <c r="H12" s="6">
        <v>14378</v>
      </c>
      <c r="I12" s="6">
        <v>14897</v>
      </c>
      <c r="J12" s="6">
        <v>13876</v>
      </c>
    </row>
    <row r="13" spans="1:10" ht="27.6">
      <c r="D13" s="10" t="s">
        <v>12</v>
      </c>
      <c r="E13" s="5" t="s">
        <v>6</v>
      </c>
      <c r="F13" s="6">
        <v>36</v>
      </c>
      <c r="G13" s="6">
        <v>-2300</v>
      </c>
      <c r="H13" s="6">
        <v>-3338</v>
      </c>
      <c r="I13" s="6">
        <v>-5355</v>
      </c>
      <c r="J13" s="6">
        <v>4624</v>
      </c>
    </row>
    <row r="14" spans="1:10">
      <c r="D14" s="8" t="s">
        <v>13</v>
      </c>
      <c r="E14" s="5" t="s">
        <v>6</v>
      </c>
      <c r="F14" s="6">
        <v>13625</v>
      </c>
      <c r="G14" s="6">
        <v>15055</v>
      </c>
      <c r="H14" s="6">
        <v>16210</v>
      </c>
      <c r="I14" s="6">
        <v>19627</v>
      </c>
      <c r="J14" s="6">
        <v>21314</v>
      </c>
    </row>
    <row r="15" spans="1:10">
      <c r="D15" s="8" t="s">
        <v>14</v>
      </c>
      <c r="E15" s="5" t="s">
        <v>6</v>
      </c>
      <c r="F15" s="6">
        <v>546</v>
      </c>
      <c r="G15" s="6">
        <v>651</v>
      </c>
      <c r="H15" s="6">
        <v>589</v>
      </c>
      <c r="I15" s="6">
        <v>524</v>
      </c>
      <c r="J15" s="6">
        <v>1074</v>
      </c>
    </row>
    <row r="16" spans="1:10">
      <c r="D16" s="8" t="s">
        <v>15</v>
      </c>
      <c r="E16" s="5" t="s">
        <v>6</v>
      </c>
      <c r="F16" s="6">
        <v>1932</v>
      </c>
      <c r="G16" s="6">
        <v>2528</v>
      </c>
      <c r="H16" s="6">
        <v>2746</v>
      </c>
      <c r="I16" s="6">
        <v>3040</v>
      </c>
      <c r="J16" s="6">
        <v>3104</v>
      </c>
    </row>
    <row r="17" spans="4:10">
      <c r="D17" s="8" t="s">
        <v>16</v>
      </c>
      <c r="E17" s="5" t="s">
        <v>6</v>
      </c>
      <c r="F17" s="6">
        <v>19350</v>
      </c>
      <c r="G17" s="6">
        <v>20205</v>
      </c>
      <c r="H17" s="6">
        <v>18031</v>
      </c>
      <c r="I17" s="6">
        <v>24383</v>
      </c>
      <c r="J17" s="6">
        <v>29516</v>
      </c>
    </row>
    <row r="18" spans="4:10">
      <c r="D18" s="11" t="s">
        <v>17</v>
      </c>
      <c r="E18" s="5" t="s">
        <v>6</v>
      </c>
      <c r="F18" s="2">
        <f>SUM(F11:F17)</f>
        <v>64902</v>
      </c>
      <c r="G18" s="2">
        <f t="shared" ref="G18:J18" si="1">SUM(G11:G17)</f>
        <v>71888</v>
      </c>
      <c r="H18" s="2">
        <f t="shared" si="1"/>
        <v>72561</v>
      </c>
      <c r="I18" s="2">
        <f t="shared" si="1"/>
        <v>89377</v>
      </c>
      <c r="J18" s="2">
        <f t="shared" si="1"/>
        <v>104077</v>
      </c>
    </row>
    <row r="19" spans="4:10">
      <c r="E19" s="1"/>
      <c r="F19" s="1"/>
      <c r="G19" s="1"/>
      <c r="H19" s="2"/>
      <c r="I19" s="2"/>
    </row>
    <row r="20" spans="4:10">
      <c r="D20" s="11" t="s">
        <v>18</v>
      </c>
      <c r="E20" s="2" t="str">
        <f>E18</f>
        <v>₹ MM</v>
      </c>
      <c r="F20" s="13">
        <f>F8-F18</f>
        <v>9547</v>
      </c>
      <c r="G20" s="13">
        <f>G8-G18</f>
        <v>12598</v>
      </c>
      <c r="H20" s="13">
        <f>H8-H18</f>
        <v>18421</v>
      </c>
      <c r="I20" s="13">
        <f>I8-I18</f>
        <v>18442</v>
      </c>
      <c r="J20" s="13">
        <f>J8-J18</f>
        <v>13047</v>
      </c>
    </row>
    <row r="21" spans="4:10">
      <c r="D21" s="8" t="s">
        <v>19</v>
      </c>
      <c r="E21" s="1"/>
      <c r="F21" s="6">
        <v>0</v>
      </c>
      <c r="G21" s="6">
        <v>0</v>
      </c>
      <c r="H21" s="6">
        <v>0</v>
      </c>
      <c r="I21" s="6">
        <v>-150</v>
      </c>
      <c r="J21" s="6">
        <v>-1030</v>
      </c>
    </row>
    <row r="22" spans="4:10">
      <c r="D22" s="11" t="s">
        <v>20</v>
      </c>
      <c r="E22" s="2"/>
      <c r="F22" s="2">
        <f>SUM(F20:F21)</f>
        <v>9547</v>
      </c>
      <c r="G22" s="2">
        <f t="shared" ref="G22:J22" si="2">SUM(G20:G21)</f>
        <v>12598</v>
      </c>
      <c r="H22" s="2">
        <f t="shared" si="2"/>
        <v>18421</v>
      </c>
      <c r="I22" s="2">
        <f t="shared" si="2"/>
        <v>18292</v>
      </c>
      <c r="J22" s="2">
        <f t="shared" si="2"/>
        <v>12017</v>
      </c>
    </row>
    <row r="23" spans="4:10">
      <c r="E23" s="1"/>
      <c r="F23" s="2"/>
      <c r="G23" s="2"/>
      <c r="H23" s="2"/>
      <c r="I23" s="2"/>
    </row>
    <row r="24" spans="4:10">
      <c r="D24" s="7" t="s">
        <v>21</v>
      </c>
      <c r="E24" s="1"/>
      <c r="F24" s="1"/>
      <c r="G24" s="1"/>
      <c r="H24" s="1"/>
      <c r="I24" s="1"/>
    </row>
    <row r="25" spans="4:10">
      <c r="D25" s="8" t="s">
        <v>22</v>
      </c>
      <c r="E25" s="2"/>
      <c r="F25" s="3">
        <v>2292</v>
      </c>
      <c r="G25" s="3">
        <v>3543</v>
      </c>
      <c r="H25" s="3">
        <v>3965</v>
      </c>
      <c r="I25" s="3">
        <v>3620</v>
      </c>
      <c r="J25" s="3">
        <v>2739</v>
      </c>
    </row>
    <row r="26" spans="4:10">
      <c r="D26" s="8" t="s">
        <v>23</v>
      </c>
      <c r="E26" s="2"/>
      <c r="F26" s="6">
        <v>-482</v>
      </c>
      <c r="G26" s="6">
        <v>-2124</v>
      </c>
      <c r="H26" s="6">
        <v>-1722</v>
      </c>
      <c r="I26" s="6">
        <v>-1980</v>
      </c>
      <c r="J26" s="6">
        <v>241</v>
      </c>
    </row>
    <row r="27" spans="4:10">
      <c r="D27" s="8" t="s">
        <v>24</v>
      </c>
      <c r="E27" s="2"/>
      <c r="F27" s="6">
        <v>0</v>
      </c>
      <c r="G27" s="6">
        <v>-314</v>
      </c>
      <c r="H27" s="6">
        <v>0</v>
      </c>
      <c r="I27" s="6">
        <v>0</v>
      </c>
      <c r="J27" s="6">
        <v>0</v>
      </c>
    </row>
    <row r="28" spans="4:10">
      <c r="D28" s="11" t="s">
        <v>25</v>
      </c>
      <c r="E28" s="2"/>
      <c r="F28" s="13">
        <f>F25+F26+F27</f>
        <v>1810</v>
      </c>
      <c r="G28" s="13">
        <f>G25+G26+G27</f>
        <v>1105</v>
      </c>
      <c r="H28" s="13">
        <f>H25+H26+H27</f>
        <v>2243</v>
      </c>
      <c r="I28" s="13">
        <f>I25+I26+I27</f>
        <v>1640</v>
      </c>
      <c r="J28" s="13">
        <f>J25+J26+J27</f>
        <v>2980</v>
      </c>
    </row>
    <row r="29" spans="4:10" ht="15" thickBot="1"/>
    <row r="30" spans="4:10" ht="16.2" thickBot="1">
      <c r="D30" s="12" t="s">
        <v>26</v>
      </c>
      <c r="F30" s="14">
        <f>F22-F28</f>
        <v>7737</v>
      </c>
      <c r="G30" s="14">
        <f>G22-G28</f>
        <v>11493</v>
      </c>
      <c r="H30" s="14">
        <f>H22-H28</f>
        <v>16178</v>
      </c>
      <c r="I30" s="14">
        <f>I22-I28</f>
        <v>16652</v>
      </c>
      <c r="J30" s="14">
        <f>J22-J28</f>
        <v>9037</v>
      </c>
    </row>
    <row r="31" spans="4:10" ht="18.600000000000001" thickTop="1">
      <c r="D31" s="15" t="s">
        <v>27</v>
      </c>
      <c r="F31" s="16">
        <v>131</v>
      </c>
      <c r="G31" s="16">
        <v>131</v>
      </c>
      <c r="H31" s="16">
        <v>131</v>
      </c>
      <c r="I31" s="16">
        <v>131</v>
      </c>
      <c r="J31" s="16">
        <v>131</v>
      </c>
    </row>
    <row r="32" spans="4:10" ht="18">
      <c r="D32" s="15" t="s">
        <v>28</v>
      </c>
      <c r="F32" s="17">
        <f>F30-F31</f>
        <v>7606</v>
      </c>
      <c r="G32" s="17">
        <f t="shared" ref="G32:J32" si="3">G30-G31</f>
        <v>11362</v>
      </c>
      <c r="H32" s="17">
        <f t="shared" si="3"/>
        <v>16047</v>
      </c>
      <c r="I32" s="17">
        <f t="shared" si="3"/>
        <v>16521</v>
      </c>
      <c r="J32" s="17">
        <f t="shared" si="3"/>
        <v>8906</v>
      </c>
    </row>
    <row r="33" spans="1:10" ht="18">
      <c r="D33" s="15"/>
      <c r="F33" s="17"/>
      <c r="G33" s="17"/>
      <c r="H33" s="17"/>
      <c r="I33" s="17"/>
      <c r="J33" s="17"/>
    </row>
    <row r="35" spans="1:10">
      <c r="A35" s="209" t="s">
        <v>29</v>
      </c>
      <c r="B35" s="209"/>
      <c r="C35" s="209"/>
      <c r="D35" s="209"/>
      <c r="E35" s="4" t="s">
        <v>3</v>
      </c>
      <c r="F35" s="157">
        <v>2019</v>
      </c>
      <c r="G35" s="157">
        <v>2020</v>
      </c>
      <c r="H35" s="157">
        <v>2021</v>
      </c>
      <c r="I35" s="157">
        <v>2022</v>
      </c>
      <c r="J35" s="157">
        <v>2023</v>
      </c>
    </row>
    <row r="36" spans="1:10" ht="15.6">
      <c r="D36" s="18" t="s">
        <v>30</v>
      </c>
    </row>
    <row r="37" spans="1:10">
      <c r="D37" s="19" t="s">
        <v>31</v>
      </c>
    </row>
    <row r="38" spans="1:10">
      <c r="D38" s="20" t="s">
        <v>32</v>
      </c>
      <c r="F38" s="23">
        <v>21056.2</v>
      </c>
      <c r="G38" s="23">
        <v>23062.9</v>
      </c>
      <c r="H38" s="23">
        <v>22339.3</v>
      </c>
      <c r="I38" s="23">
        <v>22871</v>
      </c>
      <c r="J38" s="23">
        <v>20654</v>
      </c>
    </row>
    <row r="39" spans="1:10">
      <c r="D39" s="20" t="s">
        <v>33</v>
      </c>
      <c r="F39" s="23"/>
      <c r="G39" s="23"/>
      <c r="H39" s="23"/>
      <c r="I39" s="23"/>
      <c r="J39" s="23">
        <v>1378.5</v>
      </c>
    </row>
    <row r="40" spans="1:10">
      <c r="D40" s="20" t="s">
        <v>34</v>
      </c>
      <c r="F40" s="23">
        <v>4929.6000000000004</v>
      </c>
      <c r="G40" s="23">
        <v>3629.7</v>
      </c>
      <c r="H40" s="23">
        <v>3932.8</v>
      </c>
      <c r="I40" s="23">
        <v>3394.8</v>
      </c>
      <c r="J40" s="23">
        <v>3102.7</v>
      </c>
    </row>
    <row r="41" spans="1:10">
      <c r="D41" s="20" t="s">
        <v>35</v>
      </c>
      <c r="F41" s="23">
        <v>231.5</v>
      </c>
      <c r="G41" s="23">
        <v>259.3</v>
      </c>
      <c r="H41" s="23">
        <v>3953.9</v>
      </c>
      <c r="I41" s="23">
        <v>4030.9</v>
      </c>
      <c r="J41" s="23">
        <v>4131.7</v>
      </c>
    </row>
    <row r="42" spans="1:10">
      <c r="D42" s="20" t="s">
        <v>36</v>
      </c>
      <c r="F42" s="23">
        <v>442.6</v>
      </c>
      <c r="G42" s="23">
        <v>2032.7</v>
      </c>
      <c r="H42" s="23">
        <v>1636.6</v>
      </c>
      <c r="I42" s="23">
        <v>2115.4</v>
      </c>
      <c r="J42" s="23">
        <v>664.1</v>
      </c>
    </row>
    <row r="43" spans="1:10">
      <c r="D43" s="20" t="s">
        <v>37</v>
      </c>
      <c r="F43" s="23">
        <v>3574.1</v>
      </c>
      <c r="G43" s="23">
        <v>3725.2</v>
      </c>
      <c r="H43" s="23">
        <v>0</v>
      </c>
      <c r="I43" s="23">
        <v>0</v>
      </c>
      <c r="J43" s="23">
        <v>0</v>
      </c>
    </row>
    <row r="44" spans="1:10">
      <c r="D44" s="20" t="s">
        <v>38</v>
      </c>
      <c r="F44" s="23"/>
      <c r="G44" s="23"/>
      <c r="H44" s="23"/>
      <c r="I44" s="23"/>
      <c r="J44" s="23">
        <v>129.69999999999999</v>
      </c>
    </row>
    <row r="45" spans="1:10">
      <c r="D45" s="21" t="s">
        <v>39</v>
      </c>
    </row>
    <row r="46" spans="1:10">
      <c r="D46" s="22" t="s">
        <v>40</v>
      </c>
      <c r="F46" s="23">
        <v>957.4</v>
      </c>
      <c r="G46" s="23">
        <v>915</v>
      </c>
      <c r="H46" s="23">
        <v>1539.5</v>
      </c>
      <c r="I46" s="23">
        <v>2316.6999999999998</v>
      </c>
      <c r="J46" s="23">
        <v>3046.1</v>
      </c>
    </row>
    <row r="47" spans="1:10">
      <c r="D47" s="22" t="s">
        <v>41</v>
      </c>
      <c r="F47" s="23">
        <v>136.30000000000001</v>
      </c>
      <c r="G47" s="23">
        <v>106.1</v>
      </c>
      <c r="H47" s="23">
        <v>80.2</v>
      </c>
      <c r="I47" s="23">
        <v>80.2</v>
      </c>
      <c r="J47" s="23">
        <v>80.2</v>
      </c>
    </row>
    <row r="48" spans="1:10">
      <c r="D48" s="22" t="s">
        <v>42</v>
      </c>
      <c r="F48" s="23">
        <v>462</v>
      </c>
      <c r="G48" s="23">
        <v>466.8</v>
      </c>
      <c r="H48" s="23">
        <v>607.9</v>
      </c>
      <c r="I48" s="23">
        <v>7106.7</v>
      </c>
      <c r="J48" s="23">
        <v>2952.5</v>
      </c>
    </row>
    <row r="49" spans="4:10">
      <c r="D49" s="20" t="s">
        <v>43</v>
      </c>
      <c r="F49" s="23">
        <v>7076.3</v>
      </c>
      <c r="G49" s="23">
        <v>9325.7000000000007</v>
      </c>
      <c r="H49" s="23">
        <v>11079.1</v>
      </c>
      <c r="I49" s="23">
        <v>13092.6</v>
      </c>
      <c r="J49" s="23">
        <v>13025</v>
      </c>
    </row>
    <row r="50" spans="4:10">
      <c r="D50" s="20" t="s">
        <v>44</v>
      </c>
      <c r="F50" s="23">
        <v>392.7</v>
      </c>
      <c r="G50" s="23">
        <v>419.5</v>
      </c>
      <c r="H50" s="23">
        <v>171.1</v>
      </c>
      <c r="I50" s="23">
        <v>533.1</v>
      </c>
      <c r="J50" s="23">
        <v>575.4</v>
      </c>
    </row>
    <row r="51" spans="4:10">
      <c r="D51" s="20" t="s">
        <v>45</v>
      </c>
      <c r="F51" s="23">
        <v>661.9</v>
      </c>
      <c r="G51" s="23">
        <v>530.1</v>
      </c>
      <c r="H51" s="23">
        <v>564</v>
      </c>
      <c r="I51" s="23">
        <v>796.2</v>
      </c>
      <c r="J51" s="23">
        <v>529.6</v>
      </c>
    </row>
    <row r="52" spans="4:10" ht="15.6">
      <c r="D52" s="19" t="s">
        <v>46</v>
      </c>
      <c r="F52" s="27">
        <f>SUM(F38:F51)</f>
        <v>39920.6</v>
      </c>
      <c r="G52" s="27">
        <f t="shared" ref="G52:J52" si="4">SUM(G38:G51)</f>
        <v>44473.000000000007</v>
      </c>
      <c r="H52" s="27">
        <f t="shared" si="4"/>
        <v>45904.399999999994</v>
      </c>
      <c r="I52" s="27">
        <f t="shared" si="4"/>
        <v>56337.599999999991</v>
      </c>
      <c r="J52" s="27">
        <f t="shared" si="4"/>
        <v>50269.5</v>
      </c>
    </row>
    <row r="53" spans="4:10">
      <c r="D53" s="19" t="s">
        <v>47</v>
      </c>
    </row>
    <row r="54" spans="4:10">
      <c r="D54" s="20" t="s">
        <v>48</v>
      </c>
      <c r="F54" s="23">
        <v>14998.7</v>
      </c>
      <c r="G54" s="23">
        <v>18188.2</v>
      </c>
      <c r="H54" s="23">
        <v>23124.400000000001</v>
      </c>
      <c r="I54" s="23">
        <v>30055.3</v>
      </c>
      <c r="J54" s="23">
        <v>26075.3</v>
      </c>
    </row>
    <row r="55" spans="4:10">
      <c r="D55" s="21" t="s">
        <v>49</v>
      </c>
    </row>
    <row r="56" spans="4:10">
      <c r="D56" s="22" t="s">
        <v>40</v>
      </c>
      <c r="F56" s="23">
        <v>2278.8000000000002</v>
      </c>
      <c r="G56" s="23">
        <v>1698.9</v>
      </c>
      <c r="H56" s="23">
        <v>1788.3</v>
      </c>
      <c r="I56" s="23">
        <v>1393.1</v>
      </c>
      <c r="J56" s="23">
        <v>3172.1</v>
      </c>
    </row>
    <row r="57" spans="4:10">
      <c r="D57" s="22" t="s">
        <v>50</v>
      </c>
      <c r="F57" s="23">
        <v>12484.1</v>
      </c>
      <c r="G57" s="23">
        <v>16493.599999999999</v>
      </c>
      <c r="H57" s="23">
        <v>16072.1</v>
      </c>
      <c r="I57" s="23">
        <v>18846</v>
      </c>
      <c r="J57" s="23">
        <v>21321.8</v>
      </c>
    </row>
    <row r="58" spans="4:10">
      <c r="D58" s="22" t="s">
        <v>51</v>
      </c>
      <c r="F58" s="23">
        <v>2490.5</v>
      </c>
      <c r="G58" s="23">
        <v>1759.4</v>
      </c>
      <c r="H58" s="23">
        <v>1742.2</v>
      </c>
      <c r="I58" s="23">
        <v>2321.8000000000002</v>
      </c>
      <c r="J58" s="23">
        <v>2738</v>
      </c>
    </row>
    <row r="59" spans="4:10">
      <c r="D59" s="22" t="s">
        <v>52</v>
      </c>
      <c r="F59" s="23">
        <v>4125.5</v>
      </c>
      <c r="G59" s="23">
        <v>9162.7000000000007</v>
      </c>
      <c r="H59" s="23">
        <v>18162.3</v>
      </c>
      <c r="I59" s="23">
        <v>23464</v>
      </c>
      <c r="J59" s="23">
        <v>23430.9</v>
      </c>
    </row>
    <row r="60" spans="4:10">
      <c r="D60" s="22" t="s">
        <v>53</v>
      </c>
      <c r="F60" s="23">
        <v>308</v>
      </c>
      <c r="G60" s="23">
        <v>279.7</v>
      </c>
      <c r="H60" s="23">
        <v>187.3</v>
      </c>
      <c r="I60" s="23">
        <v>202.5</v>
      </c>
      <c r="J60" s="23">
        <v>67.7</v>
      </c>
    </row>
    <row r="61" spans="4:10">
      <c r="D61" s="22" t="s">
        <v>54</v>
      </c>
      <c r="F61" s="23">
        <v>1064.5999999999999</v>
      </c>
      <c r="G61" s="23">
        <v>1931</v>
      </c>
      <c r="H61" s="23">
        <v>2606</v>
      </c>
      <c r="I61" s="23">
        <v>1731.5</v>
      </c>
      <c r="J61" s="23">
        <v>1897.5</v>
      </c>
    </row>
    <row r="62" spans="4:10">
      <c r="D62" s="20" t="s">
        <v>55</v>
      </c>
      <c r="F62" s="23">
        <v>4293.8</v>
      </c>
      <c r="G62" s="23">
        <v>5266</v>
      </c>
      <c r="H62" s="23">
        <v>5550.1</v>
      </c>
      <c r="I62" s="23">
        <v>6322.8</v>
      </c>
      <c r="J62" s="23">
        <v>7360.9</v>
      </c>
    </row>
    <row r="63" spans="4:10">
      <c r="D63" s="24"/>
      <c r="F63" s="23">
        <f>SUM(F54,F56:F62)</f>
        <v>42044</v>
      </c>
      <c r="G63" s="23">
        <f>SUM(G54,G56:G62)</f>
        <v>54779.5</v>
      </c>
      <c r="H63" s="23">
        <f>SUM(H54,H56:H62)</f>
        <v>69232.700000000012</v>
      </c>
      <c r="I63" s="23">
        <f>SUM(I54,I56:I62)</f>
        <v>84337</v>
      </c>
      <c r="J63" s="23">
        <f>SUM(J54,J56:J62)</f>
        <v>86064.2</v>
      </c>
    </row>
    <row r="64" spans="4:10">
      <c r="D64" s="20" t="s">
        <v>56</v>
      </c>
      <c r="F64" s="23">
        <v>117.3</v>
      </c>
      <c r="G64" s="23">
        <v>180.8</v>
      </c>
      <c r="H64" s="23">
        <v>55.5</v>
      </c>
      <c r="I64" s="23">
        <v>17.3</v>
      </c>
      <c r="J64" s="23">
        <v>1232.5999999999999</v>
      </c>
    </row>
    <row r="65" spans="4:10">
      <c r="D65" s="19" t="s">
        <v>57</v>
      </c>
      <c r="F65" s="26">
        <f>F63+F64</f>
        <v>42161.3</v>
      </c>
      <c r="G65" s="26">
        <f>G63+G64</f>
        <v>54960.3</v>
      </c>
      <c r="H65" s="26">
        <f>H63+H64</f>
        <v>69288.200000000012</v>
      </c>
      <c r="I65" s="26">
        <f>I63+I64</f>
        <v>84354.3</v>
      </c>
      <c r="J65" s="26">
        <f>J63+J64</f>
        <v>87296.8</v>
      </c>
    </row>
    <row r="66" spans="4:10" ht="15.6">
      <c r="D66" s="18" t="s">
        <v>58</v>
      </c>
      <c r="F66" s="27">
        <f>F52+F65</f>
        <v>82081.899999999994</v>
      </c>
      <c r="G66" s="27">
        <f t="shared" ref="G66:J66" si="5">G52+G65</f>
        <v>99433.300000000017</v>
      </c>
      <c r="H66" s="27">
        <f t="shared" si="5"/>
        <v>115192.6</v>
      </c>
      <c r="I66" s="27">
        <f t="shared" si="5"/>
        <v>140691.9</v>
      </c>
      <c r="J66" s="27">
        <f t="shared" si="5"/>
        <v>137566.29999999999</v>
      </c>
    </row>
    <row r="68" spans="4:10" ht="15.6">
      <c r="D68" s="18" t="s">
        <v>59</v>
      </c>
    </row>
    <row r="69" spans="4:10">
      <c r="D69" s="19" t="s">
        <v>60</v>
      </c>
    </row>
    <row r="70" spans="4:10">
      <c r="D70" s="20" t="s">
        <v>61</v>
      </c>
      <c r="F70" s="34">
        <v>239.1</v>
      </c>
      <c r="G70" s="34">
        <v>239.1</v>
      </c>
      <c r="H70" s="34">
        <v>239.1</v>
      </c>
      <c r="I70" s="34">
        <v>239.1</v>
      </c>
      <c r="J70" s="34">
        <v>239.1</v>
      </c>
    </row>
    <row r="71" spans="4:10">
      <c r="D71" s="20" t="s">
        <v>62</v>
      </c>
      <c r="F71" s="34">
        <v>54154.3</v>
      </c>
      <c r="G71" s="34">
        <v>61367.6</v>
      </c>
      <c r="H71" s="34">
        <v>73528.2</v>
      </c>
      <c r="I71" s="34">
        <v>86139.9</v>
      </c>
      <c r="J71" s="34">
        <v>90213.8</v>
      </c>
    </row>
    <row r="72" spans="4:10">
      <c r="D72" s="25" t="s">
        <v>63</v>
      </c>
      <c r="F72" s="34">
        <f>F70+F71</f>
        <v>54393.4</v>
      </c>
      <c r="G72" s="34">
        <f>G70+G71</f>
        <v>61606.7</v>
      </c>
      <c r="H72" s="34">
        <f>H70+H71</f>
        <v>73767.3</v>
      </c>
      <c r="I72" s="34">
        <f>I70+I71</f>
        <v>86379</v>
      </c>
      <c r="J72" s="34">
        <f>J70+J71</f>
        <v>90452.900000000009</v>
      </c>
    </row>
    <row r="73" spans="4:10">
      <c r="D73" s="20" t="s">
        <v>64</v>
      </c>
      <c r="F73" s="34">
        <v>1326.1</v>
      </c>
      <c r="G73" s="34">
        <v>1483</v>
      </c>
      <c r="H73" s="34">
        <v>1812.8</v>
      </c>
      <c r="I73" s="34">
        <v>2094.3000000000002</v>
      </c>
      <c r="J73" s="34">
        <v>3897.1</v>
      </c>
    </row>
    <row r="74" spans="4:10" ht="15.6">
      <c r="D74" s="19" t="s">
        <v>65</v>
      </c>
      <c r="F74" s="27">
        <f>F72+F73</f>
        <v>55719.5</v>
      </c>
      <c r="G74" s="27">
        <f t="shared" ref="G74:J74" si="6">G72+G73</f>
        <v>63089.7</v>
      </c>
      <c r="H74" s="27">
        <f t="shared" si="6"/>
        <v>75580.100000000006</v>
      </c>
      <c r="I74" s="27">
        <f t="shared" si="6"/>
        <v>88473.3</v>
      </c>
      <c r="J74" s="27">
        <f t="shared" si="6"/>
        <v>94350.000000000015</v>
      </c>
    </row>
    <row r="75" spans="4:10">
      <c r="D75" s="28"/>
    </row>
    <row r="76" spans="4:10">
      <c r="D76" s="30" t="s">
        <v>66</v>
      </c>
    </row>
    <row r="77" spans="4:10">
      <c r="D77" s="31" t="s">
        <v>67</v>
      </c>
    </row>
    <row r="78" spans="4:10">
      <c r="D78" s="32" t="s">
        <v>68</v>
      </c>
    </row>
    <row r="79" spans="4:10">
      <c r="D79" s="33" t="s">
        <v>69</v>
      </c>
      <c r="F79" s="34">
        <v>2313</v>
      </c>
      <c r="G79" s="34">
        <v>1592.4</v>
      </c>
      <c r="H79" s="34">
        <v>279.3</v>
      </c>
      <c r="I79" s="34">
        <v>93.8</v>
      </c>
      <c r="J79" s="34">
        <v>0</v>
      </c>
    </row>
    <row r="80" spans="4:10">
      <c r="D80" s="33" t="s">
        <v>70</v>
      </c>
      <c r="F80" s="34"/>
      <c r="G80" s="34"/>
      <c r="H80" s="34"/>
      <c r="I80" s="34"/>
      <c r="J80" s="34">
        <v>703.3</v>
      </c>
    </row>
    <row r="81" spans="4:10" ht="15.6">
      <c r="D81" s="22" t="s">
        <v>71</v>
      </c>
      <c r="F81" s="27"/>
      <c r="G81" s="27"/>
      <c r="H81" s="27"/>
      <c r="I81" s="27"/>
      <c r="J81" s="23">
        <v>1660.1</v>
      </c>
    </row>
    <row r="82" spans="4:10">
      <c r="D82" s="20" t="s">
        <v>72</v>
      </c>
      <c r="F82" s="23">
        <v>1737.2</v>
      </c>
      <c r="G82" s="23">
        <v>2220.4</v>
      </c>
      <c r="H82" s="23">
        <v>697.1</v>
      </c>
      <c r="I82" s="23">
        <v>664.7</v>
      </c>
      <c r="J82" s="23">
        <v>3693.6</v>
      </c>
    </row>
    <row r="83" spans="4:10">
      <c r="D83" s="20" t="s">
        <v>73</v>
      </c>
      <c r="F83" s="48">
        <v>3</v>
      </c>
      <c r="G83" s="23"/>
      <c r="H83" s="23">
        <v>2507.3000000000002</v>
      </c>
      <c r="I83" s="23">
        <v>3327.5</v>
      </c>
      <c r="J83" s="23">
        <v>0</v>
      </c>
    </row>
    <row r="84" spans="4:10">
      <c r="D84" s="20" t="s">
        <v>74</v>
      </c>
      <c r="F84" s="23">
        <v>133.9</v>
      </c>
      <c r="G84" s="23">
        <v>97.7</v>
      </c>
      <c r="H84" s="23">
        <v>88.3</v>
      </c>
      <c r="I84" s="23">
        <v>79.2</v>
      </c>
      <c r="J84" s="23">
        <v>88</v>
      </c>
    </row>
    <row r="85" spans="4:10">
      <c r="D85" s="20"/>
      <c r="F85" s="23"/>
      <c r="G85" s="23"/>
      <c r="H85" s="23"/>
      <c r="I85" s="23"/>
      <c r="J85" s="23"/>
    </row>
    <row r="86" spans="4:10">
      <c r="D86" s="19" t="s">
        <v>75</v>
      </c>
      <c r="F86" s="35">
        <v>418710</v>
      </c>
      <c r="G86" s="26">
        <f>SUM(G79:G85)</f>
        <v>3910.5</v>
      </c>
      <c r="H86" s="26">
        <f>SUM(H79:H85)</f>
        <v>3572.0000000000005</v>
      </c>
      <c r="I86" s="26">
        <f>SUM(I79:I85)</f>
        <v>4165.2</v>
      </c>
      <c r="J86" s="26">
        <f>SUM(J79:J85)</f>
        <v>6145</v>
      </c>
    </row>
    <row r="88" spans="4:10">
      <c r="D88" s="19" t="s">
        <v>76</v>
      </c>
    </row>
    <row r="89" spans="4:10">
      <c r="D89" s="21" t="s">
        <v>68</v>
      </c>
    </row>
    <row r="90" spans="4:10">
      <c r="D90" s="22" t="s">
        <v>69</v>
      </c>
      <c r="F90" s="23">
        <v>6712.7</v>
      </c>
      <c r="G90" s="23">
        <v>15035.1</v>
      </c>
      <c r="H90" s="23">
        <v>16727.900000000001</v>
      </c>
      <c r="I90" s="23">
        <v>25707.4</v>
      </c>
      <c r="J90" s="23">
        <v>13071.5</v>
      </c>
    </row>
    <row r="91" spans="4:10">
      <c r="D91" s="22" t="s">
        <v>77</v>
      </c>
      <c r="F91" s="23"/>
      <c r="G91" s="23"/>
      <c r="H91" s="23">
        <v>215.5</v>
      </c>
      <c r="I91" s="23">
        <v>216</v>
      </c>
      <c r="J91" s="23">
        <v>192</v>
      </c>
    </row>
    <row r="92" spans="4:10">
      <c r="D92" s="22" t="s">
        <v>78</v>
      </c>
      <c r="F92" s="23"/>
      <c r="G92" s="23"/>
      <c r="H92" s="23"/>
      <c r="I92" s="23"/>
      <c r="J92" s="23"/>
    </row>
    <row r="93" spans="4:10">
      <c r="D93" s="22" t="s">
        <v>79</v>
      </c>
      <c r="F93" s="23">
        <v>606.29999999999995</v>
      </c>
      <c r="G93" s="23">
        <v>1025</v>
      </c>
      <c r="H93" s="23">
        <v>1189.5999999999999</v>
      </c>
      <c r="I93" s="23">
        <v>924.2</v>
      </c>
      <c r="J93" s="23">
        <v>1104.5999999999999</v>
      </c>
    </row>
    <row r="94" spans="4:10">
      <c r="D94" s="22" t="s">
        <v>80</v>
      </c>
      <c r="F94" s="23">
        <v>9016.2000000000007</v>
      </c>
      <c r="G94" s="23">
        <v>8515.5</v>
      </c>
      <c r="H94" s="23">
        <v>9504.5</v>
      </c>
      <c r="I94" s="23">
        <v>10809.6</v>
      </c>
      <c r="J94" s="23">
        <v>10545.5</v>
      </c>
    </row>
    <row r="95" spans="4:10">
      <c r="D95" s="22" t="s">
        <v>81</v>
      </c>
      <c r="F95" s="23">
        <v>3428.7</v>
      </c>
      <c r="G95" s="23">
        <v>4519.6000000000004</v>
      </c>
      <c r="H95" s="23">
        <v>4653.8999999999996</v>
      </c>
      <c r="I95" s="23">
        <v>5993.8</v>
      </c>
      <c r="J95" s="23">
        <v>6326.9</v>
      </c>
    </row>
    <row r="96" spans="4:10">
      <c r="D96" s="22" t="s">
        <v>82</v>
      </c>
      <c r="F96" s="23">
        <v>852.1</v>
      </c>
      <c r="G96" s="23">
        <v>1035.0999999999999</v>
      </c>
      <c r="H96" s="23">
        <v>1193.4000000000001</v>
      </c>
      <c r="I96" s="23">
        <v>1503.2</v>
      </c>
      <c r="J96" s="23">
        <v>1868.9</v>
      </c>
    </row>
    <row r="97" spans="1:10">
      <c r="D97" s="20" t="s">
        <v>83</v>
      </c>
      <c r="F97" s="23">
        <v>1538.2</v>
      </c>
      <c r="G97" s="23">
        <v>1847</v>
      </c>
      <c r="H97" s="23">
        <v>2366.4</v>
      </c>
      <c r="I97" s="23">
        <v>2736</v>
      </c>
      <c r="J97" s="23">
        <v>3727.5</v>
      </c>
    </row>
    <row r="98" spans="1:10">
      <c r="D98" s="20" t="s">
        <v>84</v>
      </c>
      <c r="F98" s="23">
        <v>21.1</v>
      </c>
      <c r="G98" s="23">
        <v>455.8</v>
      </c>
      <c r="H98" s="23">
        <v>189.3</v>
      </c>
      <c r="I98" s="23">
        <v>163.19999999999999</v>
      </c>
      <c r="J98" s="23">
        <v>234.4</v>
      </c>
    </row>
    <row r="99" spans="1:10">
      <c r="D99" s="19" t="s">
        <v>85</v>
      </c>
      <c r="F99" s="36">
        <v>22175.3</v>
      </c>
      <c r="G99" s="36">
        <v>32433.1</v>
      </c>
      <c r="H99" s="36">
        <v>36040.5</v>
      </c>
      <c r="I99" s="36">
        <v>48053.4</v>
      </c>
      <c r="J99" s="36">
        <v>37071.5</v>
      </c>
    </row>
    <row r="101" spans="1:10">
      <c r="D101" s="19" t="s">
        <v>86</v>
      </c>
      <c r="F101" s="38">
        <v>2636240</v>
      </c>
      <c r="G101" s="38">
        <v>3634360</v>
      </c>
      <c r="H101" s="38">
        <v>3961250</v>
      </c>
      <c r="I101" s="38">
        <v>5221860</v>
      </c>
      <c r="J101" s="38">
        <v>4321650</v>
      </c>
    </row>
    <row r="103" spans="1:10" ht="15.6">
      <c r="D103" s="18" t="s">
        <v>87</v>
      </c>
      <c r="F103" s="39">
        <v>8208190</v>
      </c>
      <c r="G103" s="39">
        <v>9943330</v>
      </c>
      <c r="H103" s="39">
        <v>11519260</v>
      </c>
      <c r="I103" s="39">
        <v>14069190</v>
      </c>
      <c r="J103" s="39">
        <v>13756650</v>
      </c>
    </row>
    <row r="106" spans="1:10">
      <c r="A106" s="209" t="s">
        <v>88</v>
      </c>
      <c r="B106" s="209"/>
      <c r="C106" s="209"/>
      <c r="D106" s="209"/>
      <c r="E106" s="4" t="s">
        <v>3</v>
      </c>
      <c r="F106" s="157">
        <v>2019</v>
      </c>
      <c r="G106" s="157">
        <v>2020</v>
      </c>
      <c r="H106" s="157">
        <v>2021</v>
      </c>
      <c r="I106" s="157">
        <v>2022</v>
      </c>
      <c r="J106" s="157">
        <v>2023</v>
      </c>
    </row>
    <row r="108" spans="1:10" ht="15.6">
      <c r="D108" s="40" t="s">
        <v>89</v>
      </c>
    </row>
    <row r="109" spans="1:10">
      <c r="D109" s="30" t="s">
        <v>90</v>
      </c>
      <c r="F109" s="36">
        <v>9546.6</v>
      </c>
      <c r="G109" s="36">
        <v>12597.9</v>
      </c>
      <c r="H109" s="36">
        <v>18421</v>
      </c>
      <c r="I109" s="36">
        <v>18442.8</v>
      </c>
      <c r="J109" s="36">
        <v>13047.7</v>
      </c>
    </row>
    <row r="110" spans="1:10">
      <c r="D110" s="30" t="s">
        <v>91</v>
      </c>
    </row>
    <row r="111" spans="1:10">
      <c r="D111" s="29" t="s">
        <v>92</v>
      </c>
      <c r="F111" s="34">
        <v>1931.8</v>
      </c>
      <c r="G111" s="34">
        <v>2527.6</v>
      </c>
      <c r="H111" s="34">
        <v>2745.8</v>
      </c>
      <c r="I111" s="34">
        <v>3039.6</v>
      </c>
      <c r="J111" s="34">
        <v>3104.2</v>
      </c>
    </row>
    <row r="112" spans="1:10">
      <c r="D112" s="29" t="s">
        <v>93</v>
      </c>
      <c r="F112" s="34"/>
      <c r="G112" s="34"/>
      <c r="H112" s="34"/>
      <c r="I112" s="34">
        <v>-160.1</v>
      </c>
      <c r="J112" s="34">
        <v>-17.5</v>
      </c>
    </row>
    <row r="113" spans="4:10">
      <c r="D113" s="29" t="s">
        <v>94</v>
      </c>
      <c r="F113" s="34">
        <v>-73.3</v>
      </c>
      <c r="G113" s="34">
        <v>-0.8</v>
      </c>
      <c r="H113" s="34">
        <v>-102.6</v>
      </c>
      <c r="I113" s="34">
        <v>-33.799999999999997</v>
      </c>
      <c r="J113" s="34">
        <v>-21.6</v>
      </c>
    </row>
    <row r="114" spans="4:10">
      <c r="D114" s="29" t="s">
        <v>95</v>
      </c>
      <c r="F114" s="34">
        <v>45.5</v>
      </c>
      <c r="G114" s="34">
        <v>172.2</v>
      </c>
      <c r="H114" s="34">
        <v>-266.89999999999998</v>
      </c>
      <c r="I114" s="34">
        <v>69</v>
      </c>
      <c r="J114" s="34">
        <v>-287</v>
      </c>
    </row>
    <row r="115" spans="4:10">
      <c r="D115" s="29" t="s">
        <v>96</v>
      </c>
      <c r="F115" s="34">
        <v>54.8</v>
      </c>
      <c r="G115" s="34">
        <v>-12.6</v>
      </c>
      <c r="H115" s="34">
        <v>-37</v>
      </c>
      <c r="I115" s="34">
        <v>14.3</v>
      </c>
      <c r="J115" s="34">
        <v>123.6</v>
      </c>
    </row>
    <row r="116" spans="4:10">
      <c r="D116" s="29" t="s">
        <v>97</v>
      </c>
      <c r="F116" s="34">
        <v>5.8</v>
      </c>
      <c r="G116" s="34">
        <v>1.5</v>
      </c>
      <c r="H116" s="34">
        <v>1.1000000000000001</v>
      </c>
      <c r="I116" s="34"/>
      <c r="J116" s="34"/>
    </row>
    <row r="117" spans="4:10">
      <c r="D117" s="29" t="s">
        <v>98</v>
      </c>
      <c r="F117" s="34"/>
      <c r="G117" s="34"/>
      <c r="H117" s="34">
        <v>-114.9</v>
      </c>
      <c r="I117" s="34"/>
      <c r="J117" s="34"/>
    </row>
    <row r="118" spans="4:10">
      <c r="D118" s="29" t="s">
        <v>99</v>
      </c>
      <c r="F118" s="34">
        <v>-113.8</v>
      </c>
      <c r="G118" s="34">
        <v>-275.39999999999998</v>
      </c>
      <c r="H118" s="34">
        <v>9.6999999999999993</v>
      </c>
      <c r="I118" s="34">
        <v>-177</v>
      </c>
      <c r="J118" s="34">
        <v>-118.8</v>
      </c>
    </row>
    <row r="119" spans="4:10">
      <c r="D119" s="29" t="s">
        <v>100</v>
      </c>
      <c r="F119" s="34">
        <v>-1.2</v>
      </c>
      <c r="G119" s="34">
        <v>-1.1000000000000001</v>
      </c>
      <c r="H119" s="34">
        <v>-0.2</v>
      </c>
      <c r="I119" s="34">
        <v>-1.9</v>
      </c>
      <c r="J119" s="34">
        <v>-1.9</v>
      </c>
    </row>
    <row r="120" spans="4:10">
      <c r="D120" s="29" t="s">
        <v>101</v>
      </c>
      <c r="F120" s="34"/>
      <c r="G120" s="34"/>
      <c r="H120" s="34">
        <v>-351</v>
      </c>
      <c r="I120" s="34"/>
      <c r="J120" s="34"/>
    </row>
    <row r="121" spans="4:10">
      <c r="D121" s="29" t="s">
        <v>102</v>
      </c>
      <c r="F121" s="34"/>
      <c r="G121" s="34">
        <v>32.700000000000003</v>
      </c>
      <c r="H121" s="34"/>
      <c r="I121" s="34">
        <v>11.2</v>
      </c>
      <c r="J121" s="34">
        <v>1051.5</v>
      </c>
    </row>
    <row r="122" spans="4:10">
      <c r="D122" s="29" t="s">
        <v>103</v>
      </c>
      <c r="F122" s="34">
        <v>-412.8</v>
      </c>
      <c r="G122" s="34">
        <v>-631.20000000000005</v>
      </c>
      <c r="H122" s="34">
        <v>-901.2</v>
      </c>
      <c r="I122" s="34">
        <v>-1226.8</v>
      </c>
      <c r="J122" s="34">
        <v>-1711.4</v>
      </c>
    </row>
    <row r="123" spans="4:10">
      <c r="D123" s="29" t="s">
        <v>104</v>
      </c>
      <c r="F123" s="34">
        <v>546.29999999999995</v>
      </c>
      <c r="G123" s="34">
        <v>650.6</v>
      </c>
      <c r="H123" s="34">
        <v>589.20000000000005</v>
      </c>
      <c r="I123" s="34">
        <v>523.70000000000005</v>
      </c>
      <c r="J123" s="34">
        <v>1073.5999999999999</v>
      </c>
    </row>
    <row r="124" spans="4:10">
      <c r="D124" s="29" t="s">
        <v>105</v>
      </c>
      <c r="F124" s="34">
        <v>185.9</v>
      </c>
      <c r="G124" s="34">
        <v>101.7</v>
      </c>
      <c r="H124" s="34">
        <v>82.8</v>
      </c>
      <c r="I124" s="34">
        <v>27.8</v>
      </c>
      <c r="J124" s="34">
        <v>48.8</v>
      </c>
    </row>
    <row r="125" spans="4:10">
      <c r="D125" s="29" t="s">
        <v>106</v>
      </c>
      <c r="F125" s="34">
        <v>-5.3</v>
      </c>
      <c r="G125" s="34">
        <v>-6.5</v>
      </c>
      <c r="H125" s="34">
        <v>-8.4</v>
      </c>
      <c r="I125" s="34"/>
      <c r="J125" s="34"/>
    </row>
    <row r="126" spans="4:10">
      <c r="D126" s="30" t="s">
        <v>107</v>
      </c>
      <c r="F126" s="41">
        <f>SUM(F111:F125)</f>
        <v>2163.6999999999998</v>
      </c>
      <c r="G126" s="41">
        <f>SUM(G111:G125)</f>
        <v>2558.6999999999994</v>
      </c>
      <c r="H126" s="41">
        <f>SUM(H111:H125)</f>
        <v>1646.3999999999999</v>
      </c>
      <c r="I126" s="41">
        <f>SUM(I111:I125)</f>
        <v>2086</v>
      </c>
      <c r="J126" s="41">
        <f>SUM(J111:J125)</f>
        <v>3243.4999999999995</v>
      </c>
    </row>
    <row r="127" spans="4:10">
      <c r="D127" s="30" t="s">
        <v>108</v>
      </c>
      <c r="F127" s="36">
        <f>F109+F126</f>
        <v>11710.3</v>
      </c>
      <c r="G127" s="36">
        <f>G109+G126</f>
        <v>15156.599999999999</v>
      </c>
      <c r="H127" s="36">
        <f>H109+H126</f>
        <v>20067.400000000001</v>
      </c>
      <c r="I127" s="36">
        <f>I109+I126</f>
        <v>20528.8</v>
      </c>
      <c r="J127" s="36">
        <f>J109+J126</f>
        <v>16291.2</v>
      </c>
    </row>
    <row r="128" spans="4:10">
      <c r="D128" s="30" t="s">
        <v>109</v>
      </c>
    </row>
    <row r="129" spans="4:10">
      <c r="D129" s="29" t="s">
        <v>110</v>
      </c>
      <c r="F129" s="34">
        <v>-1558.5</v>
      </c>
      <c r="G129" s="34">
        <v>-2574.4</v>
      </c>
      <c r="H129" s="34">
        <v>-257.60000000000002</v>
      </c>
      <c r="I129" s="34">
        <v>-2217.5</v>
      </c>
      <c r="J129" s="34">
        <v>-1347.1</v>
      </c>
    </row>
    <row r="130" spans="4:10">
      <c r="D130" s="29" t="s">
        <v>111</v>
      </c>
      <c r="F130" s="34">
        <v>156.80000000000001</v>
      </c>
      <c r="G130" s="34">
        <v>-1538</v>
      </c>
      <c r="H130" s="34">
        <v>-926.5</v>
      </c>
      <c r="I130" s="34">
        <v>-435.8</v>
      </c>
      <c r="J130" s="34">
        <v>-770.1</v>
      </c>
    </row>
    <row r="131" spans="4:10">
      <c r="D131" s="29" t="s">
        <v>112</v>
      </c>
      <c r="F131" s="34">
        <v>-373</v>
      </c>
      <c r="G131" s="34">
        <v>-2817.4</v>
      </c>
      <c r="H131" s="34">
        <v>-4977</v>
      </c>
      <c r="I131" s="34">
        <v>-6731.4</v>
      </c>
      <c r="J131" s="34">
        <v>4734.1000000000004</v>
      </c>
    </row>
    <row r="132" spans="4:10">
      <c r="D132" s="29" t="s">
        <v>113</v>
      </c>
      <c r="F132" s="34">
        <v>-109.5</v>
      </c>
      <c r="G132" s="34">
        <v>-37.4</v>
      </c>
      <c r="H132" s="34">
        <v>2124.1999999999998</v>
      </c>
      <c r="I132" s="34">
        <v>3344.9</v>
      </c>
      <c r="J132" s="34">
        <v>145.1</v>
      </c>
    </row>
    <row r="133" spans="4:10">
      <c r="D133" s="29" t="s">
        <v>114</v>
      </c>
      <c r="F133" s="34">
        <v>481.5</v>
      </c>
      <c r="G133" s="34">
        <v>495.2</v>
      </c>
      <c r="H133" s="34">
        <v>625.29999999999995</v>
      </c>
      <c r="I133" s="34">
        <v>590.20000000000005</v>
      </c>
      <c r="J133" s="34">
        <v>505.7</v>
      </c>
    </row>
    <row r="134" spans="4:10">
      <c r="D134" s="30" t="s">
        <v>115</v>
      </c>
      <c r="F134" s="41">
        <f>SUM(F129:F133)</f>
        <v>-1402.7</v>
      </c>
      <c r="G134" s="41">
        <f>SUM(G129:G133)</f>
        <v>-6471.9999999999991</v>
      </c>
      <c r="H134" s="41">
        <f>SUM(H129:H133)</f>
        <v>-3411.6000000000004</v>
      </c>
      <c r="I134" s="41">
        <f>SUM(I129:I133)</f>
        <v>-5449.6000000000013</v>
      </c>
      <c r="J134" s="41">
        <f>SUM(J129:J133)</f>
        <v>3267.7000000000003</v>
      </c>
    </row>
    <row r="135" spans="4:10">
      <c r="D135" s="30" t="s">
        <v>116</v>
      </c>
      <c r="F135" s="36">
        <f>F127+F134</f>
        <v>10307.599999999999</v>
      </c>
      <c r="G135" s="36">
        <f>G127+G134</f>
        <v>8684.5999999999985</v>
      </c>
      <c r="H135" s="36">
        <f>H127+H134</f>
        <v>16655.800000000003</v>
      </c>
      <c r="I135" s="36">
        <f>I127+I134</f>
        <v>15079.199999999997</v>
      </c>
      <c r="J135" s="36">
        <f>J127+J134</f>
        <v>19558.900000000001</v>
      </c>
    </row>
    <row r="136" spans="4:10">
      <c r="D136" s="29" t="s">
        <v>117</v>
      </c>
      <c r="F136" s="34">
        <v>-2511.1</v>
      </c>
      <c r="G136" s="34">
        <v>-2833.8</v>
      </c>
      <c r="H136" s="34">
        <v>-4006.8</v>
      </c>
      <c r="I136" s="34">
        <v>-3969</v>
      </c>
      <c r="J136" s="34">
        <v>-2733.9</v>
      </c>
    </row>
    <row r="137" spans="4:10" ht="15" thickBot="1">
      <c r="D137" s="30" t="s">
        <v>118</v>
      </c>
      <c r="F137" s="42">
        <f>F135+F136</f>
        <v>7796.4999999999982</v>
      </c>
      <c r="G137" s="42">
        <f>G135+G136</f>
        <v>5850.7999999999984</v>
      </c>
      <c r="H137" s="42">
        <f>H135+H136</f>
        <v>12649.000000000004</v>
      </c>
      <c r="I137" s="42">
        <f>I135+I136</f>
        <v>11110.199999999997</v>
      </c>
      <c r="J137" s="42">
        <f>J135+J136</f>
        <v>16825</v>
      </c>
    </row>
    <row r="138" spans="4:10" ht="15" thickTop="1"/>
    <row r="139" spans="4:10" ht="15.6">
      <c r="D139" s="40" t="s">
        <v>119</v>
      </c>
    </row>
    <row r="140" spans="4:10">
      <c r="D140" s="29" t="s">
        <v>120</v>
      </c>
      <c r="F140" s="34">
        <v>-5291.6</v>
      </c>
      <c r="G140" s="34">
        <v>-3630.9</v>
      </c>
      <c r="H140" s="34">
        <v>-1949.1</v>
      </c>
      <c r="I140" s="34">
        <v>-3388.8</v>
      </c>
      <c r="J140" s="34">
        <v>-2329.1</v>
      </c>
    </row>
    <row r="141" spans="4:10">
      <c r="D141" s="29" t="s">
        <v>121</v>
      </c>
      <c r="F141" s="34">
        <v>22.3</v>
      </c>
      <c r="G141" s="34">
        <v>154.5</v>
      </c>
      <c r="H141" s="34">
        <v>104.6</v>
      </c>
      <c r="I141" s="34">
        <v>109</v>
      </c>
      <c r="J141" s="34">
        <v>32</v>
      </c>
    </row>
    <row r="142" spans="4:10">
      <c r="D142" s="29" t="s">
        <v>122</v>
      </c>
      <c r="F142" s="34">
        <v>1244.8</v>
      </c>
      <c r="G142" s="34">
        <v>482.7</v>
      </c>
      <c r="H142" s="34">
        <v>-348.3</v>
      </c>
      <c r="I142" s="34">
        <v>-409.3</v>
      </c>
      <c r="J142" s="34">
        <v>-2175.3000000000002</v>
      </c>
    </row>
    <row r="143" spans="4:10">
      <c r="D143" s="29" t="s">
        <v>123</v>
      </c>
      <c r="F143" s="34">
        <v>-10.1</v>
      </c>
      <c r="G143" s="34">
        <v>-25.2</v>
      </c>
      <c r="H143" s="34"/>
      <c r="I143" s="34"/>
      <c r="J143" s="34"/>
    </row>
    <row r="144" spans="4:10">
      <c r="D144" s="29" t="s">
        <v>101</v>
      </c>
      <c r="F144" s="34"/>
      <c r="G144" s="34"/>
      <c r="H144" s="34">
        <v>351</v>
      </c>
      <c r="I144" s="34"/>
      <c r="J144" s="34"/>
    </row>
    <row r="145" spans="4:10">
      <c r="D145" s="29" t="s">
        <v>124</v>
      </c>
      <c r="F145" s="34">
        <v>427.5</v>
      </c>
      <c r="G145" s="34">
        <v>-4911.3999999999996</v>
      </c>
      <c r="H145" s="34">
        <v>-8937.9</v>
      </c>
      <c r="I145" s="34">
        <v>-11641.8</v>
      </c>
      <c r="J145" s="34">
        <v>4129.8</v>
      </c>
    </row>
    <row r="146" spans="4:10">
      <c r="D146" s="29" t="s">
        <v>125</v>
      </c>
      <c r="F146" s="34">
        <v>1.2</v>
      </c>
      <c r="G146" s="34">
        <v>1.1000000000000001</v>
      </c>
      <c r="H146" s="34">
        <v>0.2</v>
      </c>
      <c r="I146" s="34">
        <v>1.9</v>
      </c>
      <c r="J146" s="34">
        <v>1.9</v>
      </c>
    </row>
    <row r="147" spans="4:10">
      <c r="D147" s="29" t="s">
        <v>126</v>
      </c>
      <c r="F147" s="34">
        <v>436.7</v>
      </c>
      <c r="G147" s="34">
        <v>509.2</v>
      </c>
      <c r="H147" s="34">
        <v>785.7</v>
      </c>
      <c r="I147" s="34">
        <v>977.7</v>
      </c>
      <c r="J147" s="34">
        <v>1469.1</v>
      </c>
    </row>
    <row r="148" spans="4:10">
      <c r="D148" s="29" t="s">
        <v>127</v>
      </c>
      <c r="F148" s="34">
        <v>5.3</v>
      </c>
      <c r="G148" s="34">
        <v>6.5</v>
      </c>
      <c r="H148" s="34">
        <v>8.4</v>
      </c>
      <c r="I148" s="34"/>
      <c r="J148" s="34"/>
    </row>
    <row r="149" spans="4:10" ht="15" thickBot="1">
      <c r="D149" s="30" t="s">
        <v>128</v>
      </c>
      <c r="F149" s="42">
        <f>SUM(F140:F148)</f>
        <v>-3163.9</v>
      </c>
      <c r="G149" s="42">
        <f>SUM(G140:G148)</f>
        <v>-7413.4999999999991</v>
      </c>
      <c r="H149" s="42">
        <f>SUM(H140:H148)</f>
        <v>-9985.4</v>
      </c>
      <c r="I149" s="42">
        <f>SUM(I140:I148)</f>
        <v>-14351.3</v>
      </c>
      <c r="J149" s="42">
        <f>SUM(J140:J148)</f>
        <v>1128.4000000000005</v>
      </c>
    </row>
    <row r="150" spans="4:10" ht="15" thickTop="1"/>
    <row r="151" spans="4:10" ht="15.6">
      <c r="D151" s="40" t="s">
        <v>129</v>
      </c>
    </row>
    <row r="152" spans="4:10">
      <c r="D152" s="29" t="s">
        <v>130</v>
      </c>
      <c r="F152" s="34">
        <v>-70.599999999999994</v>
      </c>
      <c r="G152" s="34">
        <v>-1810.5</v>
      </c>
      <c r="H152" s="34">
        <v>-387.4</v>
      </c>
      <c r="I152" s="34">
        <v>-192.9</v>
      </c>
      <c r="J152" s="34">
        <v>-95</v>
      </c>
    </row>
    <row r="153" spans="4:10">
      <c r="D153" s="29" t="s">
        <v>131</v>
      </c>
      <c r="F153" s="34">
        <v>-986.7</v>
      </c>
      <c r="G153" s="34">
        <v>7841.2</v>
      </c>
      <c r="H153" s="34">
        <v>1784.2</v>
      </c>
      <c r="I153" s="34">
        <v>8820.7000000000007</v>
      </c>
      <c r="J153" s="34">
        <v>-12689.8</v>
      </c>
    </row>
    <row r="154" spans="4:10">
      <c r="D154" s="29" t="s">
        <v>132</v>
      </c>
      <c r="F154" s="34"/>
      <c r="G154" s="34"/>
      <c r="H154" s="34"/>
      <c r="I154" s="34"/>
      <c r="J154" s="34">
        <v>1614.8</v>
      </c>
    </row>
    <row r="155" spans="4:10">
      <c r="D155" s="29" t="s">
        <v>133</v>
      </c>
      <c r="F155" s="34">
        <v>-2185.8000000000002</v>
      </c>
      <c r="G155" s="34">
        <v>-4395.6000000000004</v>
      </c>
      <c r="H155" s="34">
        <v>-3347.8</v>
      </c>
      <c r="I155" s="34">
        <v>-4219.1000000000004</v>
      </c>
      <c r="J155" s="34">
        <v>-5295.2</v>
      </c>
    </row>
    <row r="156" spans="4:10">
      <c r="D156" s="29" t="s">
        <v>134</v>
      </c>
      <c r="F156" s="34">
        <v>0</v>
      </c>
      <c r="G156" s="34">
        <v>-193</v>
      </c>
      <c r="H156" s="34">
        <v>-230.3</v>
      </c>
      <c r="I156" s="34">
        <v>-211.7</v>
      </c>
      <c r="J156" s="34">
        <v>-238.4</v>
      </c>
    </row>
    <row r="157" spans="4:10">
      <c r="D157" s="29" t="s">
        <v>135</v>
      </c>
      <c r="F157" s="34">
        <v>-546.29999999999995</v>
      </c>
      <c r="G157" s="34">
        <v>-650.6</v>
      </c>
      <c r="H157" s="34">
        <v>-536.20000000000005</v>
      </c>
      <c r="I157" s="34">
        <v>-401.3</v>
      </c>
      <c r="J157" s="34">
        <v>-904.6</v>
      </c>
    </row>
    <row r="158" spans="4:10" ht="15" thickBot="1">
      <c r="D158" s="30" t="s">
        <v>136</v>
      </c>
      <c r="F158" s="42">
        <f>SUM(F152:F157)</f>
        <v>-3789.4000000000005</v>
      </c>
      <c r="G158" s="42">
        <f>SUM(G152:G157)</f>
        <v>791.49999999999943</v>
      </c>
      <c r="H158" s="42">
        <f>SUM(H152:H157)</f>
        <v>-2717.5</v>
      </c>
      <c r="I158" s="42">
        <f>SUM(I152:I157)</f>
        <v>3795.7000000000007</v>
      </c>
      <c r="J158" s="42">
        <f>SUM(J152:J157)</f>
        <v>-17608.2</v>
      </c>
    </row>
    <row r="159" spans="4:10" ht="15" thickTop="1"/>
    <row r="160" spans="4:10">
      <c r="D160" s="30" t="s">
        <v>137</v>
      </c>
      <c r="F160" s="36">
        <f>F137+F149+F158</f>
        <v>843.199999999998</v>
      </c>
      <c r="G160" s="36">
        <f>G137+G149+G158</f>
        <v>-771.2000000000013</v>
      </c>
      <c r="H160" s="36">
        <f>H137+H149+H158</f>
        <v>-53.899999999995998</v>
      </c>
      <c r="I160" s="36">
        <f>I137+I149+I158</f>
        <v>554.59999999999854</v>
      </c>
      <c r="J160" s="36">
        <f>J137+J149+J158</f>
        <v>345.20000000000073</v>
      </c>
    </row>
    <row r="161" spans="1:16">
      <c r="D161" s="30" t="s">
        <v>138</v>
      </c>
      <c r="F161" s="36">
        <v>1667.1</v>
      </c>
      <c r="G161" s="36">
        <v>2490.5</v>
      </c>
      <c r="H161" s="36">
        <v>1759.4</v>
      </c>
      <c r="I161" s="36">
        <v>1742.2</v>
      </c>
      <c r="J161" s="36">
        <v>2321.8000000000002</v>
      </c>
    </row>
    <row r="162" spans="1:16">
      <c r="D162" s="29" t="s">
        <v>139</v>
      </c>
      <c r="F162" s="34">
        <v>-19.8</v>
      </c>
      <c r="G162" s="34">
        <v>40.1</v>
      </c>
      <c r="H162" s="34">
        <v>36.700000000000003</v>
      </c>
      <c r="I162" s="34">
        <v>25</v>
      </c>
      <c r="J162" s="34">
        <v>71</v>
      </c>
    </row>
    <row r="163" spans="1:16" ht="15" thickBot="1">
      <c r="D163" s="30" t="s">
        <v>140</v>
      </c>
      <c r="F163" s="42">
        <f>F160+F161+F162</f>
        <v>2490.4999999999977</v>
      </c>
      <c r="G163" s="42">
        <f>G160+G161+G162</f>
        <v>1759.3999999999987</v>
      </c>
      <c r="H163" s="42">
        <f>H160+H161+H162</f>
        <v>1742.2000000000041</v>
      </c>
      <c r="I163" s="42">
        <f>I160+I161+I162</f>
        <v>2321.7999999999984</v>
      </c>
      <c r="J163" s="42">
        <f>J160+J161+J162</f>
        <v>2738.0000000000009</v>
      </c>
    </row>
    <row r="164" spans="1:16" ht="15" thickTop="1"/>
    <row r="166" spans="1:16">
      <c r="A166" s="209" t="s">
        <v>141</v>
      </c>
      <c r="B166" s="209"/>
      <c r="C166" s="209"/>
      <c r="D166" s="209"/>
      <c r="E166" s="4" t="s">
        <v>3</v>
      </c>
      <c r="F166" s="157">
        <v>2019</v>
      </c>
      <c r="G166" s="157">
        <v>2020</v>
      </c>
      <c r="H166" s="157">
        <v>2021</v>
      </c>
      <c r="I166" s="157">
        <v>2022</v>
      </c>
      <c r="J166" s="157">
        <v>2023</v>
      </c>
      <c r="K166" s="204" t="s">
        <v>142</v>
      </c>
      <c r="L166" s="204" t="s">
        <v>143</v>
      </c>
    </row>
    <row r="167" spans="1:16">
      <c r="D167" s="29" t="s">
        <v>144</v>
      </c>
      <c r="H167" s="37">
        <v>58208.6</v>
      </c>
      <c r="I167" s="37">
        <v>75266.399999999994</v>
      </c>
      <c r="J167" s="37">
        <v>81599.7</v>
      </c>
      <c r="K167" s="59">
        <f>_xlfn.RRI(2,H167,J167)</f>
        <v>0.18399727823875112</v>
      </c>
      <c r="L167" s="84">
        <f>J167*(1+K167)</f>
        <v>96613.822705098617</v>
      </c>
    </row>
    <row r="168" spans="1:16">
      <c r="D168" s="29" t="s">
        <v>145</v>
      </c>
      <c r="H168" s="37">
        <v>24665.5</v>
      </c>
      <c r="I168" s="37">
        <v>23290.7</v>
      </c>
      <c r="J168" s="37">
        <v>25133.5</v>
      </c>
      <c r="K168" s="59">
        <f t="shared" ref="K168:K169" si="7">_xlfn.RRI(2,H168,J168)</f>
        <v>9.4423561480674323E-3</v>
      </c>
      <c r="L168" s="84">
        <f t="shared" ref="L168:L169" si="8">J168*(1+K168)</f>
        <v>25370.819458247453</v>
      </c>
    </row>
    <row r="169" spans="1:16">
      <c r="D169" s="29" t="s">
        <v>146</v>
      </c>
      <c r="H169" s="37">
        <v>5776</v>
      </c>
      <c r="I169" s="37">
        <v>7784.8</v>
      </c>
      <c r="J169" s="37">
        <v>9259.4</v>
      </c>
      <c r="K169" s="59">
        <f t="shared" si="7"/>
        <v>0.26612863384867946</v>
      </c>
      <c r="L169" s="84">
        <f t="shared" si="8"/>
        <v>11723.591472258462</v>
      </c>
    </row>
    <row r="170" spans="1:16" ht="15.6">
      <c r="D170" s="30" t="s">
        <v>147</v>
      </c>
      <c r="H170" s="27">
        <f>SUM(H167:H169)</f>
        <v>88650.1</v>
      </c>
      <c r="I170" s="27">
        <f t="shared" ref="I170:J170" si="9">SUM(I167:I169)</f>
        <v>106341.9</v>
      </c>
      <c r="J170" s="27">
        <f t="shared" si="9"/>
        <v>115992.59999999999</v>
      </c>
      <c r="L170" s="85">
        <f>SUM(L167:L169)</f>
        <v>133708.23363560453</v>
      </c>
    </row>
    <row r="173" spans="1:16" ht="18">
      <c r="D173" s="45" t="s">
        <v>148</v>
      </c>
      <c r="E173" s="43" t="s">
        <v>149</v>
      </c>
      <c r="F173" s="43" t="s">
        <v>150</v>
      </c>
      <c r="G173" s="43" t="s">
        <v>151</v>
      </c>
      <c r="H173" s="43" t="s">
        <v>152</v>
      </c>
      <c r="I173" s="43" t="s">
        <v>153</v>
      </c>
      <c r="J173" s="43" t="s">
        <v>154</v>
      </c>
      <c r="K173" s="43" t="s">
        <v>155</v>
      </c>
      <c r="L173" s="43" t="s">
        <v>156</v>
      </c>
      <c r="M173" s="43" t="s">
        <v>157</v>
      </c>
      <c r="N173" s="43" t="s">
        <v>158</v>
      </c>
      <c r="O173" t="s">
        <v>159</v>
      </c>
      <c r="P173" s="43" t="s">
        <v>143</v>
      </c>
    </row>
    <row r="174" spans="1:16">
      <c r="D174" s="30" t="s">
        <v>160</v>
      </c>
      <c r="E174" s="36">
        <v>2799.99</v>
      </c>
      <c r="F174" s="36">
        <v>2618.98</v>
      </c>
      <c r="G174" s="36">
        <v>2483.86</v>
      </c>
      <c r="H174" s="36">
        <v>2576.38</v>
      </c>
      <c r="I174" s="36">
        <v>3079.37</v>
      </c>
      <c r="J174" s="36">
        <v>3040.91</v>
      </c>
      <c r="K174" s="36">
        <v>2902.6</v>
      </c>
      <c r="L174" s="36">
        <v>2967.72</v>
      </c>
      <c r="M174" s="36">
        <v>3440.17</v>
      </c>
      <c r="N174" s="36">
        <v>3323.87</v>
      </c>
      <c r="O174">
        <f>K174*1.12</f>
        <v>3250.9120000000003</v>
      </c>
      <c r="P174" s="83">
        <f>SUM(L174:O174)</f>
        <v>12982.671999999999</v>
      </c>
    </row>
    <row r="175" spans="1:16">
      <c r="D175" s="30" t="s">
        <v>161</v>
      </c>
      <c r="E175" s="36"/>
      <c r="F175" s="36"/>
      <c r="G175" s="36"/>
      <c r="H175" s="36"/>
      <c r="I175" s="36"/>
      <c r="J175" s="36"/>
      <c r="K175" s="36"/>
      <c r="L175" s="82">
        <f>L174/H174-1</f>
        <v>0.15189529494872644</v>
      </c>
      <c r="M175" s="82">
        <f>M174/I174-1</f>
        <v>0.11716682308394266</v>
      </c>
      <c r="N175" s="82">
        <f>N174/J174-1</f>
        <v>9.3051093258267992E-2</v>
      </c>
    </row>
    <row r="176" spans="1:16">
      <c r="D176" s="44" t="s">
        <v>162</v>
      </c>
      <c r="E176" s="34">
        <v>2175.61</v>
      </c>
      <c r="F176" s="34">
        <v>2120.5300000000002</v>
      </c>
      <c r="G176" s="34">
        <v>2146.63</v>
      </c>
      <c r="H176" s="34">
        <v>2373.14</v>
      </c>
      <c r="I176" s="34">
        <v>2625.46</v>
      </c>
      <c r="J176" s="34">
        <v>2441.86</v>
      </c>
      <c r="K176" s="34">
        <v>2549.35</v>
      </c>
      <c r="L176" s="34">
        <v>2578.5300000000002</v>
      </c>
      <c r="M176" s="34">
        <v>2693.44</v>
      </c>
      <c r="N176" s="34">
        <v>2616.2800000000002</v>
      </c>
    </row>
    <row r="177" spans="4:14">
      <c r="D177" s="30" t="s">
        <v>163</v>
      </c>
      <c r="E177" s="36">
        <f t="shared" ref="E177:N177" si="10">E175-E176</f>
        <v>-2175.61</v>
      </c>
      <c r="F177" s="36">
        <f t="shared" si="10"/>
        <v>-2120.5300000000002</v>
      </c>
      <c r="G177" s="36">
        <f t="shared" si="10"/>
        <v>-2146.63</v>
      </c>
      <c r="H177" s="36">
        <f t="shared" si="10"/>
        <v>-2373.14</v>
      </c>
      <c r="I177" s="36">
        <f t="shared" si="10"/>
        <v>-2625.46</v>
      </c>
      <c r="J177" s="36">
        <f t="shared" si="10"/>
        <v>-2441.86</v>
      </c>
      <c r="K177" s="36">
        <f t="shared" si="10"/>
        <v>-2549.35</v>
      </c>
      <c r="L177" s="36">
        <f t="shared" si="10"/>
        <v>-2578.3781047050516</v>
      </c>
      <c r="M177" s="36">
        <f t="shared" si="10"/>
        <v>-2693.322833176916</v>
      </c>
      <c r="N177" s="36">
        <f t="shared" si="10"/>
        <v>-2616.1869489067421</v>
      </c>
    </row>
    <row r="178" spans="4:14">
      <c r="D178" s="44" t="s">
        <v>164</v>
      </c>
      <c r="E178" s="34">
        <v>41.96</v>
      </c>
      <c r="F178" s="34">
        <v>53.52</v>
      </c>
      <c r="G178" s="34">
        <v>5.56</v>
      </c>
      <c r="H178" s="34">
        <v>51.41</v>
      </c>
      <c r="I178" s="34">
        <v>50.67</v>
      </c>
      <c r="J178" s="34">
        <v>45.33</v>
      </c>
      <c r="K178" s="34">
        <v>-34.31</v>
      </c>
      <c r="L178" s="34">
        <v>65.84</v>
      </c>
      <c r="M178" s="34">
        <v>5.53</v>
      </c>
      <c r="N178" s="34">
        <v>42.33</v>
      </c>
    </row>
    <row r="179" spans="4:14">
      <c r="D179" s="44" t="s">
        <v>165</v>
      </c>
      <c r="E179" s="34">
        <v>72.83</v>
      </c>
      <c r="F179" s="34">
        <v>77.459999999999994</v>
      </c>
      <c r="G179" s="34">
        <v>83.14</v>
      </c>
      <c r="H179" s="34">
        <v>76.260000000000005</v>
      </c>
      <c r="I179" s="34">
        <v>77.400000000000006</v>
      </c>
      <c r="J179" s="34">
        <v>78.44</v>
      </c>
      <c r="K179" s="34">
        <v>78.319999999999993</v>
      </c>
      <c r="L179" s="34">
        <v>72.41</v>
      </c>
      <c r="M179" s="34">
        <v>73.900000000000006</v>
      </c>
      <c r="N179" s="34">
        <v>69.56</v>
      </c>
    </row>
    <row r="180" spans="4:14">
      <c r="D180" s="44" t="s">
        <v>166</v>
      </c>
      <c r="E180" s="34">
        <v>11.97</v>
      </c>
      <c r="F180" s="34">
        <v>10.57</v>
      </c>
      <c r="G180" s="34">
        <v>16.97</v>
      </c>
      <c r="H180" s="34">
        <v>26.5</v>
      </c>
      <c r="I180" s="34">
        <v>24.85</v>
      </c>
      <c r="J180" s="34">
        <v>27.05</v>
      </c>
      <c r="K180" s="34">
        <v>28.96</v>
      </c>
      <c r="L180" s="34">
        <v>29.77</v>
      </c>
      <c r="M180" s="34">
        <v>30.32</v>
      </c>
      <c r="N180" s="34">
        <v>25.46</v>
      </c>
    </row>
    <row r="181" spans="4:14">
      <c r="D181" s="30" t="s">
        <v>90</v>
      </c>
      <c r="E181" s="36">
        <v>581.54</v>
      </c>
      <c r="F181" s="36">
        <v>463.94</v>
      </c>
      <c r="G181" s="36">
        <v>242.68</v>
      </c>
      <c r="H181" s="36">
        <v>151.88999999999999</v>
      </c>
      <c r="I181" s="36">
        <v>402.33</v>
      </c>
      <c r="J181" s="36">
        <v>538.89</v>
      </c>
      <c r="K181" s="36">
        <v>211.66</v>
      </c>
      <c r="L181" s="36">
        <v>352.85</v>
      </c>
      <c r="M181" s="36">
        <v>648.04</v>
      </c>
      <c r="N181" s="36">
        <v>654.9</v>
      </c>
    </row>
    <row r="182" spans="4:14">
      <c r="D182" s="44" t="s">
        <v>167</v>
      </c>
      <c r="E182" s="34">
        <v>23.01</v>
      </c>
      <c r="F182" s="34">
        <v>-69.41</v>
      </c>
      <c r="G182" s="34">
        <v>134.47</v>
      </c>
      <c r="H182" s="34">
        <v>20.440000000000001</v>
      </c>
      <c r="I182" s="34">
        <v>54.61</v>
      </c>
      <c r="J182" s="34">
        <v>78.930000000000007</v>
      </c>
      <c r="K182" s="34">
        <v>143.97999999999999</v>
      </c>
      <c r="L182" s="34">
        <v>65.040000000000006</v>
      </c>
      <c r="M182" s="34">
        <v>33.15</v>
      </c>
      <c r="N182" s="34">
        <v>50.62</v>
      </c>
    </row>
    <row r="183" spans="4:14">
      <c r="D183" s="30" t="s">
        <v>168</v>
      </c>
      <c r="E183" s="36">
        <v>544.26</v>
      </c>
      <c r="F183" s="36">
        <v>525.66</v>
      </c>
      <c r="G183" s="36">
        <v>107.58</v>
      </c>
      <c r="H183" s="36">
        <v>127.64</v>
      </c>
      <c r="I183" s="36">
        <v>330.84</v>
      </c>
      <c r="J183" s="36">
        <v>454.71</v>
      </c>
      <c r="K183" s="36">
        <v>70.98</v>
      </c>
      <c r="L183" s="36">
        <v>286.73</v>
      </c>
      <c r="M183" s="36">
        <v>620.52</v>
      </c>
      <c r="N183" s="36">
        <v>594.96</v>
      </c>
    </row>
  </sheetData>
  <mergeCells count="6">
    <mergeCell ref="A166:D166"/>
    <mergeCell ref="A1:D1"/>
    <mergeCell ref="A2:D2"/>
    <mergeCell ref="A4:D4"/>
    <mergeCell ref="A35:D35"/>
    <mergeCell ref="A106:D106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113C7-7CBB-4554-99C6-12FB71327FCD}">
  <dimension ref="A1:Y182"/>
  <sheetViews>
    <sheetView showGridLines="0" zoomScale="87" zoomScaleNormal="80" workbookViewId="0">
      <selection activeCell="E6" sqref="E6"/>
    </sheetView>
  </sheetViews>
  <sheetFormatPr defaultRowHeight="14.4"/>
  <cols>
    <col min="1" max="1" width="8" customWidth="1"/>
    <col min="2" max="2" width="9.44140625" customWidth="1"/>
    <col min="3" max="3" width="3.109375" customWidth="1"/>
    <col min="4" max="4" width="47" customWidth="1"/>
    <col min="5" max="5" width="15.109375" customWidth="1"/>
    <col min="6" max="6" width="13.33203125" customWidth="1"/>
    <col min="7" max="7" width="13.6640625" customWidth="1"/>
    <col min="8" max="8" width="15" customWidth="1"/>
    <col min="9" max="9" width="13.6640625" customWidth="1"/>
    <col min="10" max="10" width="14.6640625" customWidth="1"/>
    <col min="11" max="11" width="16" customWidth="1"/>
    <col min="12" max="12" width="14.33203125" customWidth="1"/>
    <col min="13" max="13" width="12.33203125" customWidth="1"/>
    <col min="14" max="16" width="8.88671875" customWidth="1"/>
    <col min="18" max="20" width="20.33203125" customWidth="1"/>
    <col min="21" max="21" width="22.33203125" bestFit="1" customWidth="1"/>
  </cols>
  <sheetData>
    <row r="1" spans="1:25">
      <c r="A1" s="210" t="s">
        <v>0</v>
      </c>
      <c r="B1" s="210"/>
      <c r="C1" s="210"/>
      <c r="D1" s="210"/>
      <c r="E1" s="156"/>
      <c r="F1" s="156"/>
      <c r="G1" s="156"/>
      <c r="H1" s="156"/>
      <c r="I1" s="156" t="s">
        <v>169</v>
      </c>
      <c r="J1" s="156"/>
      <c r="K1" s="156"/>
      <c r="L1" s="156"/>
      <c r="M1" s="156" t="s">
        <v>170</v>
      </c>
      <c r="N1" s="156"/>
      <c r="O1" s="156"/>
      <c r="P1" s="156"/>
    </row>
    <row r="2" spans="1:25">
      <c r="A2" s="210" t="s">
        <v>171</v>
      </c>
      <c r="B2" s="210"/>
      <c r="C2" s="210"/>
      <c r="D2" s="210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56"/>
      <c r="P2" s="156"/>
    </row>
    <row r="3" spans="1:25">
      <c r="A3" s="156"/>
      <c r="B3" s="156"/>
      <c r="C3" s="156"/>
      <c r="D3" s="156"/>
      <c r="E3" s="156"/>
      <c r="F3" s="156"/>
      <c r="G3" s="153">
        <v>2019</v>
      </c>
      <c r="H3" s="153">
        <v>2020</v>
      </c>
      <c r="I3" s="153">
        <v>2021</v>
      </c>
      <c r="J3" s="153">
        <v>2022</v>
      </c>
      <c r="K3" s="153">
        <v>2023</v>
      </c>
      <c r="L3" s="159">
        <v>2024</v>
      </c>
      <c r="M3" s="159">
        <v>2025</v>
      </c>
      <c r="N3" s="159">
        <v>2026</v>
      </c>
      <c r="O3" s="159">
        <v>2027</v>
      </c>
      <c r="P3" s="159">
        <v>2028</v>
      </c>
    </row>
    <row r="5" spans="1:25">
      <c r="A5" s="208" t="s">
        <v>172</v>
      </c>
      <c r="B5" s="208"/>
      <c r="C5" s="208"/>
      <c r="D5" s="208"/>
      <c r="E5" s="160"/>
      <c r="F5" s="161" t="s">
        <v>173</v>
      </c>
      <c r="G5" s="160"/>
      <c r="H5" s="160"/>
      <c r="I5" s="160"/>
      <c r="J5" s="160"/>
      <c r="K5" s="160"/>
      <c r="L5" s="162"/>
      <c r="M5" s="162"/>
      <c r="N5" s="162"/>
      <c r="O5" s="162"/>
      <c r="P5" s="162"/>
      <c r="R5" s="72" t="s">
        <v>174</v>
      </c>
      <c r="S5" s="73"/>
      <c r="T5" s="74" t="s">
        <v>175</v>
      </c>
    </row>
    <row r="6" spans="1:25">
      <c r="A6" s="61"/>
      <c r="B6" s="61"/>
      <c r="C6" s="61"/>
      <c r="D6" s="61" t="str">
        <f>R5</f>
        <v>Scenarios</v>
      </c>
      <c r="E6" s="61" t="s">
        <v>176</v>
      </c>
      <c r="F6" s="4"/>
      <c r="G6" s="61">
        <f>IF(E6=R8,1,IF(E6=R9,2,3))</f>
        <v>1</v>
      </c>
      <c r="H6" s="61"/>
      <c r="I6" s="61"/>
      <c r="J6" s="61"/>
      <c r="K6" s="61"/>
      <c r="R6" s="61"/>
      <c r="T6" s="80"/>
    </row>
    <row r="7" spans="1:25">
      <c r="D7" t="s">
        <v>177</v>
      </c>
      <c r="F7" s="59" t="s">
        <v>178</v>
      </c>
      <c r="G7" s="60"/>
      <c r="H7" s="68">
        <f>H24/G24-1</f>
        <v>0.13418148208557601</v>
      </c>
      <c r="I7" s="68">
        <f t="shared" ref="I7:K7" si="0">I24/H24-1</f>
        <v>6.2389147212501772E-2</v>
      </c>
      <c r="J7" s="68">
        <f t="shared" si="0"/>
        <v>0.1995713479977439</v>
      </c>
      <c r="K7" s="68">
        <f t="shared" si="0"/>
        <v>9.0754358578924554E-2</v>
      </c>
      <c r="L7" s="68" cm="1">
        <f t="array" ref="L7:P7">CHOOSE(G6,U8:Y8,U9:Y9,U10:Y10)</f>
        <v>0.12172408396868656</v>
      </c>
      <c r="M7" s="70">
        <v>0.10346547137338358</v>
      </c>
      <c r="N7" s="70">
        <v>8.7945650667376044E-2</v>
      </c>
      <c r="O7" s="70">
        <v>7.4753803067269642E-2</v>
      </c>
      <c r="P7" s="70">
        <v>6.3540732607179198E-2</v>
      </c>
      <c r="R7" s="75" t="s">
        <v>179</v>
      </c>
      <c r="S7" s="75" t="s">
        <v>180</v>
      </c>
      <c r="T7" s="75" t="s">
        <v>181</v>
      </c>
      <c r="U7" s="61">
        <v>2024</v>
      </c>
      <c r="V7" s="61">
        <v>2025</v>
      </c>
      <c r="W7" s="61">
        <v>2026</v>
      </c>
      <c r="X7" s="61">
        <v>2027</v>
      </c>
      <c r="Y7" s="61">
        <v>2028</v>
      </c>
    </row>
    <row r="8" spans="1:25">
      <c r="D8" t="s">
        <v>182</v>
      </c>
      <c r="F8" s="59" t="s">
        <v>178</v>
      </c>
      <c r="G8" s="62">
        <f>-G25/G24</f>
        <v>0.40027456097428371</v>
      </c>
      <c r="H8" s="62">
        <f t="shared" ref="H8:K8" si="1">-H25/H24</f>
        <v>0.40085566367863479</v>
      </c>
      <c r="I8" s="62">
        <f t="shared" si="1"/>
        <v>0.39464184997179919</v>
      </c>
      <c r="J8" s="62">
        <f t="shared" si="1"/>
        <v>0.39309962197438453</v>
      </c>
      <c r="K8" s="62">
        <f t="shared" si="1"/>
        <v>0.42303414861241628</v>
      </c>
      <c r="L8" s="71">
        <f t="shared" ref="L8:L18" si="2">AVERAGE(G8:K8)</f>
        <v>0.4023811690423037</v>
      </c>
      <c r="M8" s="71">
        <f t="shared" ref="M8:M18" si="3">L8</f>
        <v>0.4023811690423037</v>
      </c>
      <c r="N8" s="71">
        <f t="shared" ref="N8:P8" si="4">M8</f>
        <v>0.4023811690423037</v>
      </c>
      <c r="O8" s="71">
        <f t="shared" si="4"/>
        <v>0.4023811690423037</v>
      </c>
      <c r="P8" s="71">
        <f t="shared" si="4"/>
        <v>0.4023811690423037</v>
      </c>
      <c r="R8" s="46" t="s">
        <v>176</v>
      </c>
      <c r="S8" t="s">
        <v>183</v>
      </c>
      <c r="T8" s="76">
        <f>AVERAGE(H7:K7)</f>
        <v>0.12172408396868656</v>
      </c>
      <c r="U8" s="77" cm="1">
        <f t="array" ref="U8:U10">T8:T10</f>
        <v>0.12172408396868656</v>
      </c>
      <c r="V8" s="81">
        <f>U8*(1-$T$12)</f>
        <v>0.10346547137338358</v>
      </c>
      <c r="W8" s="81">
        <f t="shared" ref="W8:Y8" si="5">V8*(1-$T$12)</f>
        <v>8.7945650667376044E-2</v>
      </c>
      <c r="X8" s="81">
        <f t="shared" si="5"/>
        <v>7.4753803067269642E-2</v>
      </c>
      <c r="Y8" s="81">
        <f t="shared" si="5"/>
        <v>6.3540732607179198E-2</v>
      </c>
    </row>
    <row r="9" spans="1:25">
      <c r="D9" t="s">
        <v>184</v>
      </c>
      <c r="F9" s="59" t="s">
        <v>178</v>
      </c>
      <c r="G9" s="62">
        <f>-G28/G24</f>
        <v>0.18519273636709618</v>
      </c>
      <c r="H9" s="62">
        <f t="shared" ref="H9:K9" si="6">-H28/H24</f>
        <v>0.18042040170653373</v>
      </c>
      <c r="I9" s="62">
        <f t="shared" si="6"/>
        <v>0.18285391990975747</v>
      </c>
      <c r="J9" s="62">
        <f t="shared" si="6"/>
        <v>0.18456489439732185</v>
      </c>
      <c r="K9" s="62">
        <f t="shared" si="6"/>
        <v>0.18375246782133406</v>
      </c>
      <c r="L9" s="71">
        <f t="shared" si="2"/>
        <v>0.18335688404040867</v>
      </c>
      <c r="M9" s="71">
        <f t="shared" si="3"/>
        <v>0.18335688404040867</v>
      </c>
      <c r="N9" s="71">
        <f t="shared" ref="N9:P9" si="7">M9</f>
        <v>0.18335688404040867</v>
      </c>
      <c r="O9" s="71">
        <f t="shared" si="7"/>
        <v>0.18335688404040867</v>
      </c>
      <c r="P9" s="71">
        <f t="shared" si="7"/>
        <v>0.18335688404040867</v>
      </c>
      <c r="R9" s="46" t="s">
        <v>185</v>
      </c>
      <c r="S9" t="s">
        <v>186</v>
      </c>
      <c r="T9" s="76">
        <f>MAX(H7:K7)</f>
        <v>0.1995713479977439</v>
      </c>
      <c r="U9" s="77">
        <v>0.1995713479977439</v>
      </c>
      <c r="V9" s="81">
        <f t="shared" ref="V9:Y9" si="8">U9*(1-$T$12)</f>
        <v>0.1696356457980823</v>
      </c>
      <c r="W9" s="81">
        <f t="shared" si="8"/>
        <v>0.14419029892836996</v>
      </c>
      <c r="X9" s="81">
        <f t="shared" si="8"/>
        <v>0.12256175408911446</v>
      </c>
      <c r="Y9" s="81">
        <f t="shared" si="8"/>
        <v>0.10417749097574729</v>
      </c>
    </row>
    <row r="10" spans="1:25">
      <c r="D10" t="s">
        <v>187</v>
      </c>
      <c r="F10" s="59" t="s">
        <v>178</v>
      </c>
      <c r="G10" s="62">
        <f>-G29/G24</f>
        <v>0.26300766595987601</v>
      </c>
      <c r="H10" s="62">
        <f t="shared" ref="H10:K10" si="9">-H29/H24</f>
        <v>0.24213844015147884</v>
      </c>
      <c r="I10" s="62">
        <f t="shared" si="9"/>
        <v>0.20339537507050198</v>
      </c>
      <c r="J10" s="62">
        <f t="shared" si="9"/>
        <v>0.22928852193865076</v>
      </c>
      <c r="K10" s="62">
        <f t="shared" si="9"/>
        <v>0.25446363142603434</v>
      </c>
      <c r="L10" s="71">
        <f t="shared" si="2"/>
        <v>0.23845872690930842</v>
      </c>
      <c r="M10" s="71">
        <f t="shared" si="3"/>
        <v>0.23845872690930842</v>
      </c>
      <c r="N10" s="71">
        <f t="shared" ref="N10:P10" si="10">M10</f>
        <v>0.23845872690930842</v>
      </c>
      <c r="O10" s="71">
        <f t="shared" si="10"/>
        <v>0.23845872690930842</v>
      </c>
      <c r="P10" s="71">
        <f t="shared" si="10"/>
        <v>0.23845872690930842</v>
      </c>
      <c r="R10" s="46" t="s">
        <v>188</v>
      </c>
      <c r="S10" t="s">
        <v>189</v>
      </c>
      <c r="T10" s="76">
        <f>MIN(H7:K7)</f>
        <v>6.2389147212501772E-2</v>
      </c>
      <c r="U10" s="77">
        <v>6.2389147212501772E-2</v>
      </c>
      <c r="V10" s="81">
        <f t="shared" ref="V10:Y10" si="11">U10*(1-$T$12)</f>
        <v>5.3030775130626505E-2</v>
      </c>
      <c r="W10" s="81">
        <f t="shared" si="11"/>
        <v>4.5076158861032528E-2</v>
      </c>
      <c r="X10" s="81">
        <f t="shared" si="11"/>
        <v>3.8314735031877649E-2</v>
      </c>
      <c r="Y10" s="81">
        <f t="shared" si="11"/>
        <v>3.2567524777095999E-2</v>
      </c>
    </row>
    <row r="11" spans="1:25">
      <c r="D11" t="s">
        <v>190</v>
      </c>
      <c r="F11" s="59" t="s">
        <v>178</v>
      </c>
      <c r="G11" s="63"/>
      <c r="H11" s="62">
        <f>-H31/H107</f>
        <v>9.5654674516807675E-2</v>
      </c>
      <c r="I11" s="62">
        <f t="shared" ref="I11:K11" si="12">-I31/I107</f>
        <v>9.5595172200116263E-2</v>
      </c>
      <c r="J11" s="62">
        <f t="shared" si="12"/>
        <v>0.10892660711534398</v>
      </c>
      <c r="K11" s="62">
        <f t="shared" si="12"/>
        <v>0.10936817329781687</v>
      </c>
      <c r="L11" s="70">
        <f t="shared" si="2"/>
        <v>0.10238615678252119</v>
      </c>
      <c r="M11" s="71">
        <f t="shared" si="3"/>
        <v>0.10238615678252119</v>
      </c>
      <c r="N11" s="71">
        <f t="shared" ref="N11:P11" si="13">M11</f>
        <v>0.10238615678252119</v>
      </c>
      <c r="O11" s="71">
        <f t="shared" si="13"/>
        <v>0.10238615678252119</v>
      </c>
      <c r="P11" s="71">
        <f t="shared" si="13"/>
        <v>0.10238615678252119</v>
      </c>
    </row>
    <row r="12" spans="1:25">
      <c r="D12" t="s">
        <v>191</v>
      </c>
      <c r="F12" s="59" t="s">
        <v>178</v>
      </c>
      <c r="G12" s="63"/>
      <c r="H12" s="62">
        <f>-H33/H113</f>
        <v>7.2127369622300763E-2</v>
      </c>
      <c r="I12" s="62">
        <f t="shared" ref="I12:K12" si="14">-I33/I113</f>
        <v>3.5423244624868441E-2</v>
      </c>
      <c r="J12" s="62">
        <f t="shared" si="14"/>
        <v>2.9241071428571429E-2</v>
      </c>
      <c r="K12" s="62">
        <f t="shared" si="14"/>
        <v>4.0251855183269618E-2</v>
      </c>
      <c r="L12" s="70">
        <f t="shared" si="2"/>
        <v>4.4260885214752563E-2</v>
      </c>
      <c r="M12" s="71">
        <f t="shared" si="3"/>
        <v>4.4260885214752563E-2</v>
      </c>
      <c r="N12" s="71">
        <f t="shared" ref="N12:P12" si="15">M12</f>
        <v>4.4260885214752563E-2</v>
      </c>
      <c r="O12" s="71">
        <f t="shared" si="15"/>
        <v>4.4260885214752563E-2</v>
      </c>
      <c r="P12" s="71">
        <f t="shared" si="15"/>
        <v>4.4260885214752563E-2</v>
      </c>
      <c r="R12" s="46" t="s">
        <v>192</v>
      </c>
      <c r="S12" s="78"/>
      <c r="T12" s="79">
        <v>0.15</v>
      </c>
    </row>
    <row r="13" spans="1:25">
      <c r="D13" t="s">
        <v>193</v>
      </c>
      <c r="F13" s="59" t="s">
        <v>178</v>
      </c>
      <c r="G13" s="62">
        <f>G34/G24</f>
        <v>1.1920295764693089E-2</v>
      </c>
      <c r="H13" s="62">
        <f t="shared" ref="H13:K13" si="16">H34/H24</f>
        <v>1.2487416710608313E-2</v>
      </c>
      <c r="I13" s="62">
        <f t="shared" si="16"/>
        <v>2.6305696559503666E-2</v>
      </c>
      <c r="J13" s="62">
        <f t="shared" si="16"/>
        <v>1.3889150100618758E-2</v>
      </c>
      <c r="K13" s="62">
        <f t="shared" si="16"/>
        <v>9.7505883975757164E-3</v>
      </c>
      <c r="L13" s="71">
        <f t="shared" si="2"/>
        <v>1.4870629506599906E-2</v>
      </c>
      <c r="M13" s="71">
        <f t="shared" si="3"/>
        <v>1.4870629506599906E-2</v>
      </c>
      <c r="N13" s="71">
        <f t="shared" ref="N13:P13" si="17">M13</f>
        <v>1.4870629506599906E-2</v>
      </c>
      <c r="O13" s="71">
        <f t="shared" si="17"/>
        <v>1.4870629506599906E-2</v>
      </c>
      <c r="P13" s="71">
        <f t="shared" si="17"/>
        <v>1.4870629506599906E-2</v>
      </c>
    </row>
    <row r="14" spans="1:25">
      <c r="D14" t="s">
        <v>194</v>
      </c>
      <c r="F14" s="59" t="s">
        <v>178</v>
      </c>
      <c r="G14" s="62">
        <f>-G36/G35</f>
        <v>0.18958835236199853</v>
      </c>
      <c r="H14" s="62">
        <f t="shared" ref="H14:K14" si="18">-H36/H35</f>
        <v>8.7712335291316085E-2</v>
      </c>
      <c r="I14" s="62">
        <f t="shared" si="18"/>
        <v>0.12176320503772868</v>
      </c>
      <c r="J14" s="62">
        <f t="shared" si="18"/>
        <v>8.8927448216028632E-2</v>
      </c>
      <c r="K14" s="62">
        <f t="shared" si="18"/>
        <v>0.22840499731739097</v>
      </c>
      <c r="L14" s="71">
        <f t="shared" si="2"/>
        <v>0.14327926764489257</v>
      </c>
      <c r="M14" s="71">
        <f t="shared" si="3"/>
        <v>0.14327926764489257</v>
      </c>
      <c r="N14" s="71">
        <f t="shared" ref="N14:P14" si="19">M14</f>
        <v>0.14327926764489257</v>
      </c>
      <c r="O14" s="71">
        <f t="shared" si="19"/>
        <v>0.14327926764489257</v>
      </c>
      <c r="P14" s="71">
        <f t="shared" si="19"/>
        <v>0.14327926764489257</v>
      </c>
    </row>
    <row r="15" spans="1:25">
      <c r="D15" t="s">
        <v>195</v>
      </c>
      <c r="F15" s="59" t="s">
        <v>178</v>
      </c>
      <c r="G15" s="70">
        <f>-G89/G37</f>
        <v>0.28251260178363707</v>
      </c>
      <c r="H15" s="70">
        <f t="shared" ref="H15:K15" si="20">-H89/H37</f>
        <v>0.38245888801879407</v>
      </c>
      <c r="I15" s="70">
        <f t="shared" si="20"/>
        <v>0.20693534429472124</v>
      </c>
      <c r="J15" s="70">
        <f t="shared" si="20"/>
        <v>0.25110701107011074</v>
      </c>
      <c r="K15" s="70">
        <f t="shared" si="20"/>
        <v>0.52599582795271682</v>
      </c>
      <c r="L15" s="71">
        <f t="shared" si="2"/>
        <v>0.32980193462399598</v>
      </c>
      <c r="M15" s="71">
        <f t="shared" si="3"/>
        <v>0.32980193462399598</v>
      </c>
      <c r="N15" s="71">
        <f t="shared" ref="N15:P18" si="21">M15</f>
        <v>0.32980193462399598</v>
      </c>
      <c r="O15" s="71">
        <f t="shared" si="21"/>
        <v>0.32980193462399598</v>
      </c>
      <c r="P15" s="71">
        <f t="shared" si="21"/>
        <v>0.32980193462399598</v>
      </c>
    </row>
    <row r="16" spans="1:25">
      <c r="D16" t="s">
        <v>196</v>
      </c>
      <c r="F16" t="str">
        <f>F17</f>
        <v>Days</v>
      </c>
      <c r="G16" s="69">
        <f>G44/G24*365</f>
        <v>61.935199532430822</v>
      </c>
      <c r="H16" s="69">
        <f t="shared" ref="H16:K16" si="22">H44/H24*365</f>
        <v>72.146157902305731</v>
      </c>
      <c r="I16" s="69">
        <f t="shared" si="22"/>
        <v>66.173902989283704</v>
      </c>
      <c r="J16" s="69">
        <f t="shared" si="22"/>
        <v>64.685542871113952</v>
      </c>
      <c r="K16" s="69">
        <f t="shared" si="22"/>
        <v>67.094195339373925</v>
      </c>
      <c r="L16" s="49">
        <f t="shared" si="2"/>
        <v>66.406999726901631</v>
      </c>
      <c r="M16" s="49">
        <f t="shared" si="3"/>
        <v>66.406999726901631</v>
      </c>
      <c r="N16" s="49">
        <f t="shared" si="21"/>
        <v>66.406999726901631</v>
      </c>
      <c r="O16" s="49">
        <f t="shared" si="21"/>
        <v>66.406999726901631</v>
      </c>
      <c r="P16" s="49">
        <f t="shared" si="21"/>
        <v>66.406999726901631</v>
      </c>
    </row>
    <row r="17" spans="1:16">
      <c r="D17" t="s">
        <v>197</v>
      </c>
      <c r="F17" t="str">
        <f>F18</f>
        <v>Days</v>
      </c>
      <c r="G17" s="69">
        <f>G45/-G25*365</f>
        <v>185.89851947434548</v>
      </c>
      <c r="H17" s="69">
        <f>H45/-H25*365</f>
        <v>198.47209184131063</v>
      </c>
      <c r="I17" s="69">
        <f>I45/-I25*365</f>
        <v>241.25785336572818</v>
      </c>
      <c r="J17" s="69">
        <f>J45/-J25*365</f>
        <v>262.42577087768819</v>
      </c>
      <c r="K17" s="69">
        <f>K45/-K25*365</f>
        <v>193.96124844606572</v>
      </c>
      <c r="L17" s="49">
        <f t="shared" si="2"/>
        <v>216.40309680102763</v>
      </c>
      <c r="M17" s="49">
        <f t="shared" si="3"/>
        <v>216.40309680102763</v>
      </c>
      <c r="N17" s="49">
        <f t="shared" si="21"/>
        <v>216.40309680102763</v>
      </c>
      <c r="O17" s="49">
        <f t="shared" si="21"/>
        <v>216.40309680102763</v>
      </c>
      <c r="P17" s="49">
        <f t="shared" si="21"/>
        <v>216.40309680102763</v>
      </c>
    </row>
    <row r="18" spans="1:16">
      <c r="D18" t="s">
        <v>198</v>
      </c>
      <c r="F18" t="s">
        <v>199</v>
      </c>
      <c r="G18" s="69">
        <f>(Historical!F93+Historical!F94)/-G25*365</f>
        <v>119.2642364766206</v>
      </c>
      <c r="H18" s="69">
        <f>(Historical!G93+Historical!G94)/-H25*365</f>
        <v>104.10722293641065</v>
      </c>
      <c r="I18" s="69">
        <f>(Historical!H93+Historical!H94)/-I25*365</f>
        <v>111.5720022866943</v>
      </c>
      <c r="J18" s="69">
        <f>(Historical!I93+Historical!I94)/-J25*365</f>
        <v>102.45286223476785</v>
      </c>
      <c r="K18" s="69">
        <f>(Historical!J93+Historical!J94)/-K25*365</f>
        <v>86.659326662454916</v>
      </c>
      <c r="L18" s="49">
        <f t="shared" si="2"/>
        <v>104.81113011938965</v>
      </c>
      <c r="M18" s="49">
        <f t="shared" si="3"/>
        <v>104.81113011938965</v>
      </c>
      <c r="N18" s="49">
        <f t="shared" si="21"/>
        <v>104.81113011938965</v>
      </c>
      <c r="O18" s="49">
        <f t="shared" si="21"/>
        <v>104.81113011938965</v>
      </c>
      <c r="P18" s="49">
        <f t="shared" si="21"/>
        <v>104.81113011938965</v>
      </c>
    </row>
    <row r="19" spans="1:16">
      <c r="D19" t="s">
        <v>200</v>
      </c>
      <c r="F19" t="s">
        <v>201</v>
      </c>
      <c r="G19" s="66">
        <f>G24/G49</f>
        <v>2.7838234626386766</v>
      </c>
      <c r="H19" s="66">
        <f t="shared" ref="H19:K19" si="23">H24/H49</f>
        <v>2.904895684292244</v>
      </c>
      <c r="I19" s="66">
        <f t="shared" si="23"/>
        <v>3.1764288555181719</v>
      </c>
      <c r="J19" s="66">
        <f t="shared" si="23"/>
        <v>3.7469169732076164</v>
      </c>
      <c r="K19" s="66">
        <f t="shared" si="23"/>
        <v>4.4734852867445714</v>
      </c>
      <c r="L19" s="66">
        <f>K19+0.5</f>
        <v>4.9734852867445714</v>
      </c>
      <c r="M19" s="66">
        <f t="shared" ref="M19:P19" si="24">L19+0.5</f>
        <v>5.4734852867445714</v>
      </c>
      <c r="N19" s="66">
        <f t="shared" si="24"/>
        <v>5.9734852867445714</v>
      </c>
      <c r="O19" s="66">
        <f t="shared" si="24"/>
        <v>6.4734852867445714</v>
      </c>
      <c r="P19" s="66">
        <f t="shared" si="24"/>
        <v>6.9734852867445714</v>
      </c>
    </row>
    <row r="22" spans="1:16">
      <c r="A22" s="208" t="s">
        <v>2</v>
      </c>
      <c r="B22" s="208"/>
      <c r="C22" s="208"/>
      <c r="D22" s="208"/>
      <c r="E22" s="160"/>
      <c r="F22" s="161" t="s">
        <v>173</v>
      </c>
      <c r="G22" s="153">
        <v>2019</v>
      </c>
      <c r="H22" s="153">
        <v>2020</v>
      </c>
      <c r="I22" s="153">
        <v>2021</v>
      </c>
      <c r="J22" s="153">
        <v>2022</v>
      </c>
      <c r="K22" s="153">
        <v>2023</v>
      </c>
      <c r="L22" s="159">
        <v>2024</v>
      </c>
      <c r="M22" s="159">
        <v>2025</v>
      </c>
      <c r="N22" s="159">
        <v>2026</v>
      </c>
      <c r="O22" s="159">
        <v>2027</v>
      </c>
      <c r="P22" s="159">
        <v>2028</v>
      </c>
    </row>
    <row r="23" spans="1:16">
      <c r="D23" t="s">
        <v>202</v>
      </c>
    </row>
    <row r="24" spans="1:16">
      <c r="D24" t="s">
        <v>203</v>
      </c>
      <c r="G24" s="49">
        <f>Historical!F6</f>
        <v>73572</v>
      </c>
      <c r="H24" s="49">
        <f>Historical!G6</f>
        <v>83444</v>
      </c>
      <c r="I24" s="49">
        <f>Historical!H6</f>
        <v>88650</v>
      </c>
      <c r="J24" s="49">
        <f>Historical!I6</f>
        <v>106342</v>
      </c>
      <c r="K24" s="49">
        <f>Historical!J6</f>
        <v>115993</v>
      </c>
      <c r="L24" s="49">
        <f>K24*(1+L7)</f>
        <v>130112.14167177987</v>
      </c>
      <c r="M24" s="49">
        <f t="shared" ref="M24:P24" si="25">L24*(1+M7)</f>
        <v>143574.25574125105</v>
      </c>
      <c r="N24" s="49">
        <f t="shared" si="25"/>
        <v>156200.98708149962</v>
      </c>
      <c r="O24" s="49">
        <f t="shared" si="25"/>
        <v>167877.60490870319</v>
      </c>
      <c r="P24" s="49">
        <f t="shared" si="25"/>
        <v>178544.67091294078</v>
      </c>
    </row>
    <row r="25" spans="1:16">
      <c r="D25" t="s">
        <v>204</v>
      </c>
      <c r="G25" s="52">
        <f>-(Historical!F11+Historical!F12+Historical!F13)</f>
        <v>-29449</v>
      </c>
      <c r="H25" s="52">
        <f>-(Historical!G11+Historical!G12+Historical!G13)</f>
        <v>-33449</v>
      </c>
      <c r="I25" s="52">
        <f>-(Historical!H11+Historical!H12+Historical!H13)</f>
        <v>-34985</v>
      </c>
      <c r="J25" s="52">
        <f>-(Historical!I11+Historical!I12+Historical!I13)</f>
        <v>-41803</v>
      </c>
      <c r="K25" s="52">
        <f>-(Historical!J11+Historical!J12+Historical!J13)</f>
        <v>-49069</v>
      </c>
      <c r="L25" s="52">
        <f>-L24*L8</f>
        <v>-52354.675672488622</v>
      </c>
      <c r="M25" s="52">
        <f t="shared" ref="M25:P25" si="26">-M24*M8</f>
        <v>-57771.576869543278</v>
      </c>
      <c r="N25" s="52">
        <f t="shared" si="26"/>
        <v>-62852.335787415599</v>
      </c>
      <c r="O25" s="52">
        <f t="shared" si="26"/>
        <v>-67550.786919185965</v>
      </c>
      <c r="P25" s="52">
        <f t="shared" si="26"/>
        <v>-71843.013408222512</v>
      </c>
    </row>
    <row r="26" spans="1:16">
      <c r="D26" t="s">
        <v>205</v>
      </c>
      <c r="G26" s="53">
        <f>SUM(G24:G25)</f>
        <v>44123</v>
      </c>
      <c r="H26" s="53">
        <f t="shared" ref="H26:K26" si="27">SUM(H24:H25)</f>
        <v>49995</v>
      </c>
      <c r="I26" s="53">
        <f t="shared" si="27"/>
        <v>53665</v>
      </c>
      <c r="J26" s="53">
        <f t="shared" si="27"/>
        <v>64539</v>
      </c>
      <c r="K26" s="53">
        <f t="shared" si="27"/>
        <v>66924</v>
      </c>
      <c r="L26" s="53">
        <f>SUM(L24:L25)</f>
        <v>77757.465999291249</v>
      </c>
      <c r="M26" s="53">
        <f t="shared" ref="M26:P26" si="28">SUM(M24:M25)</f>
        <v>85802.678871707772</v>
      </c>
      <c r="N26" s="53">
        <f t="shared" si="28"/>
        <v>93348.651294084033</v>
      </c>
      <c r="O26" s="53">
        <f t="shared" si="28"/>
        <v>100326.81798951722</v>
      </c>
      <c r="P26" s="53">
        <f t="shared" si="28"/>
        <v>106701.65750471827</v>
      </c>
    </row>
    <row r="27" spans="1:16">
      <c r="D27" t="s">
        <v>162</v>
      </c>
    </row>
    <row r="28" spans="1:16">
      <c r="D28" t="s">
        <v>206</v>
      </c>
      <c r="G28" s="47">
        <f>-Historical!F14</f>
        <v>-13625</v>
      </c>
      <c r="H28" s="47">
        <f>-Historical!G14</f>
        <v>-15055</v>
      </c>
      <c r="I28" s="47">
        <f>-Historical!H14</f>
        <v>-16210</v>
      </c>
      <c r="J28" s="47">
        <f>-Historical!I14</f>
        <v>-19627</v>
      </c>
      <c r="K28" s="47">
        <f>-Historical!J14</f>
        <v>-21314</v>
      </c>
      <c r="L28" s="47">
        <f>-L24*L9</f>
        <v>-23856.956872761766</v>
      </c>
      <c r="M28" s="47">
        <f t="shared" ref="M28:P28" si="29">-M24*M9</f>
        <v>-26325.328161136549</v>
      </c>
      <c r="N28" s="47">
        <f t="shared" si="29"/>
        <v>-28640.526275299901</v>
      </c>
      <c r="O28" s="47">
        <f t="shared" si="29"/>
        <v>-30781.514536226634</v>
      </c>
      <c r="P28" s="47">
        <f t="shared" si="29"/>
        <v>-32737.39452061701</v>
      </c>
    </row>
    <row r="29" spans="1:16">
      <c r="D29" t="s">
        <v>207</v>
      </c>
      <c r="G29" s="47">
        <f>-Historical!F17</f>
        <v>-19350</v>
      </c>
      <c r="H29" s="47">
        <f>-Historical!G17</f>
        <v>-20205</v>
      </c>
      <c r="I29" s="47">
        <f>-Historical!H17</f>
        <v>-18031</v>
      </c>
      <c r="J29" s="47">
        <f>-Historical!I17</f>
        <v>-24383</v>
      </c>
      <c r="K29" s="47">
        <f>-Historical!J17</f>
        <v>-29516</v>
      </c>
      <c r="L29" s="47">
        <f>-L24*L10</f>
        <v>-31026.375658496203</v>
      </c>
      <c r="M29" s="47">
        <f t="shared" ref="M29:P29" si="30">-M24*M10</f>
        <v>-34236.534241010188</v>
      </c>
      <c r="N29" s="47">
        <f t="shared" si="30"/>
        <v>-37247.488521431733</v>
      </c>
      <c r="O29" s="47">
        <f t="shared" si="30"/>
        <v>-40031.879943113228</v>
      </c>
      <c r="P29" s="47">
        <f t="shared" si="30"/>
        <v>-42575.534922341285</v>
      </c>
    </row>
    <row r="30" spans="1:16">
      <c r="D30" t="s">
        <v>208</v>
      </c>
      <c r="G30" s="53">
        <f t="shared" ref="G30:L30" si="31">G26+SUM(G28:G29)</f>
        <v>11148</v>
      </c>
      <c r="H30" s="53">
        <f t="shared" si="31"/>
        <v>14735</v>
      </c>
      <c r="I30" s="53">
        <f t="shared" si="31"/>
        <v>19424</v>
      </c>
      <c r="J30" s="53">
        <f t="shared" si="31"/>
        <v>20529</v>
      </c>
      <c r="K30" s="53">
        <f t="shared" si="31"/>
        <v>16094</v>
      </c>
      <c r="L30" s="53">
        <f t="shared" si="31"/>
        <v>22874.13346803328</v>
      </c>
      <c r="M30" s="53">
        <f t="shared" ref="M30:P30" si="32">M26+SUM(M28:M29)</f>
        <v>25240.816469561032</v>
      </c>
      <c r="N30" s="53">
        <f t="shared" si="32"/>
        <v>27460.636497352403</v>
      </c>
      <c r="O30" s="53">
        <f t="shared" si="32"/>
        <v>29513.423510177367</v>
      </c>
      <c r="P30" s="53">
        <f t="shared" si="32"/>
        <v>31388.728061759975</v>
      </c>
    </row>
    <row r="31" spans="1:16">
      <c r="D31" t="s">
        <v>209</v>
      </c>
      <c r="G31" s="47">
        <f>-Historical!F16</f>
        <v>-1932</v>
      </c>
      <c r="H31" s="47">
        <f>-Historical!G16</f>
        <v>-2528</v>
      </c>
      <c r="I31" s="47">
        <f>-Historical!H16</f>
        <v>-2746</v>
      </c>
      <c r="J31" s="47">
        <f>-Historical!I16</f>
        <v>-3040</v>
      </c>
      <c r="K31" s="47">
        <f>-Historical!J16</f>
        <v>-3104</v>
      </c>
      <c r="L31" s="47">
        <f>-L107*L11</f>
        <v>-2654.7706592139921</v>
      </c>
      <c r="M31" s="47">
        <f t="shared" ref="M31:P31" si="33">-M107*M11</f>
        <v>-2662.4167899081235</v>
      </c>
      <c r="N31" s="47">
        <f t="shared" si="33"/>
        <v>-2669.2800626662265</v>
      </c>
      <c r="O31" s="47">
        <f t="shared" si="33"/>
        <v>-2675.4406313036766</v>
      </c>
      <c r="P31" s="47">
        <f t="shared" si="33"/>
        <v>-2680.9704429947433</v>
      </c>
    </row>
    <row r="32" spans="1:16">
      <c r="D32" t="s">
        <v>210</v>
      </c>
      <c r="G32" s="53">
        <f>G30+G31</f>
        <v>9216</v>
      </c>
      <c r="H32" s="53">
        <f t="shared" ref="H32:K32" si="34">H30+H31</f>
        <v>12207</v>
      </c>
      <c r="I32" s="53">
        <f t="shared" si="34"/>
        <v>16678</v>
      </c>
      <c r="J32" s="53">
        <f t="shared" si="34"/>
        <v>17489</v>
      </c>
      <c r="K32" s="53">
        <f t="shared" si="34"/>
        <v>12990</v>
      </c>
      <c r="L32" s="53">
        <f>L30+L31</f>
        <v>20219.362808819289</v>
      </c>
      <c r="M32" s="53">
        <f t="shared" ref="M32:P32" si="35">M30+M31</f>
        <v>22578.39967965291</v>
      </c>
      <c r="N32" s="53">
        <f t="shared" si="35"/>
        <v>24791.356434686175</v>
      </c>
      <c r="O32" s="53">
        <f t="shared" si="35"/>
        <v>26837.982878873689</v>
      </c>
      <c r="P32" s="53">
        <f t="shared" si="35"/>
        <v>28707.75761876523</v>
      </c>
    </row>
    <row r="33" spans="1:16">
      <c r="D33" t="s">
        <v>166</v>
      </c>
      <c r="G33" s="47">
        <f>-Historical!F15</f>
        <v>-546</v>
      </c>
      <c r="H33" s="47">
        <f>-Historical!G15</f>
        <v>-651</v>
      </c>
      <c r="I33" s="47">
        <f>-Historical!H15</f>
        <v>-589</v>
      </c>
      <c r="J33" s="47">
        <f>-Historical!I15</f>
        <v>-524</v>
      </c>
      <c r="K33" s="47">
        <f>-Historical!J15</f>
        <v>-1074</v>
      </c>
      <c r="L33" s="47">
        <f>-L113*L12</f>
        <v>-618.1829316174061</v>
      </c>
      <c r="M33" s="47">
        <f t="shared" ref="M33:P33" si="36">-M113*M12</f>
        <v>-618.1829316174061</v>
      </c>
      <c r="N33" s="47">
        <f t="shared" si="36"/>
        <v>-618.1829316174061</v>
      </c>
      <c r="O33" s="47">
        <f t="shared" si="36"/>
        <v>-618.1829316174061</v>
      </c>
      <c r="P33" s="47">
        <f t="shared" si="36"/>
        <v>-618.1829316174061</v>
      </c>
    </row>
    <row r="34" spans="1:16">
      <c r="D34" t="s">
        <v>211</v>
      </c>
      <c r="G34" s="47">
        <f>Historical!F7</f>
        <v>877</v>
      </c>
      <c r="H34" s="47">
        <f>Historical!G7</f>
        <v>1042</v>
      </c>
      <c r="I34" s="47">
        <f>Historical!H7</f>
        <v>2332</v>
      </c>
      <c r="J34" s="47">
        <f>Historical!I7</f>
        <v>1477</v>
      </c>
      <c r="K34" s="47">
        <f>Historical!J7</f>
        <v>1131</v>
      </c>
      <c r="L34" s="47">
        <f>L24*L13</f>
        <v>1934.8494531112769</v>
      </c>
      <c r="M34" s="47">
        <f t="shared" ref="M34:P34" si="37">M24*M13</f>
        <v>2135.0395638139689</v>
      </c>
      <c r="N34" s="47">
        <f t="shared" si="37"/>
        <v>2322.8070074541793</v>
      </c>
      <c r="O34" s="47">
        <f t="shared" si="37"/>
        <v>2496.4456650526827</v>
      </c>
      <c r="P34" s="47">
        <f t="shared" si="37"/>
        <v>2655.071651524147</v>
      </c>
    </row>
    <row r="35" spans="1:16">
      <c r="D35" t="s">
        <v>212</v>
      </c>
      <c r="G35" s="53">
        <f>G32+G33+G34</f>
        <v>9547</v>
      </c>
      <c r="H35" s="53">
        <f t="shared" ref="H35:K35" si="38">H32+H33+H34</f>
        <v>12598</v>
      </c>
      <c r="I35" s="53">
        <f t="shared" si="38"/>
        <v>18421</v>
      </c>
      <c r="J35" s="53">
        <f t="shared" si="38"/>
        <v>18442</v>
      </c>
      <c r="K35" s="53">
        <f t="shared" si="38"/>
        <v>13047</v>
      </c>
      <c r="L35" s="53">
        <f>L32+L33+L34</f>
        <v>21536.029330313162</v>
      </c>
      <c r="M35" s="53">
        <f t="shared" ref="M35:P35" si="39">M32+M33+M34</f>
        <v>24095.256311849473</v>
      </c>
      <c r="N35" s="53">
        <f t="shared" si="39"/>
        <v>26495.98051052295</v>
      </c>
      <c r="O35" s="53">
        <f t="shared" si="39"/>
        <v>28716.245612308965</v>
      </c>
      <c r="P35" s="53">
        <f t="shared" si="39"/>
        <v>30744.646338671973</v>
      </c>
    </row>
    <row r="36" spans="1:16">
      <c r="D36" t="s">
        <v>213</v>
      </c>
      <c r="G36" s="54">
        <f>-Historical!F28</f>
        <v>-1810</v>
      </c>
      <c r="H36" s="54">
        <f>-Historical!G28</f>
        <v>-1105</v>
      </c>
      <c r="I36" s="54">
        <f>-Historical!H28</f>
        <v>-2243</v>
      </c>
      <c r="J36" s="54">
        <f>-Historical!I28</f>
        <v>-1640</v>
      </c>
      <c r="K36" s="54">
        <f>-Historical!J28</f>
        <v>-2980</v>
      </c>
      <c r="L36" s="54">
        <f>-L35*L14</f>
        <v>-3085.6665104261961</v>
      </c>
      <c r="M36" s="54">
        <f t="shared" ref="M36:P36" si="40">-M35*M14</f>
        <v>-3452.3506780777675</v>
      </c>
      <c r="N36" s="54">
        <f t="shared" si="40"/>
        <v>-3796.3246830810749</v>
      </c>
      <c r="O36" s="54">
        <f t="shared" si="40"/>
        <v>-4114.4426408424879</v>
      </c>
      <c r="P36" s="54">
        <f t="shared" si="40"/>
        <v>-4405.0704114061482</v>
      </c>
    </row>
    <row r="37" spans="1:16">
      <c r="D37" t="s">
        <v>214</v>
      </c>
      <c r="G37" s="53">
        <f>G35+G36</f>
        <v>7737</v>
      </c>
      <c r="H37" s="53">
        <f t="shared" ref="H37:K37" si="41">H35+H36</f>
        <v>11493</v>
      </c>
      <c r="I37" s="53">
        <f t="shared" si="41"/>
        <v>16178</v>
      </c>
      <c r="J37" s="53">
        <f t="shared" si="41"/>
        <v>16802</v>
      </c>
      <c r="K37" s="53">
        <f t="shared" si="41"/>
        <v>10067</v>
      </c>
      <c r="L37" s="53">
        <f>L35+L36</f>
        <v>18450.362819886966</v>
      </c>
      <c r="M37" s="53">
        <f t="shared" ref="M37:P37" si="42">M35+M36</f>
        <v>20642.905633771705</v>
      </c>
      <c r="N37" s="53">
        <f t="shared" si="42"/>
        <v>22699.655827441875</v>
      </c>
      <c r="O37" s="53">
        <f t="shared" si="42"/>
        <v>24601.802971466477</v>
      </c>
      <c r="P37" s="53">
        <f t="shared" si="42"/>
        <v>26339.575927265825</v>
      </c>
    </row>
    <row r="39" spans="1:16">
      <c r="A39" s="208" t="s">
        <v>215</v>
      </c>
      <c r="B39" s="208"/>
      <c r="C39" s="208"/>
      <c r="D39" s="208"/>
      <c r="E39" s="160"/>
      <c r="F39" s="161" t="s">
        <v>3</v>
      </c>
      <c r="G39" s="153">
        <v>2019</v>
      </c>
      <c r="H39" s="153">
        <v>2020</v>
      </c>
      <c r="I39" s="153">
        <v>2021</v>
      </c>
      <c r="J39" s="153">
        <v>2022</v>
      </c>
      <c r="K39" s="153">
        <v>2023</v>
      </c>
      <c r="L39" s="159">
        <v>2024</v>
      </c>
      <c r="M39" s="159">
        <v>2025</v>
      </c>
      <c r="N39" s="159">
        <v>2026</v>
      </c>
      <c r="O39" s="159">
        <v>2027</v>
      </c>
      <c r="P39" s="159">
        <v>2028</v>
      </c>
    </row>
    <row r="40" spans="1:16">
      <c r="D40" t="s">
        <v>216</v>
      </c>
    </row>
    <row r="41" spans="1:16">
      <c r="D41" t="s">
        <v>217</v>
      </c>
    </row>
    <row r="42" spans="1:16">
      <c r="D42" t="s">
        <v>218</v>
      </c>
      <c r="G42" s="47">
        <f>Historical!F58</f>
        <v>2490.5</v>
      </c>
      <c r="H42" s="55">
        <f>Historical!G58</f>
        <v>1759.4</v>
      </c>
      <c r="I42" s="55">
        <f>Historical!H58</f>
        <v>1742.2</v>
      </c>
      <c r="J42" s="55">
        <f>Historical!I58</f>
        <v>2321.8000000000002</v>
      </c>
      <c r="K42" s="55">
        <f>Historical!J58</f>
        <v>2738</v>
      </c>
      <c r="L42" s="86">
        <f>L95</f>
        <v>11097.038182103246</v>
      </c>
      <c r="M42" s="86">
        <f>M95</f>
        <v>20759.467067574882</v>
      </c>
      <c r="N42" s="86">
        <f>N95</f>
        <v>32061.945496948061</v>
      </c>
      <c r="O42" s="86">
        <f>O95</f>
        <v>44935.144120068107</v>
      </c>
      <c r="P42" s="86">
        <f>P95</f>
        <v>59286.395078409652</v>
      </c>
    </row>
    <row r="43" spans="1:16">
      <c r="D43" t="s">
        <v>219</v>
      </c>
      <c r="G43" s="55">
        <f>Historical!F59</f>
        <v>4125.5</v>
      </c>
      <c r="H43" s="55">
        <f>Historical!G59</f>
        <v>9162.7000000000007</v>
      </c>
      <c r="I43" s="55">
        <f>Historical!H59</f>
        <v>18162.3</v>
      </c>
      <c r="J43" s="55">
        <f>Historical!I59</f>
        <v>23464</v>
      </c>
      <c r="K43" s="55">
        <f>Historical!J59</f>
        <v>23430.9</v>
      </c>
      <c r="L43" s="87">
        <f>K43</f>
        <v>23430.9</v>
      </c>
      <c r="M43" s="87">
        <f>L43</f>
        <v>23430.9</v>
      </c>
      <c r="N43" s="87">
        <f>M43</f>
        <v>23430.9</v>
      </c>
      <c r="O43" s="87">
        <f>N43</f>
        <v>23430.9</v>
      </c>
      <c r="P43" s="87">
        <f>O43</f>
        <v>23430.9</v>
      </c>
    </row>
    <row r="44" spans="1:16">
      <c r="D44" t="s">
        <v>196</v>
      </c>
      <c r="G44" s="55">
        <f>Historical!F57</f>
        <v>12484.1</v>
      </c>
      <c r="H44" s="55">
        <f>Historical!G57</f>
        <v>16493.599999999999</v>
      </c>
      <c r="I44" s="55">
        <f>Historical!H57</f>
        <v>16072.1</v>
      </c>
      <c r="J44" s="55">
        <f>Historical!I57</f>
        <v>18846</v>
      </c>
      <c r="K44" s="55">
        <f>Historical!J57</f>
        <v>21321.8</v>
      </c>
      <c r="L44" s="87">
        <f>L24*L16/365</f>
        <v>23672.210839628693</v>
      </c>
      <c r="M44" s="87">
        <f>M24*M16/365</f>
        <v>26121.467292600999</v>
      </c>
      <c r="N44" s="87">
        <f>N24*N16/365</f>
        <v>28418.736730035373</v>
      </c>
      <c r="O44" s="87">
        <f>O24*O16/365</f>
        <v>30543.145378973019</v>
      </c>
      <c r="P44" s="87">
        <f>P24*P16/365</f>
        <v>32483.879212480548</v>
      </c>
    </row>
    <row r="45" spans="1:16">
      <c r="D45" t="s">
        <v>197</v>
      </c>
      <c r="G45" s="55">
        <f>Historical!F54</f>
        <v>14998.7</v>
      </c>
      <c r="H45" s="55">
        <f>Historical!G54</f>
        <v>18188.2</v>
      </c>
      <c r="I45" s="55">
        <f>Historical!H54</f>
        <v>23124.400000000001</v>
      </c>
      <c r="J45" s="55">
        <f>Historical!I54</f>
        <v>30055.3</v>
      </c>
      <c r="K45" s="55">
        <f>Historical!J54</f>
        <v>26075.3</v>
      </c>
      <c r="L45" s="87">
        <f>-L25*L17/365</f>
        <v>31040.312185040988</v>
      </c>
      <c r="M45" s="87">
        <f>-M25*M17/365</f>
        <v>34251.912716843239</v>
      </c>
      <c r="N45" s="87">
        <f>-N25*N17/365</f>
        <v>37264.219467328192</v>
      </c>
      <c r="O45" s="87">
        <f>-O25*O17/365</f>
        <v>40049.861590844353</v>
      </c>
      <c r="P45" s="87">
        <f>-P25*P17/365</f>
        <v>42594.659137142742</v>
      </c>
    </row>
    <row r="46" spans="1:16">
      <c r="D46" t="s">
        <v>220</v>
      </c>
      <c r="G46" s="47">
        <f>Historical!F62</f>
        <v>4293.8</v>
      </c>
      <c r="H46" s="47">
        <f>Historical!G62</f>
        <v>5266</v>
      </c>
      <c r="I46" s="47">
        <f>Historical!H62</f>
        <v>5550.1</v>
      </c>
      <c r="J46" s="47">
        <f>Historical!I62</f>
        <v>6322.8</v>
      </c>
      <c r="K46" s="47">
        <f>Historical!J62</f>
        <v>7360.9</v>
      </c>
      <c r="L46" s="87">
        <f>K46</f>
        <v>7360.9</v>
      </c>
      <c r="M46" s="87">
        <f>L46</f>
        <v>7360.9</v>
      </c>
      <c r="N46" s="87">
        <f>M46</f>
        <v>7360.9</v>
      </c>
      <c r="O46" s="87">
        <f>N46</f>
        <v>7360.9</v>
      </c>
      <c r="P46" s="87">
        <f>O46</f>
        <v>7360.9</v>
      </c>
    </row>
    <row r="47" spans="1:16">
      <c r="L47" s="87"/>
      <c r="M47" s="87"/>
      <c r="N47" s="87"/>
      <c r="O47" s="87"/>
      <c r="P47" s="87"/>
    </row>
    <row r="48" spans="1:16">
      <c r="D48" t="s">
        <v>221</v>
      </c>
      <c r="L48" s="87"/>
      <c r="M48" s="87"/>
      <c r="N48" s="87"/>
      <c r="O48" s="87"/>
      <c r="P48" s="87"/>
    </row>
    <row r="49" spans="4:16">
      <c r="D49" t="s">
        <v>222</v>
      </c>
      <c r="G49" s="56">
        <f>Historical!F38+Historical!F40+IFERROR(Historical!F39,0)+Historical!F42+IFERROR(Historical!F44,0)</f>
        <v>26428.400000000001</v>
      </c>
      <c r="H49" s="56">
        <f>Historical!G38+Historical!G40+IFERROR(Historical!G39,0)+Historical!G42+IFERROR(Historical!G44,0)</f>
        <v>28725.300000000003</v>
      </c>
      <c r="I49" s="56">
        <f>Historical!H38+Historical!H40+IFERROR(Historical!H39,0)+Historical!H42+IFERROR(Historical!H44,0)</f>
        <v>27908.699999999997</v>
      </c>
      <c r="J49" s="56">
        <f>Historical!I38+Historical!I40+IFERROR(Historical!I39,0)+Historical!I42+IFERROR(Historical!I44,0)</f>
        <v>28381.200000000001</v>
      </c>
      <c r="K49" s="56">
        <f>Historical!J38+Historical!J40+IFERROR(Historical!J39,0)+Historical!J42+IFERROR(Historical!J44,0)</f>
        <v>25929</v>
      </c>
      <c r="L49" s="87">
        <f>L110</f>
        <v>26003.67934078601</v>
      </c>
      <c r="M49" s="87">
        <f>M110</f>
        <v>26070.712550877888</v>
      </c>
      <c r="N49" s="87">
        <f>N110</f>
        <v>26130.882488211661</v>
      </c>
      <c r="O49" s="87">
        <f>O110</f>
        <v>26184.891856907983</v>
      </c>
      <c r="P49" s="87">
        <f>P110</f>
        <v>26233.371413913243</v>
      </c>
    </row>
    <row r="50" spans="4:16">
      <c r="D50" t="s">
        <v>223</v>
      </c>
      <c r="G50" s="56">
        <f>Historical!F41+Historical!F43</f>
        <v>3805.6</v>
      </c>
      <c r="H50" s="56">
        <f>Historical!G41+Historical!G43</f>
        <v>3984.5</v>
      </c>
      <c r="I50" s="56">
        <f>Historical!H41+Historical!H43</f>
        <v>3953.9</v>
      </c>
      <c r="J50" s="56">
        <f>Historical!I41+Historical!I43</f>
        <v>4030.9</v>
      </c>
      <c r="K50" s="56">
        <f>Historical!J41+Historical!J43</f>
        <v>4131.7</v>
      </c>
      <c r="L50" s="87">
        <f t="shared" ref="L50:P52" si="43">K50</f>
        <v>4131.7</v>
      </c>
      <c r="M50" s="87">
        <f t="shared" si="43"/>
        <v>4131.7</v>
      </c>
      <c r="N50" s="87">
        <f t="shared" si="43"/>
        <v>4131.7</v>
      </c>
      <c r="O50" s="87">
        <f t="shared" si="43"/>
        <v>4131.7</v>
      </c>
      <c r="P50" s="87">
        <f t="shared" si="43"/>
        <v>4131.7</v>
      </c>
    </row>
    <row r="51" spans="4:16">
      <c r="D51" t="s">
        <v>224</v>
      </c>
      <c r="G51" s="56">
        <f>Historical!F46+Historical!F47+Historical!F48+Historical!F56+Historical!F60+Historical!F61+IFERROR(Historical!F64,0)</f>
        <v>5324.4000000000005</v>
      </c>
      <c r="H51" s="56">
        <f>Historical!G46+Historical!G47+Historical!G48+Historical!G56+Historical!G60+Historical!G61+IFERROR(Historical!G64,0)</f>
        <v>5578.3</v>
      </c>
      <c r="I51" s="56">
        <f>Historical!H46+Historical!H47+Historical!H48+Historical!H56+Historical!H60+Historical!H61+IFERROR(Historical!H64,0)</f>
        <v>6864.7</v>
      </c>
      <c r="J51" s="56">
        <f>Historical!I46+Historical!I47+Historical!I48+Historical!I56+Historical!I60+Historical!I61+IFERROR(Historical!I64,0)</f>
        <v>12847.999999999998</v>
      </c>
      <c r="K51" s="56">
        <f>Historical!J46+Historical!J47+Historical!J48+Historical!J56+Historical!J60+Historical!J61+IFERROR(Historical!J64,0)</f>
        <v>12448.7</v>
      </c>
      <c r="L51" s="87">
        <f t="shared" si="43"/>
        <v>12448.7</v>
      </c>
      <c r="M51" s="87">
        <f t="shared" si="43"/>
        <v>12448.7</v>
      </c>
      <c r="N51" s="87">
        <f t="shared" si="43"/>
        <v>12448.7</v>
      </c>
      <c r="O51" s="87">
        <f t="shared" si="43"/>
        <v>12448.7</v>
      </c>
      <c r="P51" s="87">
        <f t="shared" si="43"/>
        <v>12448.7</v>
      </c>
    </row>
    <row r="52" spans="4:16">
      <c r="D52" t="s">
        <v>225</v>
      </c>
      <c r="G52" s="56">
        <f>Historical!F49+Historical!F50+Historical!F51</f>
        <v>8130.9</v>
      </c>
      <c r="H52" s="56">
        <f>Historical!G49+Historical!G50+Historical!G51</f>
        <v>10275.300000000001</v>
      </c>
      <c r="I52" s="56">
        <f>Historical!H49+Historical!H50+Historical!H51</f>
        <v>11814.2</v>
      </c>
      <c r="J52" s="56">
        <f>Historical!I49+Historical!I50+Historical!I51</f>
        <v>14421.900000000001</v>
      </c>
      <c r="K52" s="56">
        <f>Historical!J49+Historical!J50+Historical!J51</f>
        <v>14130</v>
      </c>
      <c r="L52" s="87">
        <f t="shared" si="43"/>
        <v>14130</v>
      </c>
      <c r="M52" s="87">
        <f t="shared" si="43"/>
        <v>14130</v>
      </c>
      <c r="N52" s="87">
        <f t="shared" si="43"/>
        <v>14130</v>
      </c>
      <c r="O52" s="87">
        <f t="shared" si="43"/>
        <v>14130</v>
      </c>
      <c r="P52" s="87">
        <f t="shared" si="43"/>
        <v>14130</v>
      </c>
    </row>
    <row r="53" spans="4:16">
      <c r="D53" t="s">
        <v>226</v>
      </c>
      <c r="G53" s="53">
        <f>SUM(G42:G46)+SUM(G49:G52)</f>
        <v>82081.900000000009</v>
      </c>
      <c r="H53" s="53">
        <f t="shared" ref="H53:K53" si="44">SUM(H42:H46)+SUM(H49:H52)</f>
        <v>99433.3</v>
      </c>
      <c r="I53" s="53">
        <f t="shared" si="44"/>
        <v>115192.6</v>
      </c>
      <c r="J53" s="53">
        <f t="shared" si="44"/>
        <v>140691.90000000002</v>
      </c>
      <c r="K53" s="53">
        <f t="shared" si="44"/>
        <v>137566.29999999999</v>
      </c>
      <c r="L53" s="53">
        <f>SUM(L42:L46)+SUM(L49:L52)</f>
        <v>153315.44054755892</v>
      </c>
      <c r="M53" s="53">
        <f>SUM(M42:M46)+SUM(M49:M52)</f>
        <v>168705.759627897</v>
      </c>
      <c r="N53" s="53">
        <f>SUM(N42:N46)+SUM(N49:N52)</f>
        <v>185377.9841825233</v>
      </c>
      <c r="O53" s="53">
        <f>SUM(O42:O46)+SUM(O49:O52)</f>
        <v>203215.24294679344</v>
      </c>
      <c r="P53" s="53">
        <f>SUM(P42:P46)+SUM(P49:P52)</f>
        <v>222100.50484194618</v>
      </c>
    </row>
    <row r="55" spans="4:16">
      <c r="D55" t="s">
        <v>66</v>
      </c>
    </row>
    <row r="56" spans="4:16">
      <c r="D56" t="s">
        <v>227</v>
      </c>
    </row>
    <row r="57" spans="4:16">
      <c r="D57" t="s">
        <v>198</v>
      </c>
      <c r="G57" s="47">
        <f>Historical!F93+Historical!F94</f>
        <v>9622.5</v>
      </c>
      <c r="H57" s="47">
        <f>Historical!G93+Historical!G94</f>
        <v>9540.5</v>
      </c>
      <c r="I57" s="47">
        <f>Historical!H93+Historical!H94</f>
        <v>10694.1</v>
      </c>
      <c r="J57" s="47">
        <f>Historical!I93+Historical!I94</f>
        <v>11733.800000000001</v>
      </c>
      <c r="K57" s="47">
        <f>Historical!J93+Historical!J94</f>
        <v>11650.1</v>
      </c>
      <c r="L57">
        <f>-L25*L18/365</f>
        <v>15033.843080185339</v>
      </c>
      <c r="M57">
        <f>-M25*M18/365</f>
        <v>16589.326741030196</v>
      </c>
      <c r="N57">
        <f>-N25*N18/365</f>
        <v>18048.285875403799</v>
      </c>
      <c r="O57">
        <f>-O25*O18/365</f>
        <v>19397.463883435517</v>
      </c>
      <c r="P57">
        <f>-P25*P18/365</f>
        <v>20629.992949310315</v>
      </c>
    </row>
    <row r="58" spans="4:16">
      <c r="D58" t="s">
        <v>228</v>
      </c>
      <c r="G58" s="47">
        <f>Historical!F95+Historical!F96+Historical!F97+Historical!F98</f>
        <v>5840.1</v>
      </c>
      <c r="H58" s="47">
        <f>Historical!G95+Historical!G96+Historical!G97+Historical!G98</f>
        <v>7857.5000000000009</v>
      </c>
      <c r="I58" s="47">
        <f>Historical!H95+Historical!H96+Historical!H97+Historical!H98</f>
        <v>8402.9999999999982</v>
      </c>
      <c r="J58" s="47">
        <f>Historical!I95+Historical!I96+Historical!I97+Historical!I98</f>
        <v>10396.200000000001</v>
      </c>
      <c r="K58" s="47">
        <f>Historical!J95+Historical!J96+Historical!J97+Historical!J98</f>
        <v>12157.699999999999</v>
      </c>
      <c r="L58">
        <f>K58</f>
        <v>12157.699999999999</v>
      </c>
      <c r="M58">
        <f>L58</f>
        <v>12157.699999999999</v>
      </c>
      <c r="N58">
        <f>M58</f>
        <v>12157.699999999999</v>
      </c>
      <c r="O58">
        <f>N58</f>
        <v>12157.699999999999</v>
      </c>
      <c r="P58">
        <f>O58</f>
        <v>12157.699999999999</v>
      </c>
    </row>
    <row r="59" spans="4:16">
      <c r="D59" t="s">
        <v>229</v>
      </c>
    </row>
    <row r="60" spans="4:16">
      <c r="D60" t="s">
        <v>230</v>
      </c>
      <c r="G60" s="47">
        <f>Historical!F90+IFERROR(Historical!F91,0)+Historical!F79+IFERROR(Historical!F80,0)</f>
        <v>9025.7000000000007</v>
      </c>
      <c r="H60" s="47">
        <f>Historical!G90+IFERROR(Historical!G91,0)+Historical!G79+IFERROR(Historical!G80,0)</f>
        <v>16627.5</v>
      </c>
      <c r="I60" s="47">
        <f>Historical!H90+IFERROR(Historical!H91,0)+Historical!H79+IFERROR(Historical!H80,0)</f>
        <v>17222.7</v>
      </c>
      <c r="J60" s="47">
        <f>Historical!I90+IFERROR(Historical!I91,0)+Historical!I79+IFERROR(Historical!I80,0)</f>
        <v>26017.200000000001</v>
      </c>
      <c r="K60" s="47">
        <f>Historical!J90+IFERROR(Historical!J91,0)+Historical!J79+IFERROR(Historical!J80,0)</f>
        <v>13966.8</v>
      </c>
      <c r="L60">
        <f>L115</f>
        <v>13966.8</v>
      </c>
      <c r="M60">
        <f>M115</f>
        <v>13966.8</v>
      </c>
      <c r="N60">
        <f>N115</f>
        <v>13966.8</v>
      </c>
      <c r="O60">
        <f>O115</f>
        <v>13966.8</v>
      </c>
      <c r="P60">
        <f>P115</f>
        <v>13966.8</v>
      </c>
    </row>
    <row r="61" spans="4:16">
      <c r="D61" t="s">
        <v>231</v>
      </c>
      <c r="G61" s="47">
        <f>IFERROR(Historical!F81,0)+Historical!F82+Historical!F83+Historical!F84</f>
        <v>1874.1000000000001</v>
      </c>
      <c r="H61" s="47">
        <f>IFERROR(Historical!G81,0)+Historical!G82+Historical!G83+Historical!G84</f>
        <v>2318.1</v>
      </c>
      <c r="I61" s="47">
        <f>IFERROR(Historical!H81,0)+Historical!H82+Historical!H83+Historical!H84</f>
        <v>3292.7000000000003</v>
      </c>
      <c r="J61" s="47">
        <f>IFERROR(Historical!I81,0)+Historical!I82+Historical!I83+Historical!I84</f>
        <v>4071.3999999999996</v>
      </c>
      <c r="K61" s="47">
        <f>IFERROR(Historical!J81,0)+Historical!J82+Historical!J83+Historical!J84</f>
        <v>5441.7</v>
      </c>
      <c r="L61">
        <f>K61</f>
        <v>5441.7</v>
      </c>
      <c r="M61">
        <f>L61</f>
        <v>5441.7</v>
      </c>
      <c r="N61">
        <f>M61</f>
        <v>5441.7</v>
      </c>
      <c r="O61">
        <f>N61</f>
        <v>5441.7</v>
      </c>
      <c r="P61">
        <f>O61</f>
        <v>5441.7</v>
      </c>
    </row>
    <row r="62" spans="4:16">
      <c r="D62" t="s">
        <v>86</v>
      </c>
      <c r="G62" s="53">
        <f>G57+G58+G60+G61</f>
        <v>26362.400000000001</v>
      </c>
      <c r="H62" s="53">
        <f t="shared" ref="H62:K62" si="45">H57+H58+H60+H61</f>
        <v>36343.599999999999</v>
      </c>
      <c r="I62" s="53">
        <f t="shared" si="45"/>
        <v>39612.5</v>
      </c>
      <c r="J62" s="53">
        <f t="shared" si="45"/>
        <v>52218.6</v>
      </c>
      <c r="K62" s="53">
        <f t="shared" si="45"/>
        <v>43216.299999999996</v>
      </c>
      <c r="L62" s="53">
        <f>L57+L58+L60+L61</f>
        <v>46600.043080185336</v>
      </c>
      <c r="M62" s="53">
        <f>M57+M58+M60+M61</f>
        <v>48155.526741030189</v>
      </c>
      <c r="N62" s="53">
        <f>N57+N58+N60+N61</f>
        <v>49614.4858754038</v>
      </c>
      <c r="O62" s="53">
        <f>O57+O58+O60+O61</f>
        <v>50963.663883435511</v>
      </c>
      <c r="P62" s="53">
        <f>P57+P58+P60+P61</f>
        <v>52196.192949310309</v>
      </c>
    </row>
    <row r="63" spans="4:16">
      <c r="D63" t="s">
        <v>232</v>
      </c>
      <c r="G63" s="53">
        <f>Historical!F70+Historical!F71</f>
        <v>54393.4</v>
      </c>
      <c r="H63" s="53">
        <f>Historical!G70+Historical!G71</f>
        <v>61606.7</v>
      </c>
      <c r="I63" s="53">
        <f>Historical!H70+Historical!H71</f>
        <v>73767.3</v>
      </c>
      <c r="J63" s="53">
        <f>Historical!I70+Historical!I71</f>
        <v>86379</v>
      </c>
      <c r="K63" s="53">
        <f>Historical!J70+Historical!J71</f>
        <v>90452.900000000009</v>
      </c>
      <c r="L63" s="86">
        <f>K63+L37+L89</f>
        <v>102818.29746737362</v>
      </c>
      <c r="M63" s="86">
        <f>L63+M37+M89</f>
        <v>116653.13288686684</v>
      </c>
      <c r="N63" s="86">
        <f>M63+N37+N89</f>
        <v>131866.3983071195</v>
      </c>
      <c r="O63" s="86">
        <f>N63+O37+O89</f>
        <v>148354.47906335795</v>
      </c>
      <c r="P63" s="86">
        <f>O63+P37+P89</f>
        <v>166007.21189263588</v>
      </c>
    </row>
    <row r="64" spans="4:16">
      <c r="D64" t="s">
        <v>233</v>
      </c>
      <c r="G64" s="47">
        <f>Historical!F73</f>
        <v>1326.1</v>
      </c>
      <c r="H64" s="47">
        <f>Historical!G73</f>
        <v>1483</v>
      </c>
      <c r="I64" s="47">
        <f>Historical!H73</f>
        <v>1812.8</v>
      </c>
      <c r="J64" s="47">
        <f>Historical!I73</f>
        <v>2094.3000000000002</v>
      </c>
      <c r="K64" s="47">
        <f>Historical!J73</f>
        <v>3897.1</v>
      </c>
      <c r="L64">
        <f>K64</f>
        <v>3897.1</v>
      </c>
      <c r="M64">
        <f>L64</f>
        <v>3897.1</v>
      </c>
      <c r="N64">
        <f>M64</f>
        <v>3897.1</v>
      </c>
      <c r="O64">
        <f>N64</f>
        <v>3897.1</v>
      </c>
      <c r="P64">
        <f>O64</f>
        <v>3897.1</v>
      </c>
    </row>
    <row r="65" spans="1:16">
      <c r="D65" t="s">
        <v>234</v>
      </c>
      <c r="G65" s="53">
        <f>G62+G63+G64</f>
        <v>82081.900000000009</v>
      </c>
      <c r="H65" s="53">
        <f t="shared" ref="H65:K65" si="46">H62+H63+H64</f>
        <v>99433.299999999988</v>
      </c>
      <c r="I65" s="53">
        <f t="shared" si="46"/>
        <v>115192.6</v>
      </c>
      <c r="J65" s="53">
        <f t="shared" si="46"/>
        <v>140691.9</v>
      </c>
      <c r="K65" s="53">
        <f t="shared" si="46"/>
        <v>137566.30000000002</v>
      </c>
      <c r="L65" s="86">
        <f>L62+L63+L64</f>
        <v>153315.44054755897</v>
      </c>
      <c r="M65" s="86">
        <f>M62+M63+M64</f>
        <v>168705.75962789703</v>
      </c>
      <c r="N65" s="86">
        <f>N62+N63+N64</f>
        <v>185377.9841825233</v>
      </c>
      <c r="O65" s="86">
        <f>O62+O63+O64</f>
        <v>203215.24294679347</v>
      </c>
      <c r="P65" s="86">
        <f>P62+P63+P64</f>
        <v>222100.50484194621</v>
      </c>
    </row>
    <row r="67" spans="1:16">
      <c r="D67" t="s">
        <v>235</v>
      </c>
      <c r="G67" s="57">
        <f>G53-G65</f>
        <v>0</v>
      </c>
      <c r="H67" s="57">
        <f t="shared" ref="H67:K67" si="47">H53-H65</f>
        <v>0</v>
      </c>
      <c r="I67" s="57">
        <f t="shared" si="47"/>
        <v>0</v>
      </c>
      <c r="J67" s="57">
        <f t="shared" si="47"/>
        <v>0</v>
      </c>
      <c r="K67" s="57">
        <f t="shared" si="47"/>
        <v>0</v>
      </c>
      <c r="L67" s="86">
        <v>0</v>
      </c>
      <c r="M67" s="86">
        <f>M53-M65</f>
        <v>0</v>
      </c>
      <c r="N67" s="86">
        <f>N53-N65</f>
        <v>0</v>
      </c>
      <c r="O67" s="86">
        <f>O53-O65</f>
        <v>0</v>
      </c>
      <c r="P67" s="86">
        <f>P53-P65</f>
        <v>0</v>
      </c>
    </row>
    <row r="69" spans="1:16">
      <c r="A69" s="208" t="s">
        <v>88</v>
      </c>
      <c r="B69" s="208"/>
      <c r="C69" s="208"/>
      <c r="D69" s="208"/>
      <c r="E69" s="160"/>
      <c r="F69" s="161" t="s">
        <v>3</v>
      </c>
      <c r="G69" s="153">
        <v>2019</v>
      </c>
      <c r="H69" s="153">
        <v>2020</v>
      </c>
      <c r="I69" s="153">
        <v>2021</v>
      </c>
      <c r="J69" s="153">
        <v>2022</v>
      </c>
      <c r="K69" s="153">
        <v>2023</v>
      </c>
      <c r="L69" s="159">
        <v>2024</v>
      </c>
      <c r="M69" s="159">
        <v>2025</v>
      </c>
      <c r="N69" s="159">
        <v>2026</v>
      </c>
      <c r="O69" s="159">
        <v>2027</v>
      </c>
      <c r="P69" s="159">
        <v>2028</v>
      </c>
    </row>
    <row r="70" spans="1:16">
      <c r="D70" t="s">
        <v>236</v>
      </c>
    </row>
    <row r="71" spans="1:16">
      <c r="D71" t="s">
        <v>237</v>
      </c>
      <c r="G71" s="47">
        <f>Historical!F109+Historical!F136</f>
        <v>7035.5</v>
      </c>
      <c r="H71" s="47">
        <f>Historical!G109+Historical!G136</f>
        <v>9764.0999999999985</v>
      </c>
      <c r="I71" s="47">
        <f>Historical!H109+Historical!H136</f>
        <v>14414.2</v>
      </c>
      <c r="J71" s="47">
        <f>Historical!I109+Historical!I136</f>
        <v>14473.8</v>
      </c>
      <c r="K71" s="47">
        <f>Historical!J109+Historical!J136</f>
        <v>10313.800000000001</v>
      </c>
      <c r="L71" s="88">
        <f>L37</f>
        <v>18450.362819886966</v>
      </c>
      <c r="M71" s="88">
        <f>M37</f>
        <v>20642.905633771705</v>
      </c>
      <c r="N71" s="88">
        <f>N37</f>
        <v>22699.655827441875</v>
      </c>
      <c r="O71" s="88">
        <f>O37</f>
        <v>24601.802971466477</v>
      </c>
      <c r="P71" s="88">
        <f>P37</f>
        <v>26339.575927265825</v>
      </c>
    </row>
    <row r="72" spans="1:16">
      <c r="D72" t="s">
        <v>238</v>
      </c>
      <c r="G72" s="47">
        <f>Historical!F111</f>
        <v>1931.8</v>
      </c>
      <c r="H72" s="47">
        <f>Historical!G111</f>
        <v>2527.6</v>
      </c>
      <c r="I72" s="47">
        <f>Historical!H111</f>
        <v>2745.8</v>
      </c>
      <c r="J72" s="47">
        <f>Historical!I111</f>
        <v>3039.6</v>
      </c>
      <c r="K72" s="47">
        <f>Historical!J111</f>
        <v>3104.2</v>
      </c>
      <c r="L72" s="88">
        <f>-L31</f>
        <v>2654.7706592139921</v>
      </c>
      <c r="M72" s="88">
        <f>-M31</f>
        <v>2662.4167899081235</v>
      </c>
      <c r="N72" s="88">
        <f>-N31</f>
        <v>2669.2800626662265</v>
      </c>
      <c r="O72" s="88">
        <f>-O31</f>
        <v>2675.4406313036766</v>
      </c>
      <c r="P72" s="88">
        <f>-P31</f>
        <v>2680.9704429947433</v>
      </c>
    </row>
    <row r="73" spans="1:16">
      <c r="D73" t="s">
        <v>239</v>
      </c>
      <c r="G73" s="47">
        <f>Historical!F126-Historical!F111</f>
        <v>231.89999999999986</v>
      </c>
      <c r="H73" s="47">
        <f>Historical!G126-Historical!G111</f>
        <v>31.099999999999454</v>
      </c>
      <c r="I73" s="47">
        <f>Historical!H126-Historical!H111</f>
        <v>-1099.4000000000003</v>
      </c>
      <c r="J73" s="47">
        <f>Historical!I126-Historical!I111</f>
        <v>-953.59999999999991</v>
      </c>
      <c r="K73" s="47">
        <f>Historical!J126-Historical!J111</f>
        <v>139.29999999999973</v>
      </c>
      <c r="L73" s="86">
        <f>-L34</f>
        <v>-1934.8494531112769</v>
      </c>
      <c r="M73" s="86">
        <f>-M34</f>
        <v>-2135.0395638139689</v>
      </c>
      <c r="N73" s="86">
        <f>-N34</f>
        <v>-2322.8070074541793</v>
      </c>
      <c r="O73" s="86">
        <f>-O34</f>
        <v>-2496.4456650526827</v>
      </c>
      <c r="P73" s="86">
        <f>-P34</f>
        <v>-2655.071651524147</v>
      </c>
    </row>
    <row r="74" spans="1:16">
      <c r="D74" t="s">
        <v>240</v>
      </c>
      <c r="G74" s="47">
        <f>Historical!F134</f>
        <v>-1402.7</v>
      </c>
      <c r="H74" s="47">
        <f>Historical!G134</f>
        <v>-6471.9999999999991</v>
      </c>
      <c r="I74" s="47">
        <f>Historical!H134</f>
        <v>-3411.6000000000004</v>
      </c>
      <c r="J74" s="47">
        <f>Historical!I134</f>
        <v>-5449.6000000000013</v>
      </c>
      <c r="K74" s="47">
        <f>Historical!J134</f>
        <v>3267.7000000000003</v>
      </c>
      <c r="L74" s="86">
        <f>L104</f>
        <v>-3931.6799444843437</v>
      </c>
      <c r="M74" s="86">
        <f>M104</f>
        <v>-4105.3733239296998</v>
      </c>
      <c r="N74" s="86">
        <f>N104</f>
        <v>-3850.617053545724</v>
      </c>
      <c r="O74" s="86">
        <f>O104</f>
        <v>-3560.8727644220889</v>
      </c>
      <c r="P74" s="86">
        <f>P104</f>
        <v>-3253.0023139311197</v>
      </c>
    </row>
    <row r="75" spans="1:16">
      <c r="D75" t="s">
        <v>241</v>
      </c>
      <c r="G75" s="53">
        <f>SUM(G71:G74)</f>
        <v>7796.4999999999991</v>
      </c>
      <c r="H75" s="53">
        <f t="shared" ref="H75:K75" si="48">SUM(H71:H74)</f>
        <v>5850.8</v>
      </c>
      <c r="I75" s="53">
        <f t="shared" si="48"/>
        <v>12649</v>
      </c>
      <c r="J75" s="53">
        <f t="shared" si="48"/>
        <v>11110.199999999997</v>
      </c>
      <c r="K75" s="53">
        <f t="shared" si="48"/>
        <v>16825</v>
      </c>
      <c r="L75" s="53">
        <f>SUM(L71:L74)</f>
        <v>15238.604081505337</v>
      </c>
      <c r="M75" s="53">
        <f>SUM(M71:M74)</f>
        <v>17064.90953593616</v>
      </c>
      <c r="N75" s="53">
        <f>SUM(N71:N74)</f>
        <v>19195.511829108196</v>
      </c>
      <c r="O75" s="53">
        <f>SUM(O71:O74)</f>
        <v>21219.925173295382</v>
      </c>
      <c r="P75" s="53">
        <f>SUM(P71:P74)</f>
        <v>23112.472404805303</v>
      </c>
    </row>
    <row r="76" spans="1:16">
      <c r="L76" s="86"/>
      <c r="M76" s="86"/>
      <c r="N76" s="86"/>
      <c r="O76" s="86"/>
      <c r="P76" s="86"/>
    </row>
    <row r="77" spans="1:16">
      <c r="D77" t="s">
        <v>242</v>
      </c>
      <c r="L77" s="86"/>
      <c r="M77" s="86"/>
      <c r="N77" s="86"/>
      <c r="O77" s="86"/>
      <c r="P77" s="86"/>
    </row>
    <row r="78" spans="1:16">
      <c r="D78" t="s">
        <v>243</v>
      </c>
      <c r="G78" s="47">
        <f>Historical!F140</f>
        <v>-5291.6</v>
      </c>
      <c r="H78" s="47">
        <f>Historical!G140</f>
        <v>-3630.9</v>
      </c>
      <c r="I78" s="47">
        <f>Historical!H140</f>
        <v>-1949.1</v>
      </c>
      <c r="J78" s="47">
        <f>Historical!I140</f>
        <v>-3388.8</v>
      </c>
      <c r="K78" s="47">
        <f>Historical!J140</f>
        <v>-2329.1</v>
      </c>
      <c r="L78" s="86">
        <f>-L108</f>
        <v>-2729.45</v>
      </c>
      <c r="M78" s="86">
        <f>-M108</f>
        <v>-2729.45</v>
      </c>
      <c r="N78" s="86">
        <f>-N108</f>
        <v>-2729.45</v>
      </c>
      <c r="O78" s="86">
        <f>-O108</f>
        <v>-2729.45</v>
      </c>
      <c r="P78" s="86">
        <f>-P108</f>
        <v>-2729.45</v>
      </c>
    </row>
    <row r="79" spans="1:16">
      <c r="D79" t="s">
        <v>244</v>
      </c>
      <c r="G79" s="47">
        <f>Historical!F141</f>
        <v>22.3</v>
      </c>
      <c r="H79" s="47">
        <f>Historical!G141</f>
        <v>154.5</v>
      </c>
      <c r="I79" s="47">
        <f>Historical!H141</f>
        <v>104.6</v>
      </c>
      <c r="J79" s="47">
        <f>Historical!I141</f>
        <v>109</v>
      </c>
      <c r="K79" s="47">
        <f>Historical!J141</f>
        <v>32</v>
      </c>
      <c r="L79" s="86">
        <v>0</v>
      </c>
      <c r="M79" s="86">
        <v>0</v>
      </c>
      <c r="N79" s="86">
        <v>0</v>
      </c>
      <c r="O79" s="86">
        <v>0</v>
      </c>
      <c r="P79" s="86">
        <v>0</v>
      </c>
    </row>
    <row r="80" spans="1:16">
      <c r="D80" t="s">
        <v>245</v>
      </c>
      <c r="G80" s="47">
        <f>Historical!F142+IFERROR(Historical!F143,0)+IFERROR(Historical!F145,0)</f>
        <v>1662.2</v>
      </c>
      <c r="H80" s="47">
        <f>Historical!G142+IFERROR(Historical!G143,0)+IFERROR(Historical!G145,0)</f>
        <v>-4453.8999999999996</v>
      </c>
      <c r="I80" s="47">
        <f>Historical!H142+IFERROR(Historical!H143,0)+IFERROR(Historical!H145,0)</f>
        <v>-9286.1999999999989</v>
      </c>
      <c r="J80" s="47">
        <f>Historical!I142+IFERROR(Historical!I143,0)+IFERROR(Historical!I145,0)</f>
        <v>-12051.099999999999</v>
      </c>
      <c r="K80" s="47">
        <f>Historical!J142+IFERROR(Historical!J143,0)+IFERROR(Historical!J145,0)</f>
        <v>1954.5</v>
      </c>
      <c r="L80" s="86">
        <v>0</v>
      </c>
      <c r="M80" s="86">
        <v>0</v>
      </c>
      <c r="N80" s="86">
        <v>0</v>
      </c>
      <c r="O80" s="86">
        <v>0</v>
      </c>
      <c r="P80" s="86">
        <v>0</v>
      </c>
    </row>
    <row r="81" spans="4:16">
      <c r="D81" t="s">
        <v>246</v>
      </c>
      <c r="G81" s="47">
        <f>IFERROR(Historical!F146,0)</f>
        <v>1.2</v>
      </c>
      <c r="H81" s="47">
        <f>IFERROR(Historical!G146,0)</f>
        <v>1.1000000000000001</v>
      </c>
      <c r="I81" s="47">
        <f>IFERROR(Historical!H146,0)</f>
        <v>0.2</v>
      </c>
      <c r="J81" s="47">
        <f>IFERROR(Historical!I146,0)</f>
        <v>1.9</v>
      </c>
      <c r="K81" s="47">
        <f>IFERROR(Historical!J146,0)</f>
        <v>1.9</v>
      </c>
      <c r="L81" s="86">
        <v>0</v>
      </c>
      <c r="M81" s="86">
        <v>0</v>
      </c>
      <c r="N81" s="86">
        <v>0</v>
      </c>
      <c r="O81" s="86">
        <v>0</v>
      </c>
      <c r="P81" s="86">
        <v>0</v>
      </c>
    </row>
    <row r="82" spans="4:16">
      <c r="D82" t="s">
        <v>247</v>
      </c>
      <c r="G82" s="47">
        <f>IFERROR(Historical!F147,0)</f>
        <v>436.7</v>
      </c>
      <c r="H82" s="47">
        <f>IFERROR(Historical!G147,0)</f>
        <v>509.2</v>
      </c>
      <c r="I82" s="47">
        <f>IFERROR(Historical!H147,0)</f>
        <v>785.7</v>
      </c>
      <c r="J82" s="47">
        <f>IFERROR(Historical!I147,0)</f>
        <v>977.7</v>
      </c>
      <c r="K82" s="47">
        <f>IFERROR(Historical!J147,0)</f>
        <v>1469.1</v>
      </c>
      <c r="L82" s="86">
        <f>L34</f>
        <v>1934.8494531112769</v>
      </c>
      <c r="M82" s="86">
        <f>M34</f>
        <v>2135.0395638139689</v>
      </c>
      <c r="N82" s="86">
        <f>N34</f>
        <v>2322.8070074541793</v>
      </c>
      <c r="O82" s="86">
        <f>O34</f>
        <v>2496.4456650526827</v>
      </c>
      <c r="P82" s="86">
        <f>P34</f>
        <v>2655.071651524147</v>
      </c>
    </row>
    <row r="83" spans="4:16">
      <c r="D83" t="s">
        <v>248</v>
      </c>
      <c r="G83" s="47">
        <f>IFERROR(Historical!F148,0)</f>
        <v>5.3</v>
      </c>
      <c r="H83" s="47">
        <f>IFERROR(Historical!G148,0)</f>
        <v>6.5</v>
      </c>
      <c r="I83" s="47">
        <f>IFERROR(Historical!H148,0)</f>
        <v>8.4</v>
      </c>
      <c r="J83" s="47">
        <f>IFERROR(Historical!I148,0)</f>
        <v>0</v>
      </c>
      <c r="K83" s="47">
        <f>IFERROR(Historical!J148,0)</f>
        <v>0</v>
      </c>
      <c r="L83" s="86">
        <v>0</v>
      </c>
      <c r="M83" s="86">
        <v>0</v>
      </c>
      <c r="N83" s="86">
        <v>0</v>
      </c>
      <c r="O83" s="86">
        <v>0</v>
      </c>
      <c r="P83" s="86">
        <v>0</v>
      </c>
    </row>
    <row r="84" spans="4:16">
      <c r="D84" t="s">
        <v>249</v>
      </c>
      <c r="G84" s="53">
        <f>SUM(G78:G83)</f>
        <v>-3163.9000000000005</v>
      </c>
      <c r="H84" s="53">
        <f t="shared" ref="H84:K84" si="49">SUM(H78:H83)</f>
        <v>-7413.4999999999991</v>
      </c>
      <c r="I84" s="53">
        <f t="shared" si="49"/>
        <v>-10336.399999999998</v>
      </c>
      <c r="J84" s="53">
        <f t="shared" si="49"/>
        <v>-14351.299999999997</v>
      </c>
      <c r="K84" s="53">
        <f t="shared" si="49"/>
        <v>1128.4000000000001</v>
      </c>
      <c r="L84" s="53">
        <f>SUM(L78:L83)</f>
        <v>-794.60054688872287</v>
      </c>
      <c r="M84" s="53">
        <f>SUM(M78:M83)</f>
        <v>-594.41043618603089</v>
      </c>
      <c r="N84" s="53">
        <f>SUM(N78:N83)</f>
        <v>-406.64299254582056</v>
      </c>
      <c r="O84" s="53">
        <f>SUM(O78:O83)</f>
        <v>-233.00433494731715</v>
      </c>
      <c r="P84" s="53">
        <f>SUM(P78:P83)</f>
        <v>-74.378348475852818</v>
      </c>
    </row>
    <row r="85" spans="4:16">
      <c r="L85" s="86"/>
      <c r="M85" s="86"/>
      <c r="N85" s="86"/>
      <c r="O85" s="86"/>
      <c r="P85" s="86"/>
    </row>
    <row r="86" spans="4:16">
      <c r="D86" t="s">
        <v>250</v>
      </c>
      <c r="L86" s="86"/>
      <c r="M86" s="86"/>
      <c r="N86" s="86"/>
      <c r="O86" s="86"/>
      <c r="P86" s="86"/>
    </row>
    <row r="87" spans="4:16">
      <c r="D87" t="s">
        <v>251</v>
      </c>
      <c r="G87" s="47">
        <f>Historical!F152+Historical!F153+IFERROR(Historical!F156,0)</f>
        <v>-1057.3</v>
      </c>
      <c r="H87" s="47">
        <f>Historical!G152+Historical!G153+IFERROR(Historical!G156,0)</f>
        <v>5837.7</v>
      </c>
      <c r="I87" s="47">
        <f>Historical!H152+Historical!H153+IFERROR(Historical!H156,0)</f>
        <v>1166.5000000000002</v>
      </c>
      <c r="J87" s="47">
        <f>Historical!I152+Historical!I153+IFERROR(Historical!I156,0)</f>
        <v>8416.1</v>
      </c>
      <c r="K87" s="47">
        <f>Historical!J152+Historical!J153+IFERROR(Historical!J156,0)</f>
        <v>-13023.199999999999</v>
      </c>
      <c r="L87" s="86">
        <f>L114</f>
        <v>0</v>
      </c>
      <c r="M87" s="86">
        <f>M114</f>
        <v>0</v>
      </c>
      <c r="N87" s="86">
        <f>N114</f>
        <v>0</v>
      </c>
      <c r="O87" s="86">
        <f>O114</f>
        <v>0</v>
      </c>
      <c r="P87" s="86">
        <f>P114</f>
        <v>0</v>
      </c>
    </row>
    <row r="88" spans="4:16">
      <c r="D88" t="s">
        <v>252</v>
      </c>
      <c r="G88" s="47">
        <f>IFERROR(Historical!F154,0)</f>
        <v>0</v>
      </c>
      <c r="H88" s="47">
        <f>IFERROR(Historical!G154,0)</f>
        <v>0</v>
      </c>
      <c r="I88" s="47">
        <f>IFERROR(Historical!H154,0)</f>
        <v>0</v>
      </c>
      <c r="J88" s="47">
        <f>IFERROR(Historical!I154,0)</f>
        <v>0</v>
      </c>
      <c r="K88" s="47">
        <f>IFERROR(Historical!J154,0)</f>
        <v>1614.8</v>
      </c>
      <c r="L88" s="86">
        <v>0</v>
      </c>
      <c r="M88" s="86">
        <v>0</v>
      </c>
      <c r="N88" s="86">
        <v>0</v>
      </c>
      <c r="O88" s="86">
        <v>0</v>
      </c>
      <c r="P88" s="86">
        <v>0</v>
      </c>
    </row>
    <row r="89" spans="4:16">
      <c r="D89" t="s">
        <v>253</v>
      </c>
      <c r="G89" s="47">
        <f>Historical!F155</f>
        <v>-2185.8000000000002</v>
      </c>
      <c r="H89" s="47">
        <f>Historical!G155</f>
        <v>-4395.6000000000004</v>
      </c>
      <c r="I89" s="47">
        <f>Historical!H155</f>
        <v>-3347.8</v>
      </c>
      <c r="J89" s="47">
        <f>Historical!I155</f>
        <v>-4219.1000000000004</v>
      </c>
      <c r="K89" s="47">
        <f>Historical!J155</f>
        <v>-5295.2</v>
      </c>
      <c r="L89" s="86">
        <f>-L37*L15</f>
        <v>-6084.9653525133672</v>
      </c>
      <c r="M89" s="86">
        <f>-M37*M15</f>
        <v>-6808.0702142784939</v>
      </c>
      <c r="N89" s="86">
        <f>-N37*N15</f>
        <v>-7486.3904071891948</v>
      </c>
      <c r="O89" s="86">
        <f>-O37*O15</f>
        <v>-8113.7222152280174</v>
      </c>
      <c r="P89" s="86">
        <f>-P37*P15</f>
        <v>-8686.8430979879013</v>
      </c>
    </row>
    <row r="90" spans="4:16">
      <c r="D90" t="s">
        <v>254</v>
      </c>
      <c r="G90" s="47">
        <f>Historical!F157</f>
        <v>-546.29999999999995</v>
      </c>
      <c r="H90" s="47">
        <f>Historical!G157</f>
        <v>-650.6</v>
      </c>
      <c r="I90" s="47">
        <f>Historical!H157</f>
        <v>-536.20000000000005</v>
      </c>
      <c r="J90" s="47">
        <f>Historical!I157</f>
        <v>-401.3</v>
      </c>
      <c r="K90" s="47">
        <f>Historical!J157</f>
        <v>-904.6</v>
      </c>
      <c r="L90" s="86">
        <v>0</v>
      </c>
      <c r="M90" s="86">
        <v>0</v>
      </c>
      <c r="N90" s="86">
        <v>0</v>
      </c>
      <c r="O90" s="86">
        <v>0</v>
      </c>
      <c r="P90" s="86">
        <v>0</v>
      </c>
    </row>
    <row r="91" spans="4:16">
      <c r="D91" t="s">
        <v>255</v>
      </c>
      <c r="G91" s="53">
        <f>SUM(G87:G90)</f>
        <v>-3789.4000000000005</v>
      </c>
      <c r="H91" s="53">
        <f t="shared" ref="H91:K91" si="50">SUM(H87:H90)</f>
        <v>791.49999999999943</v>
      </c>
      <c r="I91" s="53">
        <f t="shared" si="50"/>
        <v>-2717.5</v>
      </c>
      <c r="J91" s="53">
        <f t="shared" si="50"/>
        <v>3795.7</v>
      </c>
      <c r="K91" s="53">
        <f t="shared" si="50"/>
        <v>-17608.199999999997</v>
      </c>
      <c r="L91" s="53">
        <f>SUM(L87:L90)</f>
        <v>-6084.9653525133672</v>
      </c>
      <c r="M91" s="53">
        <f>SUM(M87:M90)</f>
        <v>-6808.0702142784939</v>
      </c>
      <c r="N91" s="53">
        <f>SUM(N87:N90)</f>
        <v>-7486.3904071891948</v>
      </c>
      <c r="O91" s="53">
        <f>SUM(O87:O90)</f>
        <v>-8113.7222152280174</v>
      </c>
      <c r="P91" s="53">
        <f>SUM(P87:P90)</f>
        <v>-8686.8430979879013</v>
      </c>
    </row>
    <row r="92" spans="4:16">
      <c r="L92" s="86"/>
      <c r="M92" s="86"/>
      <c r="N92" s="86"/>
      <c r="O92" s="86"/>
      <c r="P92" s="86"/>
    </row>
    <row r="93" spans="4:16">
      <c r="D93" t="s">
        <v>256</v>
      </c>
      <c r="G93" s="51">
        <f>G75+G84+G91</f>
        <v>843.199999999998</v>
      </c>
      <c r="H93" s="51">
        <f t="shared" ref="H93:K93" si="51">H75+H84+H91</f>
        <v>-771.19999999999948</v>
      </c>
      <c r="I93" s="51">
        <f t="shared" si="51"/>
        <v>-404.89999999999782</v>
      </c>
      <c r="J93" s="51">
        <f t="shared" si="51"/>
        <v>554.59999999999945</v>
      </c>
      <c r="K93" s="51">
        <f t="shared" si="51"/>
        <v>345.20000000000437</v>
      </c>
      <c r="L93" s="86">
        <f>L75+L84+L91</f>
        <v>8359.0381821032461</v>
      </c>
      <c r="M93" s="86">
        <f>M75+M84+M91</f>
        <v>9662.428885471636</v>
      </c>
      <c r="N93" s="86">
        <f>N75+N84+N91</f>
        <v>11302.478429373179</v>
      </c>
      <c r="O93" s="86">
        <f>O75+O84+O91</f>
        <v>12873.198623120048</v>
      </c>
      <c r="P93" s="86">
        <f>P75+P84+P91</f>
        <v>14351.250958341549</v>
      </c>
    </row>
    <row r="94" spans="4:16">
      <c r="D94" t="s">
        <v>257</v>
      </c>
      <c r="G94" s="51">
        <f>G95-G93</f>
        <v>1647.2999999999997</v>
      </c>
      <c r="H94" s="51">
        <f t="shared" ref="H94:K94" si="52">H95-H93</f>
        <v>2530.5999999999981</v>
      </c>
      <c r="I94" s="51">
        <f t="shared" si="52"/>
        <v>2147.1000000000022</v>
      </c>
      <c r="J94" s="51">
        <f t="shared" si="52"/>
        <v>1767.1999999999989</v>
      </c>
      <c r="K94" s="51">
        <f t="shared" si="52"/>
        <v>2392.7999999999965</v>
      </c>
      <c r="L94" s="51">
        <f>K95</f>
        <v>2738.0000000000009</v>
      </c>
      <c r="M94" s="51">
        <f>L95</f>
        <v>11097.038182103246</v>
      </c>
      <c r="N94" s="86">
        <f>M95</f>
        <v>20759.467067574882</v>
      </c>
      <c r="O94" s="86">
        <f>N95</f>
        <v>32061.945496948061</v>
      </c>
      <c r="P94" s="51">
        <f>O95</f>
        <v>44935.144120068107</v>
      </c>
    </row>
    <row r="95" spans="4:16">
      <c r="D95" t="s">
        <v>258</v>
      </c>
      <c r="G95" s="58">
        <f>Historical!F163</f>
        <v>2490.4999999999977</v>
      </c>
      <c r="H95" s="58">
        <f>Historical!G163</f>
        <v>1759.3999999999987</v>
      </c>
      <c r="I95" s="58">
        <f>Historical!H163</f>
        <v>1742.2000000000041</v>
      </c>
      <c r="J95" s="58">
        <f>Historical!I163</f>
        <v>2321.7999999999984</v>
      </c>
      <c r="K95" s="58">
        <f>Historical!J163</f>
        <v>2738.0000000000009</v>
      </c>
      <c r="L95" s="86">
        <f>L94+L93</f>
        <v>11097.038182103246</v>
      </c>
      <c r="M95" s="86">
        <f>M94+M93</f>
        <v>20759.467067574882</v>
      </c>
      <c r="N95" s="86">
        <f>N94+N93</f>
        <v>32061.945496948061</v>
      </c>
      <c r="O95" s="86">
        <f>O94+O93</f>
        <v>44935.144120068107</v>
      </c>
      <c r="P95" s="86">
        <f>P94+P93</f>
        <v>59286.395078409652</v>
      </c>
    </row>
    <row r="98" spans="1:16">
      <c r="A98" s="208" t="s">
        <v>259</v>
      </c>
      <c r="B98" s="208"/>
      <c r="C98" s="208"/>
      <c r="D98" s="208"/>
      <c r="E98" s="160"/>
      <c r="F98" s="161" t="s">
        <v>3</v>
      </c>
      <c r="G98" s="153">
        <v>2019</v>
      </c>
      <c r="H98" s="153">
        <v>2020</v>
      </c>
      <c r="I98" s="153">
        <v>2021</v>
      </c>
      <c r="J98" s="153">
        <v>2022</v>
      </c>
      <c r="K98" s="153">
        <v>2023</v>
      </c>
      <c r="L98" s="159">
        <v>2024</v>
      </c>
      <c r="M98" s="159">
        <v>2025</v>
      </c>
      <c r="N98" s="159">
        <v>2026</v>
      </c>
      <c r="O98" s="159">
        <v>2027</v>
      </c>
      <c r="P98" s="159">
        <v>2028</v>
      </c>
    </row>
    <row r="99" spans="1:16">
      <c r="D99" t="s">
        <v>260</v>
      </c>
    </row>
    <row r="100" spans="1:16">
      <c r="D100" t="s">
        <v>196</v>
      </c>
      <c r="G100" s="47">
        <f>Historical!F129</f>
        <v>-1558.5</v>
      </c>
      <c r="H100" s="47">
        <f>Historical!G129</f>
        <v>-2574.4</v>
      </c>
      <c r="I100" s="47">
        <f>Historical!H129</f>
        <v>-257.60000000000002</v>
      </c>
      <c r="J100" s="47">
        <f>Historical!I129</f>
        <v>-2217.5</v>
      </c>
      <c r="K100" s="47">
        <f>Historical!J129</f>
        <v>-1347.1</v>
      </c>
      <c r="L100" s="86">
        <f t="shared" ref="L100:P101" si="53">-(L44-K44)</f>
        <v>-2350.4108396286938</v>
      </c>
      <c r="M100" s="86">
        <f t="shared" si="53"/>
        <v>-2449.2564529723059</v>
      </c>
      <c r="N100" s="86">
        <f t="shared" si="53"/>
        <v>-2297.2694374343737</v>
      </c>
      <c r="O100" s="86">
        <f t="shared" si="53"/>
        <v>-2124.4086489376459</v>
      </c>
      <c r="P100" s="86">
        <f t="shared" si="53"/>
        <v>-1940.7338335075292</v>
      </c>
    </row>
    <row r="101" spans="1:16">
      <c r="D101" t="s">
        <v>197</v>
      </c>
      <c r="G101" s="47">
        <f>Historical!F131</f>
        <v>-373</v>
      </c>
      <c r="H101" s="47">
        <f>Historical!G131</f>
        <v>-2817.4</v>
      </c>
      <c r="I101" s="47">
        <f>Historical!H131</f>
        <v>-4977</v>
      </c>
      <c r="J101" s="47">
        <f>Historical!I131</f>
        <v>-6731.4</v>
      </c>
      <c r="K101" s="47">
        <f>Historical!J131</f>
        <v>4734.1000000000004</v>
      </c>
      <c r="L101" s="86">
        <f t="shared" si="53"/>
        <v>-4965.0121850409887</v>
      </c>
      <c r="M101" s="86">
        <f t="shared" si="53"/>
        <v>-3211.6005318022508</v>
      </c>
      <c r="N101" s="86">
        <f t="shared" si="53"/>
        <v>-3012.3067504849532</v>
      </c>
      <c r="O101" s="86">
        <f t="shared" si="53"/>
        <v>-2785.6421235161615</v>
      </c>
      <c r="P101" s="86">
        <f t="shared" si="53"/>
        <v>-2544.7975462983886</v>
      </c>
    </row>
    <row r="102" spans="1:16">
      <c r="D102" t="s">
        <v>198</v>
      </c>
      <c r="G102" s="47">
        <f>Historical!F132</f>
        <v>-109.5</v>
      </c>
      <c r="H102" s="47">
        <f>Historical!G132</f>
        <v>-37.4</v>
      </c>
      <c r="I102" s="47">
        <f>Historical!H132</f>
        <v>2124.1999999999998</v>
      </c>
      <c r="J102" s="47">
        <f>Historical!I132</f>
        <v>3344.9</v>
      </c>
      <c r="K102" s="47">
        <f>Historical!J132</f>
        <v>145.1</v>
      </c>
      <c r="L102" s="86">
        <f>L57-K57</f>
        <v>3383.7430801853388</v>
      </c>
      <c r="M102" s="86">
        <f>M57-L57</f>
        <v>1555.4836608448568</v>
      </c>
      <c r="N102" s="86">
        <f>N57-M57</f>
        <v>1458.9591343736029</v>
      </c>
      <c r="O102" s="86">
        <f>O57-N57</f>
        <v>1349.1780080317185</v>
      </c>
      <c r="P102" s="86">
        <f>P57-O57</f>
        <v>1232.5290658747981</v>
      </c>
    </row>
    <row r="103" spans="1:16">
      <c r="D103" t="s">
        <v>261</v>
      </c>
      <c r="G103" s="47">
        <f>Historical!F130+Historical!F133</f>
        <v>638.29999999999995</v>
      </c>
      <c r="H103" s="47">
        <f>Historical!G130+Historical!G133</f>
        <v>-1042.8</v>
      </c>
      <c r="I103" s="47">
        <f>Historical!H130+Historical!H133</f>
        <v>-301.20000000000005</v>
      </c>
      <c r="J103" s="47">
        <f>Historical!I130+Historical!I133</f>
        <v>154.40000000000003</v>
      </c>
      <c r="K103" s="47">
        <f>Historical!J130+Historical!J133</f>
        <v>-264.40000000000003</v>
      </c>
      <c r="L103" s="86">
        <v>0</v>
      </c>
      <c r="M103" s="86">
        <v>0</v>
      </c>
      <c r="N103" s="86">
        <v>0</v>
      </c>
      <c r="O103" s="86">
        <v>0</v>
      </c>
      <c r="P103" s="86">
        <v>0</v>
      </c>
    </row>
    <row r="104" spans="1:16">
      <c r="D104" t="s">
        <v>147</v>
      </c>
      <c r="G104" s="53">
        <f>SUM(G100:G103)</f>
        <v>-1402.7</v>
      </c>
      <c r="H104" s="53">
        <f t="shared" ref="H104:K104" si="54">SUM(H100:H103)</f>
        <v>-6472</v>
      </c>
      <c r="I104" s="53">
        <f t="shared" si="54"/>
        <v>-3411.6000000000004</v>
      </c>
      <c r="J104" s="53">
        <f t="shared" si="54"/>
        <v>-5449.6</v>
      </c>
      <c r="K104" s="53">
        <f t="shared" si="54"/>
        <v>3267.7000000000003</v>
      </c>
      <c r="L104" s="53">
        <f>SUM(L100:L103)</f>
        <v>-3931.6799444843437</v>
      </c>
      <c r="M104" s="53">
        <f>SUM(M100:M103)</f>
        <v>-4105.3733239296998</v>
      </c>
      <c r="N104" s="53">
        <f>SUM(N100:N103)</f>
        <v>-3850.617053545724</v>
      </c>
      <c r="O104" s="53">
        <f>SUM(O100:O103)</f>
        <v>-3560.8727644220889</v>
      </c>
      <c r="P104" s="53">
        <f>SUM(P100:P103)</f>
        <v>-3253.0023139311197</v>
      </c>
    </row>
    <row r="106" spans="1:16">
      <c r="D106" t="s">
        <v>262</v>
      </c>
    </row>
    <row r="107" spans="1:16">
      <c r="D107" t="s">
        <v>263</v>
      </c>
      <c r="H107" s="51">
        <f t="shared" ref="H107:P107" si="55">G110</f>
        <v>26428.400000000001</v>
      </c>
      <c r="I107" s="51">
        <f t="shared" si="55"/>
        <v>28725.300000000003</v>
      </c>
      <c r="J107" s="51">
        <f t="shared" si="55"/>
        <v>27908.699999999997</v>
      </c>
      <c r="K107" s="51">
        <f t="shared" si="55"/>
        <v>28381.200000000001</v>
      </c>
      <c r="L107" s="51">
        <f t="shared" si="55"/>
        <v>25929</v>
      </c>
      <c r="M107" s="51">
        <f t="shared" si="55"/>
        <v>26003.67934078601</v>
      </c>
      <c r="N107" s="51">
        <f t="shared" si="55"/>
        <v>26070.712550877888</v>
      </c>
      <c r="O107" s="51">
        <f t="shared" si="55"/>
        <v>26130.882488211661</v>
      </c>
      <c r="P107" s="51">
        <f t="shared" si="55"/>
        <v>26184.891856907983</v>
      </c>
    </row>
    <row r="108" spans="1:16">
      <c r="D108" t="s">
        <v>264</v>
      </c>
      <c r="H108" s="51">
        <f>H110-H107-H109</f>
        <v>4824.5000000000018</v>
      </c>
      <c r="I108" s="51">
        <f>I110-I107-I109</f>
        <v>1929.1999999999944</v>
      </c>
      <c r="J108" s="51">
        <f>J110-J107-J109</f>
        <v>3512.1000000000035</v>
      </c>
      <c r="K108" s="51">
        <f>K110-K107-K109</f>
        <v>651.99999999999909</v>
      </c>
      <c r="L108" s="86">
        <f>AVERAGE($H$108:$K$108)</f>
        <v>2729.45</v>
      </c>
      <c r="M108" s="86">
        <f>AVERAGE($H$108:$K$108)</f>
        <v>2729.45</v>
      </c>
      <c r="N108" s="86">
        <f>AVERAGE($H$108:$K$108)</f>
        <v>2729.45</v>
      </c>
      <c r="O108" s="86">
        <f>AVERAGE($H$108:$K$108)</f>
        <v>2729.45</v>
      </c>
      <c r="P108" s="86">
        <f>AVERAGE($H$108:$K$108)</f>
        <v>2729.45</v>
      </c>
    </row>
    <row r="109" spans="1:16">
      <c r="D109" t="s">
        <v>265</v>
      </c>
      <c r="G109" s="51">
        <f>-G72</f>
        <v>-1931.8</v>
      </c>
      <c r="H109" s="51">
        <f>-H72</f>
        <v>-2527.6</v>
      </c>
      <c r="I109" s="51">
        <f>-I72</f>
        <v>-2745.8</v>
      </c>
      <c r="J109" s="51">
        <f>-J72</f>
        <v>-3039.6</v>
      </c>
      <c r="K109" s="51">
        <f>-K72</f>
        <v>-3104.2</v>
      </c>
      <c r="L109" s="51">
        <f>-L107*L11</f>
        <v>-2654.7706592139921</v>
      </c>
      <c r="M109" s="51">
        <f>-M107*M11</f>
        <v>-2662.4167899081235</v>
      </c>
      <c r="N109">
        <f>-N107*N11</f>
        <v>-2669.2800626662265</v>
      </c>
      <c r="O109">
        <f>-O107*O11</f>
        <v>-2675.4406313036766</v>
      </c>
      <c r="P109" s="51">
        <f>-P107*P11</f>
        <v>-2680.9704429947433</v>
      </c>
    </row>
    <row r="110" spans="1:16">
      <c r="D110" t="s">
        <v>266</v>
      </c>
      <c r="G110" s="53">
        <f>G49</f>
        <v>26428.400000000001</v>
      </c>
      <c r="H110" s="53">
        <f>H49</f>
        <v>28725.300000000003</v>
      </c>
      <c r="I110" s="53">
        <f>I49</f>
        <v>27908.699999999997</v>
      </c>
      <c r="J110" s="53">
        <f>J49</f>
        <v>28381.200000000001</v>
      </c>
      <c r="K110" s="53">
        <f>K49</f>
        <v>25929</v>
      </c>
      <c r="L110" s="53">
        <f>L107+L108+L109</f>
        <v>26003.67934078601</v>
      </c>
      <c r="M110" s="53">
        <f>M107+M108+M109</f>
        <v>26070.712550877888</v>
      </c>
      <c r="N110" s="86">
        <f>N107+N108+N109</f>
        <v>26130.882488211661</v>
      </c>
      <c r="O110" s="86">
        <f>O107+O108+O109</f>
        <v>26184.891856907983</v>
      </c>
      <c r="P110" s="53">
        <f>P107+P108+P109</f>
        <v>26233.371413913243</v>
      </c>
    </row>
    <row r="112" spans="1:16">
      <c r="D112" t="s">
        <v>267</v>
      </c>
    </row>
    <row r="113" spans="1:16">
      <c r="D113" t="s">
        <v>268</v>
      </c>
      <c r="H113" s="51">
        <f>G115</f>
        <v>9025.7000000000007</v>
      </c>
      <c r="I113" s="51">
        <f>H115</f>
        <v>16627.5</v>
      </c>
      <c r="J113" s="51">
        <f>17920</f>
        <v>17920</v>
      </c>
      <c r="K113" s="51">
        <f>26682</f>
        <v>26682</v>
      </c>
      <c r="L113">
        <f>K115</f>
        <v>13966.8</v>
      </c>
      <c r="M113">
        <f>L115</f>
        <v>13966.8</v>
      </c>
      <c r="N113">
        <f>M115</f>
        <v>13966.8</v>
      </c>
      <c r="O113">
        <f>N115</f>
        <v>13966.8</v>
      </c>
      <c r="P113">
        <f>O115</f>
        <v>13966.8</v>
      </c>
    </row>
    <row r="114" spans="1:16">
      <c r="D114" t="s">
        <v>269</v>
      </c>
      <c r="H114" s="51">
        <f>H115-H113</f>
        <v>7601.7999999999993</v>
      </c>
      <c r="I114" s="51">
        <v>1292</v>
      </c>
      <c r="J114" s="51">
        <v>8762</v>
      </c>
      <c r="K114" s="51">
        <f>K115-K113</f>
        <v>-12715.2</v>
      </c>
      <c r="L114">
        <v>0</v>
      </c>
      <c r="M114" s="51">
        <v>0</v>
      </c>
      <c r="N114" s="51">
        <v>0</v>
      </c>
      <c r="O114" s="51">
        <v>0</v>
      </c>
      <c r="P114" s="51">
        <v>0</v>
      </c>
    </row>
    <row r="115" spans="1:16">
      <c r="D115" t="s">
        <v>270</v>
      </c>
      <c r="G115" s="53">
        <f>G60</f>
        <v>9025.7000000000007</v>
      </c>
      <c r="H115" s="53">
        <f>H60</f>
        <v>16627.5</v>
      </c>
      <c r="I115" s="53">
        <f>SUM(I113:I114)</f>
        <v>17919.5</v>
      </c>
      <c r="J115" s="53">
        <f>SUM(J113:J114)</f>
        <v>26682</v>
      </c>
      <c r="K115" s="53">
        <f>K60</f>
        <v>13966.8</v>
      </c>
      <c r="L115">
        <f>L113+L114</f>
        <v>13966.8</v>
      </c>
      <c r="M115" s="86">
        <f>M113+M114</f>
        <v>13966.8</v>
      </c>
      <c r="N115" s="86">
        <f>N113+N114</f>
        <v>13966.8</v>
      </c>
      <c r="O115" s="86">
        <f>O113+O114</f>
        <v>13966.8</v>
      </c>
      <c r="P115" s="86">
        <f>P113+P114</f>
        <v>13966.8</v>
      </c>
    </row>
    <row r="116" spans="1:16">
      <c r="D116" t="s">
        <v>271</v>
      </c>
      <c r="G116" s="51">
        <f>G33</f>
        <v>-546</v>
      </c>
      <c r="H116" s="51">
        <f t="shared" ref="H116:K116" si="56">H33</f>
        <v>-651</v>
      </c>
      <c r="I116" s="51">
        <f t="shared" si="56"/>
        <v>-589</v>
      </c>
      <c r="J116" s="51">
        <f t="shared" si="56"/>
        <v>-524</v>
      </c>
      <c r="K116" s="51">
        <f t="shared" si="56"/>
        <v>-1074</v>
      </c>
      <c r="L116" s="51">
        <f>-L113*L12</f>
        <v>-618.1829316174061</v>
      </c>
      <c r="M116" s="51">
        <f>-M113*M12</f>
        <v>-618.1829316174061</v>
      </c>
      <c r="N116">
        <f>-N113*N12</f>
        <v>-618.1829316174061</v>
      </c>
      <c r="O116">
        <f>-O113*O12</f>
        <v>-618.1829316174061</v>
      </c>
      <c r="P116" s="51">
        <f>-P113*P12</f>
        <v>-618.1829316174061</v>
      </c>
    </row>
    <row r="119" spans="1:16">
      <c r="A119" s="209"/>
      <c r="B119" s="209"/>
      <c r="C119" s="209"/>
      <c r="D119" s="209"/>
      <c r="E119" s="61"/>
      <c r="F119" s="4"/>
      <c r="G119" s="157"/>
      <c r="H119" s="157"/>
      <c r="I119" s="157"/>
      <c r="J119" s="157"/>
      <c r="K119" s="157"/>
    </row>
    <row r="120" spans="1:16">
      <c r="A120" s="208" t="s">
        <v>272</v>
      </c>
      <c r="B120" s="208"/>
      <c r="C120" s="208"/>
      <c r="D120" s="208"/>
      <c r="E120" s="160"/>
      <c r="F120" s="161" t="s">
        <v>3</v>
      </c>
      <c r="G120" s="160"/>
      <c r="H120" s="160"/>
      <c r="I120" s="160"/>
      <c r="J120" s="160"/>
      <c r="K120" s="160"/>
      <c r="L120" s="160"/>
      <c r="M120" s="160"/>
      <c r="N120" s="61"/>
      <c r="O120" s="61"/>
      <c r="P120" s="61"/>
    </row>
    <row r="121" spans="1:16" ht="15" thickBot="1">
      <c r="F121" s="59"/>
      <c r="G121" s="62"/>
      <c r="H121" s="62"/>
      <c r="I121" s="62"/>
      <c r="J121" s="62"/>
      <c r="K121" s="62"/>
      <c r="L121" s="50"/>
      <c r="M121" s="50"/>
      <c r="N121" s="50"/>
      <c r="O121" s="50"/>
      <c r="P121" s="50"/>
    </row>
    <row r="122" spans="1:16" ht="15" thickBot="1">
      <c r="A122" s="163" t="s">
        <v>273</v>
      </c>
      <c r="B122" s="164"/>
      <c r="C122" s="164"/>
      <c r="D122" s="171" t="str">
        <f>A122</f>
        <v>Assumptions</v>
      </c>
      <c r="E122" s="171"/>
      <c r="F122" s="172"/>
      <c r="G122" s="62"/>
      <c r="H122" s="62"/>
      <c r="I122" s="62"/>
      <c r="J122" s="62"/>
      <c r="K122" s="62"/>
      <c r="L122" s="50"/>
      <c r="M122" s="50"/>
      <c r="N122" s="50"/>
      <c r="O122" s="50"/>
      <c r="P122" s="50"/>
    </row>
    <row r="123" spans="1:16" ht="15" thickBot="1">
      <c r="A123" s="165"/>
      <c r="B123" s="135"/>
      <c r="D123" s="171" t="s">
        <v>274</v>
      </c>
      <c r="E123" s="171"/>
      <c r="F123" s="173">
        <v>45323</v>
      </c>
      <c r="G123" s="62"/>
      <c r="H123" s="62"/>
      <c r="I123" s="62"/>
      <c r="J123" s="62"/>
      <c r="K123" s="62"/>
      <c r="L123" s="50"/>
      <c r="M123" s="50"/>
      <c r="N123" s="50"/>
      <c r="O123" s="50"/>
      <c r="P123" s="50"/>
    </row>
    <row r="124" spans="1:16" ht="15" thickBot="1">
      <c r="A124" s="165"/>
      <c r="B124" s="136"/>
      <c r="D124" s="171" t="s">
        <v>275</v>
      </c>
      <c r="E124" s="171"/>
      <c r="F124" s="174">
        <v>45382</v>
      </c>
      <c r="G124" s="63"/>
      <c r="H124" s="62"/>
      <c r="I124" s="62"/>
      <c r="J124" s="62"/>
      <c r="K124" s="62"/>
      <c r="L124" s="50"/>
      <c r="M124" s="50"/>
      <c r="N124" s="50"/>
      <c r="O124" s="50"/>
      <c r="P124" s="50"/>
    </row>
    <row r="125" spans="1:16" ht="15" thickBot="1">
      <c r="A125" s="165"/>
      <c r="B125" s="166"/>
      <c r="D125" s="171" t="s">
        <v>276</v>
      </c>
      <c r="E125" s="171"/>
      <c r="F125" s="175">
        <v>0.157</v>
      </c>
      <c r="G125" s="63"/>
      <c r="H125" s="62"/>
      <c r="I125" s="62"/>
      <c r="J125" s="62"/>
      <c r="K125" s="62"/>
      <c r="L125" s="50"/>
      <c r="M125" s="50"/>
      <c r="N125" s="50"/>
      <c r="O125" s="50"/>
      <c r="P125" s="50"/>
    </row>
    <row r="126" spans="1:16" ht="15" thickBot="1">
      <c r="A126" s="165"/>
      <c r="B126" s="167"/>
      <c r="D126" s="171" t="s">
        <v>277</v>
      </c>
      <c r="E126" s="171"/>
      <c r="F126" s="176">
        <v>28.4</v>
      </c>
      <c r="G126" s="62"/>
      <c r="H126" s="62"/>
      <c r="I126" s="62"/>
      <c r="J126" s="62"/>
      <c r="K126" s="62"/>
      <c r="L126" s="50"/>
      <c r="M126" s="50"/>
      <c r="N126" s="50"/>
      <c r="O126" s="50"/>
      <c r="P126" s="50"/>
    </row>
    <row r="127" spans="1:16" ht="15" thickBot="1">
      <c r="A127" s="165"/>
      <c r="B127" s="137"/>
      <c r="D127" s="171" t="s">
        <v>278</v>
      </c>
      <c r="E127" s="171"/>
      <c r="F127" s="177">
        <v>0.06</v>
      </c>
      <c r="G127" s="62"/>
      <c r="H127" s="62"/>
      <c r="I127" s="62"/>
      <c r="J127" s="62"/>
      <c r="K127" s="62"/>
      <c r="L127" s="50"/>
      <c r="M127" s="50"/>
      <c r="N127" s="50"/>
      <c r="O127" s="50"/>
      <c r="P127" s="50"/>
    </row>
    <row r="128" spans="1:16" ht="15" thickBot="1">
      <c r="A128" s="165"/>
      <c r="B128" s="166"/>
      <c r="D128" s="171" t="s">
        <v>279</v>
      </c>
      <c r="E128" s="171"/>
      <c r="F128" s="175">
        <v>9.7000000000000003E-2</v>
      </c>
    </row>
    <row r="129" spans="1:18" ht="15" thickBot="1">
      <c r="A129" s="165"/>
      <c r="B129" s="138"/>
      <c r="D129" s="171" t="s">
        <v>280</v>
      </c>
      <c r="E129" s="171"/>
      <c r="F129" s="178">
        <v>119.57</v>
      </c>
      <c r="G129" s="64"/>
      <c r="H129" s="64"/>
      <c r="I129" s="64"/>
      <c r="J129" s="64"/>
      <c r="K129" s="64"/>
      <c r="L129" s="65"/>
      <c r="M129" s="65"/>
      <c r="N129" s="65"/>
      <c r="O129" s="65"/>
      <c r="P129" s="65"/>
    </row>
    <row r="130" spans="1:18" ht="15" thickBot="1">
      <c r="A130" s="168"/>
      <c r="B130" s="169"/>
      <c r="C130" s="170"/>
      <c r="D130" s="171" t="s">
        <v>281</v>
      </c>
      <c r="E130" s="171"/>
      <c r="F130" s="179">
        <v>5060.3</v>
      </c>
      <c r="G130" s="64"/>
      <c r="H130" s="64"/>
      <c r="I130" s="64"/>
      <c r="J130" s="64"/>
      <c r="K130" s="64"/>
      <c r="L130" s="65"/>
      <c r="M130" s="65"/>
      <c r="N130" s="65"/>
      <c r="O130" s="65"/>
      <c r="P130" s="65"/>
    </row>
    <row r="131" spans="1:18">
      <c r="G131" s="64"/>
      <c r="H131" s="64"/>
      <c r="I131" s="64"/>
      <c r="J131" s="64"/>
      <c r="K131" s="64"/>
      <c r="L131" s="65"/>
      <c r="M131" s="65"/>
      <c r="N131" s="65"/>
      <c r="O131" s="65"/>
      <c r="P131" s="65"/>
    </row>
    <row r="132" spans="1:18">
      <c r="G132" s="66"/>
      <c r="H132" s="66"/>
      <c r="I132" s="66"/>
      <c r="J132" s="66"/>
      <c r="K132" s="66"/>
      <c r="L132" s="67"/>
      <c r="M132" s="67"/>
      <c r="N132" s="67"/>
      <c r="O132" s="67"/>
      <c r="P132" s="67"/>
    </row>
    <row r="133" spans="1:18" ht="15.6">
      <c r="A133" s="134" t="s">
        <v>282</v>
      </c>
      <c r="B133" s="127"/>
      <c r="C133" s="127"/>
      <c r="D133" s="127"/>
      <c r="E133" s="127"/>
      <c r="F133" s="127"/>
      <c r="G133" s="144" t="s">
        <v>283</v>
      </c>
      <c r="H133" s="180">
        <v>2024</v>
      </c>
      <c r="I133" s="180">
        <v>2025</v>
      </c>
      <c r="J133" s="180">
        <v>2026</v>
      </c>
      <c r="K133" s="180">
        <v>2027</v>
      </c>
      <c r="L133" s="180">
        <v>2028</v>
      </c>
      <c r="M133" s="144" t="s">
        <v>284</v>
      </c>
      <c r="P133" s="181" t="s">
        <v>285</v>
      </c>
      <c r="Q133" s="181"/>
      <c r="R133" s="181"/>
    </row>
    <row r="134" spans="1:18">
      <c r="A134" s="139" t="s">
        <v>286</v>
      </c>
      <c r="G134" s="140">
        <f>F123</f>
        <v>45323</v>
      </c>
      <c r="H134" s="140">
        <f>F124</f>
        <v>45382</v>
      </c>
      <c r="I134" s="140">
        <f>EDATE(H134,12)</f>
        <v>45747</v>
      </c>
      <c r="J134" s="140">
        <f>EDATE(I134,12)</f>
        <v>46112</v>
      </c>
      <c r="K134" s="140">
        <f>EDATE(J134,12)</f>
        <v>46477</v>
      </c>
      <c r="L134" s="140">
        <f>EDATE(K134,12)</f>
        <v>46843</v>
      </c>
      <c r="M134" s="140">
        <f>L134</f>
        <v>46843</v>
      </c>
      <c r="P134" t="s">
        <v>287</v>
      </c>
      <c r="R134" s="55">
        <f>(L138+L141)*F126</f>
        <v>891439.87695398321</v>
      </c>
    </row>
    <row r="135" spans="1:18">
      <c r="A135" s="139" t="s">
        <v>288</v>
      </c>
      <c r="H135" s="139">
        <v>0</v>
      </c>
      <c r="I135" s="139">
        <f>H135+1</f>
        <v>1</v>
      </c>
      <c r="J135" s="139">
        <f>I135+1</f>
        <v>2</v>
      </c>
      <c r="K135" s="139">
        <f>J135+1</f>
        <v>3</v>
      </c>
      <c r="L135" s="139">
        <f>K135+1</f>
        <v>4</v>
      </c>
      <c r="M135" s="139">
        <f>L135</f>
        <v>4</v>
      </c>
      <c r="P135" t="s">
        <v>289</v>
      </c>
      <c r="R135" s="55">
        <f>L146*(1+F127)/(F128-F127)</f>
        <v>598732.62891307217</v>
      </c>
    </row>
    <row r="136" spans="1:18">
      <c r="A136" s="139" t="s">
        <v>290</v>
      </c>
      <c r="H136" s="141">
        <f>(H134-G134)/365</f>
        <v>0.16164383561643836</v>
      </c>
      <c r="I136" s="141">
        <f>(I134-H134)/365</f>
        <v>1</v>
      </c>
      <c r="J136" s="141">
        <f>(J134-I134)/365</f>
        <v>1</v>
      </c>
      <c r="K136" s="141">
        <f>(K134-J134)/365</f>
        <v>1</v>
      </c>
      <c r="L136" s="141">
        <f>(L134-K134)/365</f>
        <v>1.0027397260273974</v>
      </c>
      <c r="M136" s="142">
        <v>1</v>
      </c>
      <c r="P136" t="s">
        <v>291</v>
      </c>
      <c r="R136" s="98">
        <f>M146</f>
        <v>762148</v>
      </c>
    </row>
    <row r="137" spans="1:18">
      <c r="A137" s="124"/>
      <c r="B137" s="124"/>
      <c r="C137" s="124"/>
      <c r="D137" s="124"/>
      <c r="E137" s="124"/>
      <c r="F137" s="124"/>
      <c r="G137" s="124"/>
      <c r="H137" s="124"/>
      <c r="I137" s="124"/>
      <c r="J137" s="124"/>
      <c r="K137" s="124"/>
      <c r="L137" s="124"/>
      <c r="M137" s="124"/>
    </row>
    <row r="138" spans="1:18">
      <c r="A138" s="139" t="s">
        <v>210</v>
      </c>
      <c r="H138" s="143">
        <f>L32</f>
        <v>20219.362808819289</v>
      </c>
      <c r="I138" s="143">
        <f>M32</f>
        <v>22578.39967965291</v>
      </c>
      <c r="J138" s="143">
        <f>N32</f>
        <v>24791.356434686175</v>
      </c>
      <c r="K138" s="143">
        <f>O32</f>
        <v>26837.982878873689</v>
      </c>
      <c r="L138" s="143">
        <f>P32</f>
        <v>28707.75761876523</v>
      </c>
    </row>
    <row r="139" spans="1:18">
      <c r="A139" s="139" t="s">
        <v>292</v>
      </c>
      <c r="H139" s="143">
        <f>-H138*$F$125</f>
        <v>-3174.4399609846282</v>
      </c>
      <c r="I139" s="143">
        <f>-I138*$F$125</f>
        <v>-3544.8087497055067</v>
      </c>
      <c r="J139" s="143">
        <f>-J138*$F$125</f>
        <v>-3892.2429602457296</v>
      </c>
      <c r="K139" s="143">
        <f>-K138*$F$125</f>
        <v>-4213.5633119831691</v>
      </c>
      <c r="L139" s="143">
        <f>-L138*$F$125</f>
        <v>-4507.1179461461415</v>
      </c>
    </row>
    <row r="140" spans="1:18">
      <c r="A140" s="145" t="s">
        <v>293</v>
      </c>
      <c r="B140" s="126"/>
      <c r="C140" s="126"/>
      <c r="D140" s="126"/>
      <c r="E140" s="126"/>
      <c r="F140" s="126"/>
      <c r="G140" s="126"/>
      <c r="H140" s="146">
        <f>SUM(H138:H139)</f>
        <v>17044.922847834659</v>
      </c>
      <c r="I140" s="146">
        <f>SUM(I138:I139)</f>
        <v>19033.590929947404</v>
      </c>
      <c r="J140" s="146">
        <f>SUM(J138:J139)</f>
        <v>20899.113474440444</v>
      </c>
      <c r="K140" s="146">
        <f>SUM(K138:K139)</f>
        <v>22624.419566890519</v>
      </c>
      <c r="L140" s="146">
        <f>SUM(L138:L139)</f>
        <v>24200.639672619087</v>
      </c>
      <c r="M140" s="126"/>
    </row>
    <row r="141" spans="1:18">
      <c r="A141" s="139" t="s">
        <v>294</v>
      </c>
      <c r="H141" s="143">
        <f>-L31</f>
        <v>2654.7706592139921</v>
      </c>
      <c r="I141" s="143">
        <f>-M31</f>
        <v>2662.4167899081235</v>
      </c>
      <c r="J141" s="143">
        <f>-N31</f>
        <v>2669.2800626662265</v>
      </c>
      <c r="K141" s="143">
        <f>-O31</f>
        <v>2675.4406313036766</v>
      </c>
      <c r="L141" s="143">
        <f>-P31</f>
        <v>2680.9704429947433</v>
      </c>
    </row>
    <row r="142" spans="1:18">
      <c r="A142" s="139" t="s">
        <v>295</v>
      </c>
      <c r="H142" s="143">
        <f>-L108</f>
        <v>-2729.45</v>
      </c>
      <c r="I142" s="143">
        <f>-M108</f>
        <v>-2729.45</v>
      </c>
      <c r="J142" s="143">
        <f>-N108</f>
        <v>-2729.45</v>
      </c>
      <c r="K142" s="143">
        <f>-O108</f>
        <v>-2729.45</v>
      </c>
      <c r="L142" s="143">
        <f>-P108</f>
        <v>-2729.45</v>
      </c>
    </row>
    <row r="143" spans="1:18">
      <c r="A143" s="139" t="s">
        <v>296</v>
      </c>
      <c r="H143" s="143">
        <f>L104</f>
        <v>-3931.6799444843437</v>
      </c>
      <c r="I143" s="143">
        <f>M104</f>
        <v>-4105.3733239296998</v>
      </c>
      <c r="J143" s="143">
        <f>N104</f>
        <v>-3850.617053545724</v>
      </c>
      <c r="K143" s="143">
        <f>O104</f>
        <v>-3560.8727644220889</v>
      </c>
      <c r="L143" s="143">
        <f>P104</f>
        <v>-3253.0023139311197</v>
      </c>
    </row>
    <row r="144" spans="1:18">
      <c r="A144" s="147" t="s">
        <v>297</v>
      </c>
      <c r="B144" s="127"/>
      <c r="C144" s="127"/>
      <c r="D144" s="127"/>
      <c r="E144" s="127"/>
      <c r="F144" s="127"/>
      <c r="G144" s="127"/>
      <c r="H144" s="148">
        <f>H140+SUM(H141:H143)</f>
        <v>13038.563562564308</v>
      </c>
      <c r="I144" s="148">
        <f>I140+SUM(I141:I143)</f>
        <v>14861.184395925828</v>
      </c>
      <c r="J144" s="148">
        <f>J140+SUM(J141:J143)</f>
        <v>16988.326483560948</v>
      </c>
      <c r="K144" s="148">
        <f>K140+SUM(K141:K143)</f>
        <v>19009.537433772108</v>
      </c>
      <c r="L144" s="148">
        <f>L140+SUM(L141:L143)</f>
        <v>20899.157801682712</v>
      </c>
      <c r="M144" s="148">
        <v>762148</v>
      </c>
    </row>
    <row r="146" spans="1:16">
      <c r="A146" s="149" t="s">
        <v>298</v>
      </c>
      <c r="B146" s="124"/>
      <c r="C146" s="124"/>
      <c r="D146" s="124"/>
      <c r="E146" s="124"/>
      <c r="F146" s="124"/>
      <c r="G146" s="150" t="s">
        <v>299</v>
      </c>
      <c r="H146" s="151">
        <f>H144*H136</f>
        <v>2107.6034251816277</v>
      </c>
      <c r="I146" s="151">
        <f>I144</f>
        <v>14861.184395925828</v>
      </c>
      <c r="J146" s="151">
        <f>J144</f>
        <v>16988.326483560948</v>
      </c>
      <c r="K146" s="151">
        <f>K144</f>
        <v>19009.537433772108</v>
      </c>
      <c r="L146" s="151">
        <f>L144</f>
        <v>20899.157801682712</v>
      </c>
      <c r="M146" s="151">
        <f>M144</f>
        <v>762148</v>
      </c>
    </row>
    <row r="149" spans="1:16">
      <c r="B149" s="46" t="s">
        <v>300</v>
      </c>
      <c r="H149" s="46" t="s">
        <v>301</v>
      </c>
      <c r="M149" s="46" t="s">
        <v>302</v>
      </c>
    </row>
    <row r="150" spans="1:16">
      <c r="B150" t="s">
        <v>303</v>
      </c>
      <c r="E150" s="143">
        <v>578277</v>
      </c>
      <c r="H150" t="s">
        <v>304</v>
      </c>
      <c r="K150" s="143">
        <f>F130*F129</f>
        <v>605060.071</v>
      </c>
      <c r="M150" t="s">
        <v>281</v>
      </c>
      <c r="N150" s="49">
        <f>F130</f>
        <v>5060.3</v>
      </c>
    </row>
    <row r="151" spans="1:16">
      <c r="B151" t="s">
        <v>305</v>
      </c>
      <c r="E151" s="143">
        <v>38618</v>
      </c>
      <c r="H151" t="s">
        <v>306</v>
      </c>
      <c r="K151" s="143">
        <f>L115</f>
        <v>13966.8</v>
      </c>
      <c r="M151" t="s">
        <v>307</v>
      </c>
      <c r="N151" s="49">
        <f>E156</f>
        <v>5009.8787321234422</v>
      </c>
    </row>
    <row r="152" spans="1:16">
      <c r="B152" t="s">
        <v>308</v>
      </c>
      <c r="E152" s="143">
        <f>-L115</f>
        <v>-13966.8</v>
      </c>
      <c r="H152" t="s">
        <v>309</v>
      </c>
      <c r="K152" s="143">
        <f>E153</f>
        <v>-3897</v>
      </c>
      <c r="M152" t="s">
        <v>310</v>
      </c>
      <c r="N152" s="71">
        <f>N151/N150-1</f>
        <v>-9.9640866898321745E-3</v>
      </c>
    </row>
    <row r="153" spans="1:16">
      <c r="B153" t="s">
        <v>311</v>
      </c>
      <c r="E153" s="182">
        <v>-3897</v>
      </c>
      <c r="H153" t="s">
        <v>312</v>
      </c>
      <c r="K153" s="143">
        <f>-L95</f>
        <v>-11097.038182103246</v>
      </c>
    </row>
    <row r="154" spans="1:16">
      <c r="B154" s="46" t="s">
        <v>313</v>
      </c>
      <c r="E154" s="183">
        <f>SUM(E150:E153)</f>
        <v>599031.19999999995</v>
      </c>
      <c r="H154" s="46" t="s">
        <v>303</v>
      </c>
      <c r="K154" s="183">
        <f>SUM(K150:K153)</f>
        <v>604032.83281789685</v>
      </c>
    </row>
    <row r="156" spans="1:16">
      <c r="B156" s="46" t="s">
        <v>314</v>
      </c>
      <c r="E156" s="184">
        <f>E154/F129</f>
        <v>5009.8787321234422</v>
      </c>
      <c r="H156" s="46" t="s">
        <v>314</v>
      </c>
      <c r="K156" s="184">
        <f>F130</f>
        <v>5060.3</v>
      </c>
    </row>
    <row r="159" spans="1:16">
      <c r="A159" s="208" t="s">
        <v>315</v>
      </c>
      <c r="B159" s="208"/>
      <c r="C159" s="208"/>
      <c r="D159" s="208"/>
      <c r="E159" s="160"/>
      <c r="F159" s="161"/>
      <c r="G159" s="153"/>
      <c r="H159" s="153"/>
      <c r="I159" s="153"/>
      <c r="J159" s="153"/>
      <c r="K159" s="153"/>
      <c r="L159" s="159"/>
      <c r="M159" s="159"/>
      <c r="N159" s="159"/>
      <c r="O159" s="159"/>
      <c r="P159" s="159"/>
    </row>
    <row r="162" spans="5:11" ht="15.6">
      <c r="E162" s="186"/>
      <c r="F162" s="186" t="s">
        <v>316</v>
      </c>
      <c r="G162" s="186"/>
      <c r="H162" s="186"/>
      <c r="I162" s="186"/>
    </row>
    <row r="165" spans="5:11" ht="15.6">
      <c r="F165" s="94"/>
      <c r="G165" s="152"/>
      <c r="H165" s="152"/>
      <c r="I165" s="152" t="s">
        <v>317</v>
      </c>
      <c r="J165" s="152"/>
      <c r="K165" s="152"/>
    </row>
    <row r="166" spans="5:11">
      <c r="F166" s="188">
        <f>E156</f>
        <v>5009.8787321234422</v>
      </c>
      <c r="G166" s="187">
        <v>15</v>
      </c>
      <c r="H166" s="187">
        <v>20</v>
      </c>
      <c r="I166" s="187">
        <v>28.4</v>
      </c>
      <c r="J166" s="187">
        <v>30</v>
      </c>
      <c r="K166" s="187">
        <v>35</v>
      </c>
    </row>
    <row r="167" spans="5:11">
      <c r="F167" s="192"/>
    </row>
    <row r="168" spans="5:11">
      <c r="F168" s="193">
        <v>0.08</v>
      </c>
      <c r="G168" s="49" cm="1">
        <f t="array" ref="G168">(SUMPRODUCT($H$146:$L$146/(1+$F168)^$H$135:$L$135)+($L$30*G$166)/(1+$F168)^$M$135+$E$151+$E$152+$E$153)/$F$129</f>
        <v>2791.9742749504526</v>
      </c>
      <c r="H168" s="49" cm="1">
        <f t="array" ref="H168">(SUMPRODUCT($H$146:$L$146/(1+$F168)^$H$135:$L$135)+($L$30*H$166)/(1+$F168)^$M$135+$E$151+$E$152+$E$153)/$F$129</f>
        <v>3495.0423921978781</v>
      </c>
      <c r="I168" s="49" cm="1">
        <f t="array" ref="I168">(SUMPRODUCT($H$146:$L$146/(1+$F168)^$H$135:$L$135)+($L$30*I$166)/(1+$F168)^$M$135+$E$151+$E$152+$E$153)/$F$129</f>
        <v>4676.1968291735511</v>
      </c>
      <c r="J168" s="49" cm="1">
        <f t="array" ref="J168">(SUMPRODUCT($H$146:$L$146/(1+$F168)^$H$135:$L$135)+($L$30*J$166)/(1+$F168)^$M$135+$E$151+$E$152+$E$153)/$F$129</f>
        <v>4901.1786266927274</v>
      </c>
      <c r="K168" s="49" cm="1">
        <f t="array" ref="K168">(SUMPRODUCT($H$146:$L$146/(1+$F168)^$H$135:$L$135)+($L$30*K$166)/(1+$F168)^$M$135+$E$151+$E$152+$E$153)/$F$129</f>
        <v>5604.2467439401535</v>
      </c>
    </row>
    <row r="169" spans="5:11">
      <c r="F169" s="193">
        <v>0.09</v>
      </c>
      <c r="G169" s="49" cm="1">
        <f t="array" ref="G169">(SUMPRODUCT($H$146:$L$146/(1+$F169)^$H$135:$L$135)+($L$30*G$166)/(1+$F169)^$M$135+$E$151+$E$152+$E$153)/$F$129</f>
        <v>2704.2584725872321</v>
      </c>
      <c r="H169" s="190" cm="1">
        <f t="array" ref="H169">(SUMPRODUCT($H$146:$L$146/(1+$F169)^$H$135:$L$135)+($L$30*H$166)/(1+$F169)^$M$135+$E$151+$E$152+$E$153)/$F$129</f>
        <v>3381.8788133928251</v>
      </c>
      <c r="I169" s="190" cm="1">
        <f t="array" ref="I169">(SUMPRODUCT($H$146:$L$146/(1+$F169)^$H$135:$L$135)+($L$30*I$166)/(1+$F169)^$M$135+$E$151+$E$152+$E$153)/$F$129</f>
        <v>4520.2809859462204</v>
      </c>
      <c r="J169" s="190" cm="1">
        <f t="array" ref="J169">(SUMPRODUCT($H$146:$L$146/(1+$F169)^$H$135:$L$135)+($L$30*J$166)/(1+$F169)^$M$135+$E$151+$E$152+$E$153)/$F$129</f>
        <v>4737.1194950040108</v>
      </c>
      <c r="K169" s="49" cm="1">
        <f t="array" ref="K169">(SUMPRODUCT($H$146:$L$146/(1+$F169)^$H$135:$L$135)+($L$30*K$166)/(1+$F169)^$M$135+$E$151+$E$152+$E$153)/$F$129</f>
        <v>5414.7398358096034</v>
      </c>
    </row>
    <row r="170" spans="5:11">
      <c r="F170" s="193">
        <v>9.7000000000000003E-2</v>
      </c>
      <c r="G170" s="49" cm="1">
        <f t="array" ref="G170">(SUMPRODUCT($H$146:$L$146/(1+$F170)^$H$135:$L$135)+($L$30*G$166)/(1+$F170)^$M$135+$E$151+$E$152+$E$153)/$F$129</f>
        <v>2645.1515897614922</v>
      </c>
      <c r="H170" s="190" cm="1">
        <f t="array" ref="H170">(SUMPRODUCT($H$146:$L$146/(1+$F170)^$H$135:$L$135)+($L$30*H$166)/(1+$F170)^$M$135+$E$151+$E$152+$E$153)/$F$129</f>
        <v>3305.6410863198457</v>
      </c>
      <c r="I170" s="189" cm="1">
        <f t="array" ref="I170">(SUMPRODUCT($H$146:$L$146/(1+$F170)^$H$135:$L$135)+($L$30*I$166)/(1+$F170)^$M$135+$E$151+$E$152+$E$153)/$F$129</f>
        <v>4415.2634405378794</v>
      </c>
      <c r="J170" s="190" cm="1">
        <f t="array" ref="J170">(SUMPRODUCT($H$146:$L$146/(1+$F170)^$H$135:$L$135)+($L$30*J$166)/(1+$F170)^$M$135+$E$151+$E$152+$E$153)/$F$129</f>
        <v>4626.6200794365523</v>
      </c>
      <c r="K170" s="49" cm="1">
        <f t="array" ref="K170">(SUMPRODUCT($H$146:$L$146/(1+$F170)^$H$135:$L$135)+($L$30*K$166)/(1+$F170)^$M$135+$E$151+$E$152+$E$153)/$F$129</f>
        <v>5287.1095759949058</v>
      </c>
    </row>
    <row r="171" spans="5:11">
      <c r="F171" s="193">
        <v>0.1</v>
      </c>
      <c r="G171" s="49" cm="1">
        <f t="array" ref="G171">(SUMPRODUCT($H$146:$L$146/(1+$F171)^$H$135:$L$135)+($L$30*G$166)/(1+$F171)^$M$135+$E$151+$E$152+$E$153)/$F$129</f>
        <v>2620.377830512125</v>
      </c>
      <c r="H171" s="190" cm="1">
        <f t="array" ref="H171">(SUMPRODUCT($H$146:$L$146/(1+$F171)^$H$135:$L$135)+($L$30*H$166)/(1+$F171)^$M$135+$E$151+$E$152+$E$153)/$F$129</f>
        <v>3273.6914099418827</v>
      </c>
      <c r="I171" s="190" cm="1">
        <f t="array" ref="I171">(SUMPRODUCT($H$146:$L$146/(1+$F171)^$H$135:$L$135)+($L$30*I$166)/(1+$F171)^$M$135+$E$151+$E$152+$E$153)/$F$129</f>
        <v>4371.2582233838739</v>
      </c>
      <c r="J171" s="190" cm="1">
        <f t="array" ref="J171">(SUMPRODUCT($H$146:$L$146/(1+$F171)^$H$135:$L$135)+($L$30*J$166)/(1+$F171)^$M$135+$E$151+$E$152+$E$153)/$F$129</f>
        <v>4580.3185688013964</v>
      </c>
      <c r="K171" s="49" cm="1">
        <f t="array" ref="K171">(SUMPRODUCT($H$146:$L$146/(1+$F171)^$H$135:$L$135)+($L$30*K$166)/(1+$F171)^$M$135+$E$151+$E$152+$E$153)/$F$129</f>
        <v>5233.6321482311541</v>
      </c>
    </row>
    <row r="172" spans="5:11">
      <c r="E172" t="s">
        <v>279</v>
      </c>
      <c r="F172" s="193">
        <v>0.11</v>
      </c>
      <c r="G172" s="49" cm="1">
        <f t="array" ref="G172">(SUMPRODUCT($H$146:$L$146/(1+$F172)^$H$135:$L$135)+($L$30*G$166)/(1+$F172)^$M$135+$E$151+$E$152+$E$153)/$F$129</f>
        <v>2540.1304721641463</v>
      </c>
      <c r="H172" s="49" cm="1">
        <f t="array" ref="H172">(SUMPRODUCT($H$146:$L$146/(1+$F172)^$H$135:$L$135)+($L$30*H$166)/(1+$F172)^$M$135+$E$151+$E$152+$E$153)/$F$129</f>
        <v>3170.2174597914905</v>
      </c>
      <c r="I172" s="49" cm="1">
        <f t="array" ref="I172">(SUMPRODUCT($H$146:$L$146/(1+$F172)^$H$135:$L$135)+($L$30*I$166)/(1+$F172)^$M$135+$E$151+$E$152+$E$153)/$F$129</f>
        <v>4228.7635990054287</v>
      </c>
      <c r="J172" s="49" cm="1">
        <f t="array" ref="J172">(SUMPRODUCT($H$146:$L$146/(1+$F172)^$H$135:$L$135)+($L$30*J$166)/(1+$F172)^$M$135+$E$151+$E$152+$E$153)/$F$129</f>
        <v>4430.3914350461782</v>
      </c>
      <c r="K172" s="49" cm="1">
        <f t="array" ref="K172">(SUMPRODUCT($H$146:$L$146/(1+$F172)^$H$135:$L$135)+($L$30*K$166)/(1+$F172)^$M$135+$E$151+$E$152+$E$153)/$F$129</f>
        <v>5060.4784226735228</v>
      </c>
    </row>
    <row r="175" spans="5:11">
      <c r="G175" s="205" t="s">
        <v>278</v>
      </c>
      <c r="H175" s="206"/>
      <c r="I175" s="206"/>
      <c r="J175" s="206"/>
      <c r="K175" s="206"/>
    </row>
    <row r="176" spans="5:11">
      <c r="G176" s="191">
        <v>0.04</v>
      </c>
      <c r="H176" s="191">
        <v>0.05</v>
      </c>
      <c r="I176" s="191">
        <v>0.06</v>
      </c>
      <c r="J176" s="191">
        <v>7.0000000000000007E-2</v>
      </c>
      <c r="K176" s="191">
        <v>7.4999999999999997E-2</v>
      </c>
    </row>
    <row r="177" spans="5:11">
      <c r="F177" s="194"/>
    </row>
    <row r="178" spans="5:11">
      <c r="E178" s="207" t="s">
        <v>279</v>
      </c>
      <c r="F178" s="195">
        <v>0.08</v>
      </c>
      <c r="G178" s="49" cm="1">
        <f t="array" ref="G178">IFERROR((SUMPRODUCT($H$146:$L$146/(1+$F178)^$H$135:$L$135)+($L$146*(1+G$176)/($F178-G$176))/(1+$F178)^$M$135+$E$151+$E$152+$E$153)/$F$129,"N/A")</f>
        <v>4023.0653731208467</v>
      </c>
      <c r="H178" s="49" cm="1">
        <f t="array" ref="H178">IFERROR((SUMPRODUCT($H$146:$L$146/(1+$F178)^$H$135:$L$135)+($L$146*(1+H$176)/($F178-H$176))/(1+$F178)^$M$135+$E$151+$E$152+$E$153)/$F$129,"N/A")</f>
        <v>5179.3214903983098</v>
      </c>
      <c r="I178" s="49" cm="1">
        <f t="array" ref="I178">IFERROR((SUMPRODUCT($H$146:$L$146/(1+$F178)^$H$135:$L$135)+($L$146*(1+I$176)/($F178-I$176))/(1+$F178)^$M$135+$E$151+$E$152+$E$153)/$F$129,"N/A")</f>
        <v>7491.8337249532342</v>
      </c>
      <c r="J178" s="49" cm="1">
        <f t="array" ref="J178">IFERROR((SUMPRODUCT($H$146:$L$146/(1+$F178)^$H$135:$L$135)+($L$146*(1+J$176)/($F178-J$176))/(1+$F178)^$M$135+$E$151+$E$152+$E$153)/$F$129,"N/A")</f>
        <v>14429.370428618018</v>
      </c>
      <c r="K178" s="49" cm="1">
        <f t="array" ref="K178">IFERROR((SUMPRODUCT($H$146:$L$146/(1+$F178)^$H$135:$L$135)+($L$146*(1+K$176)/($F178-K$176))/(1+$F178)^$M$135+$E$151+$E$152+$E$153)/$F$129,"N/A")</f>
        <v>28304.443835947543</v>
      </c>
    </row>
    <row r="179" spans="5:11">
      <c r="E179" s="206"/>
      <c r="F179" s="195">
        <v>0.09</v>
      </c>
      <c r="G179" s="49" cm="1">
        <f t="array" ref="G179">IFERROR((SUMPRODUCT($H$146:$L$146/(1+$F179)^$H$135:$L$135)+($L$146*(1+G$176)/($F179-G$176))/(1+$F179)^$M$135+$E$151+$E$152+$E$153)/$F$129,"N/A")</f>
        <v>3246.911356302694</v>
      </c>
      <c r="H179" s="190" cm="1">
        <f t="array" ref="H179">IFERROR((SUMPRODUCT($H$146:$L$146/(1+$F179)^$H$135:$L$135)+($L$146*(1+H$176)/($F179-H$176))/(1+$F179)^$M$135+$E$151+$E$152+$E$153)/$F$129,"N/A")</f>
        <v>3921.7455288229203</v>
      </c>
      <c r="I179" s="190" cm="1">
        <f t="array" ref="I179">IFERROR((SUMPRODUCT($H$146:$L$146/(1+$F179)^$H$135:$L$135)+($L$146*(1+I$176)/($F179-I$176))/(1+$F179)^$M$135+$E$151+$E$152+$E$153)/$F$129,"N/A")</f>
        <v>5046.4691496899641</v>
      </c>
      <c r="J179" s="190" cm="1">
        <f t="array" ref="J179">IFERROR((SUMPRODUCT($H$146:$L$146/(1+$F179)^$H$135:$L$135)+($L$146*(1+J$176)/($F179-J$176))/(1+$F179)^$M$135+$E$151+$E$152+$E$153)/$F$129,"N/A")</f>
        <v>7295.9163914240544</v>
      </c>
      <c r="K179" s="49" cm="1">
        <f t="array" ref="K179">IFERROR((SUMPRODUCT($H$146:$L$146/(1+$F179)^$H$135:$L$135)+($L$146*(1+K$176)/($F179-K$176))/(1+$F179)^$M$135+$E$151+$E$152+$E$153)/$F$129,"N/A")</f>
        <v>9545.3636331581401</v>
      </c>
    </row>
    <row r="180" spans="5:11">
      <c r="E180" s="206"/>
      <c r="F180" s="195">
        <v>9.7000000000000003E-2</v>
      </c>
      <c r="G180" s="49" cm="1">
        <f t="array" ref="G180">IFERROR((SUMPRODUCT($H$146:$L$146/(1+$F180)^$H$135:$L$135)+($L$146*(1+G$176)/($F180-G$176))/(1+$F180)^$M$135+$E$151+$E$152+$E$153)/$F$129,"N/A")</f>
        <v>2865.7906670779544</v>
      </c>
      <c r="H180" s="190" cm="1">
        <f t="array" ref="H180">IFERROR((SUMPRODUCT($H$146:$L$146/(1+$F180)^$H$135:$L$135)+($L$146*(1+H$176)/($F180-H$176))/(1+$F180)^$M$135+$E$151+$E$152+$E$153)/$F$129,"N/A")</f>
        <v>3360.0034332378764</v>
      </c>
      <c r="I180" s="189" cm="1">
        <f t="array" ref="I180">IFERROR((SUMPRODUCT($H$146:$L$146/(1+$F180)^$H$135:$L$135)+($L$146*(1+I$176)/($F180-I$176))/(1+$F180)^$M$135+$E$151+$E$152+$E$153)/$F$129,"N/A")</f>
        <v>4121.3582351599171</v>
      </c>
      <c r="J180" s="190" cm="1">
        <f t="array" ref="J180">IFERROR((SUMPRODUCT($H$146:$L$146/(1+$F180)^$H$135:$L$135)+($L$146*(1+J$176)/($F180-J$176))/(1+$F180)^$M$135+$E$151+$E$152+$E$153)/$F$129,"N/A")</f>
        <v>5446.6795570242139</v>
      </c>
      <c r="K180" s="49" cm="1">
        <f t="array" ref="K180">IFERROR((SUMPRODUCT($H$146:$L$146/(1+$F180)^$H$135:$L$135)+($L$146*(1+K$176)/($F180-K$176))/(1+$F180)^$M$135+$E$151+$E$152+$E$153)/$F$129,"N/A")</f>
        <v>6561.1543049555512</v>
      </c>
    </row>
    <row r="181" spans="5:11">
      <c r="E181" s="206"/>
      <c r="F181" s="195">
        <v>0.1</v>
      </c>
      <c r="G181" s="49" cm="1">
        <f t="array" ref="G181">IFERROR((SUMPRODUCT($H$146:$L$146/(1+$F181)^$H$135:$L$135)+($L$146*(1+G$176)/($F181-G$176))/(1+$F181)^$M$135+$E$151+$E$152+$E$153)/$F$129,"N/A")</f>
        <v>2729.710631254532</v>
      </c>
      <c r="H181" s="190" cm="1">
        <f t="array" ref="H181">IFERROR((SUMPRODUCT($H$146:$L$146/(1+$F181)^$H$135:$L$135)+($L$146*(1+H$176)/($F181-H$176))/(1+$F181)^$M$135+$E$151+$E$152+$E$153)/$F$129,"N/A")</f>
        <v>3167.4415722035405</v>
      </c>
      <c r="I181" s="190" cm="1">
        <f t="array" ref="I181">IFERROR((SUMPRODUCT($H$146:$L$146/(1+$F181)^$H$135:$L$135)+($L$146*(1+I$176)/($F181-I$176))/(1+$F181)^$M$135+$E$151+$E$152+$E$153)/$F$129,"N/A")</f>
        <v>3824.037983627054</v>
      </c>
      <c r="J181" s="190" cm="1">
        <f t="array" ref="J181">IFERROR((SUMPRODUCT($H$146:$L$146/(1+$F181)^$H$135:$L$135)+($L$146*(1+J$176)/($F181-J$176))/(1+$F181)^$M$135+$E$151+$E$152+$E$153)/$F$129,"N/A")</f>
        <v>4918.365335999576</v>
      </c>
      <c r="K181" s="49" cm="1">
        <f t="array" ref="K181">IFERROR((SUMPRODUCT($H$146:$L$146/(1+$F181)^$H$135:$L$135)+($L$146*(1+K$176)/($F181-K$176))/(1+$F181)^$M$135+$E$151+$E$152+$E$153)/$F$129,"N/A")</f>
        <v>5793.8272178975922</v>
      </c>
    </row>
    <row r="182" spans="5:11">
      <c r="E182" s="206"/>
      <c r="F182" s="195">
        <v>0.11</v>
      </c>
      <c r="G182" s="49" cm="1">
        <f t="array" ref="G182">IFERROR((SUMPRODUCT($H$146:$L$146/(1+$F182)^$H$135:$L$135)+($L$146*(1+G$176)/($F182-G$176))/(1+$F182)^$M$135+$E$151+$E$152+$E$153)/$F$129,"N/A")</f>
        <v>2360.4753087077975</v>
      </c>
      <c r="H182" s="49" cm="1">
        <f t="array" ref="H182">IFERROR((SUMPRODUCT($H$146:$L$146/(1+$F182)^$H$135:$L$135)+($L$146*(1+H$176)/($F182-H$176))/(1+$F182)^$M$135+$E$151+$E$152+$E$153)/$F$129,"N/A")</f>
        <v>2664.7657634133279</v>
      </c>
      <c r="I182" s="49" cm="1">
        <f t="array" ref="I182">IFERROR((SUMPRODUCT($H$146:$L$146/(1+$F182)^$H$135:$L$135)+($L$146*(1+I$176)/($F182-I$176))/(1+$F182)^$M$135+$E$151+$E$152+$E$153)/$F$129,"N/A")</f>
        <v>3090.7724000010699</v>
      </c>
      <c r="J182" s="49" cm="1">
        <f t="array" ref="J182">IFERROR((SUMPRODUCT($H$146:$L$146/(1+$F182)^$H$135:$L$135)+($L$146*(1+J$176)/($F182-J$176))/(1+$F182)^$M$135+$E$151+$E$152+$E$153)/$F$129,"N/A")</f>
        <v>3729.7823548826846</v>
      </c>
      <c r="K182" s="49" cm="1">
        <f t="array" ref="K182">IFERROR((SUMPRODUCT($H$146:$L$146/(1+$F182)^$H$135:$L$135)+($L$146*(1+K$176)/($F182-K$176))/(1+$F182)^$M$135+$E$151+$E$152+$E$153)/$F$129,"N/A")</f>
        <v>4186.2180369409789</v>
      </c>
    </row>
  </sheetData>
  <mergeCells count="12">
    <mergeCell ref="A69:D69"/>
    <mergeCell ref="A98:D98"/>
    <mergeCell ref="A5:D5"/>
    <mergeCell ref="A1:D1"/>
    <mergeCell ref="A2:D2"/>
    <mergeCell ref="A22:D22"/>
    <mergeCell ref="A39:D39"/>
    <mergeCell ref="G175:K175"/>
    <mergeCell ref="E178:E182"/>
    <mergeCell ref="A159:D159"/>
    <mergeCell ref="A120:D120"/>
    <mergeCell ref="A119:D119"/>
  </mergeCells>
  <dataValidations count="1">
    <dataValidation type="list" allowBlank="1" showInputMessage="1" showErrorMessage="1" sqref="E6" xr:uid="{8B0ADF46-0EC9-4F9A-BA4E-D7BACE33010E}">
      <formula1>$R$8:$R$10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41FAC-01FC-4D73-ADAD-8972DE6D025A}">
  <dimension ref="H3:P7"/>
  <sheetViews>
    <sheetView tabSelected="1" workbookViewId="0">
      <selection activeCell="E27" sqref="E27"/>
    </sheetView>
  </sheetViews>
  <sheetFormatPr defaultRowHeight="14.4"/>
  <cols>
    <col min="8" max="8" width="17" customWidth="1"/>
    <col min="9" max="9" width="44" customWidth="1"/>
    <col min="10" max="10" width="16.88671875" customWidth="1"/>
  </cols>
  <sheetData>
    <row r="3" spans="8:16">
      <c r="H3" s="75" t="s">
        <v>179</v>
      </c>
      <c r="I3" s="75" t="s">
        <v>180</v>
      </c>
      <c r="J3" s="75" t="s">
        <v>181</v>
      </c>
      <c r="L3" s="61">
        <v>2024</v>
      </c>
      <c r="M3" s="61">
        <v>2025</v>
      </c>
      <c r="N3" s="61">
        <v>2026</v>
      </c>
      <c r="O3" s="61">
        <v>2027</v>
      </c>
      <c r="P3" s="61">
        <v>2028</v>
      </c>
    </row>
    <row r="4" spans="8:16">
      <c r="H4" s="46" t="s">
        <v>176</v>
      </c>
      <c r="I4" t="s">
        <v>183</v>
      </c>
      <c r="J4" s="71">
        <v>0.122</v>
      </c>
      <c r="L4" s="71">
        <v>0.122</v>
      </c>
      <c r="M4" s="81">
        <f>L4*(1-$J$7)</f>
        <v>0.1037</v>
      </c>
      <c r="N4" s="81">
        <f t="shared" ref="N4:P4" si="0">M4*(1-$J$7)</f>
        <v>8.8145000000000001E-2</v>
      </c>
      <c r="O4" s="81">
        <f t="shared" si="0"/>
        <v>7.4923249999999997E-2</v>
      </c>
      <c r="P4" s="81">
        <f t="shared" si="0"/>
        <v>6.3684762499999992E-2</v>
      </c>
    </row>
    <row r="5" spans="8:16">
      <c r="H5" s="46" t="s">
        <v>185</v>
      </c>
      <c r="I5" t="s">
        <v>186</v>
      </c>
      <c r="J5" s="70">
        <v>0.2</v>
      </c>
      <c r="L5" s="70">
        <v>0.2</v>
      </c>
      <c r="M5" s="81">
        <f t="shared" ref="M5:P6" si="1">L5*(1-$J$7)</f>
        <v>0.17</v>
      </c>
      <c r="N5" s="81">
        <f t="shared" si="1"/>
        <v>0.14450000000000002</v>
      </c>
      <c r="O5" s="81">
        <f t="shared" si="1"/>
        <v>0.12282500000000002</v>
      </c>
      <c r="P5" s="81">
        <f t="shared" si="1"/>
        <v>0.10440125000000001</v>
      </c>
    </row>
    <row r="6" spans="8:16">
      <c r="H6" s="46" t="s">
        <v>188</v>
      </c>
      <c r="I6" t="s">
        <v>189</v>
      </c>
      <c r="J6" s="70">
        <v>6.2E-2</v>
      </c>
      <c r="L6" s="70">
        <v>6.2E-2</v>
      </c>
      <c r="M6" s="81">
        <f t="shared" si="1"/>
        <v>5.2699999999999997E-2</v>
      </c>
      <c r="N6" s="81">
        <f t="shared" si="1"/>
        <v>4.4794999999999995E-2</v>
      </c>
      <c r="O6" s="81">
        <f t="shared" si="1"/>
        <v>3.8075749999999992E-2</v>
      </c>
      <c r="P6" s="81">
        <f t="shared" si="1"/>
        <v>3.2364387499999994E-2</v>
      </c>
    </row>
    <row r="7" spans="8:16">
      <c r="H7" s="46" t="s">
        <v>192</v>
      </c>
      <c r="J7" s="154">
        <v>0.15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36CCF-BE58-444B-A473-BA5602EFAF97}">
  <dimension ref="A1:P26"/>
  <sheetViews>
    <sheetView showGridLines="0" workbookViewId="0">
      <selection activeCell="C7" sqref="C7:C16"/>
    </sheetView>
  </sheetViews>
  <sheetFormatPr defaultRowHeight="14.4"/>
  <cols>
    <col min="1" max="1" width="41.33203125" customWidth="1"/>
    <col min="2" max="4" width="8.88671875" customWidth="1"/>
    <col min="5" max="5" width="15.6640625" customWidth="1"/>
    <col min="7" max="7" width="12.44140625" customWidth="1"/>
    <col min="8" max="8" width="10.5546875" customWidth="1"/>
  </cols>
  <sheetData>
    <row r="1" spans="1:16">
      <c r="A1" s="210" t="s">
        <v>0</v>
      </c>
      <c r="B1" s="210"/>
      <c r="C1" s="210"/>
      <c r="D1" s="210"/>
      <c r="E1" s="210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</row>
    <row r="2" spans="1:16">
      <c r="A2" s="210" t="s">
        <v>318</v>
      </c>
      <c r="B2" s="210"/>
      <c r="C2" s="210"/>
      <c r="D2" s="210"/>
      <c r="E2" s="210"/>
      <c r="F2" s="156"/>
      <c r="G2" s="156"/>
      <c r="H2" s="156"/>
      <c r="I2" s="156"/>
      <c r="J2" s="156"/>
      <c r="K2" s="156"/>
      <c r="L2" s="156"/>
      <c r="M2" s="156"/>
      <c r="N2" s="156"/>
      <c r="O2" s="156"/>
      <c r="P2" s="156"/>
    </row>
    <row r="4" spans="1:16">
      <c r="A4" s="90"/>
      <c r="B4" s="90"/>
      <c r="C4" s="90"/>
      <c r="D4" s="90"/>
      <c r="E4" s="90" t="s">
        <v>319</v>
      </c>
      <c r="F4" s="90"/>
      <c r="G4" s="90"/>
      <c r="H4" s="90"/>
      <c r="I4" s="90"/>
      <c r="J4" s="90"/>
      <c r="K4" s="90" t="s">
        <v>320</v>
      </c>
      <c r="L4" s="90"/>
      <c r="M4" s="90"/>
      <c r="N4" s="90"/>
      <c r="O4" s="90" t="s">
        <v>321</v>
      </c>
      <c r="P4" s="90"/>
    </row>
    <row r="5" spans="1:16">
      <c r="A5" s="90"/>
      <c r="B5" s="90"/>
      <c r="C5" s="90" t="s">
        <v>322</v>
      </c>
      <c r="D5" s="90" t="s">
        <v>323</v>
      </c>
      <c r="E5" s="90" t="s">
        <v>304</v>
      </c>
      <c r="F5" s="90" t="s">
        <v>324</v>
      </c>
      <c r="G5" s="90" t="s">
        <v>325</v>
      </c>
      <c r="H5" s="90" t="s">
        <v>326</v>
      </c>
      <c r="I5" s="90"/>
      <c r="J5" s="90" t="s">
        <v>160</v>
      </c>
      <c r="K5" s="90" t="s">
        <v>208</v>
      </c>
      <c r="L5" s="90" t="s">
        <v>327</v>
      </c>
      <c r="M5" s="90"/>
      <c r="N5" s="90" t="s">
        <v>328</v>
      </c>
      <c r="O5" s="90" t="s">
        <v>287</v>
      </c>
      <c r="P5" s="90" t="s">
        <v>329</v>
      </c>
    </row>
    <row r="6" spans="1:16">
      <c r="A6" s="90" t="s">
        <v>330</v>
      </c>
      <c r="B6" s="90"/>
      <c r="C6" s="91" t="s">
        <v>331</v>
      </c>
      <c r="D6" s="92" t="s">
        <v>332</v>
      </c>
      <c r="E6" s="92" t="s">
        <v>6</v>
      </c>
      <c r="F6" s="90"/>
      <c r="G6" s="90"/>
      <c r="H6" s="90" t="str">
        <f>E6</f>
        <v>₹ MM</v>
      </c>
      <c r="I6" s="90"/>
      <c r="J6" s="90" t="str">
        <f>H6</f>
        <v>₹ MM</v>
      </c>
      <c r="K6" s="90" t="str">
        <f>J6</f>
        <v>₹ MM</v>
      </c>
      <c r="L6" s="90" t="str">
        <f t="shared" ref="L6" si="0">J6</f>
        <v>₹ MM</v>
      </c>
      <c r="M6" s="90"/>
      <c r="N6" s="90"/>
      <c r="O6" s="90"/>
      <c r="P6" s="90"/>
    </row>
    <row r="7" spans="1:16">
      <c r="A7" t="s">
        <v>333</v>
      </c>
      <c r="C7" s="96">
        <v>6445</v>
      </c>
      <c r="D7" s="96">
        <v>166.62</v>
      </c>
      <c r="E7" s="55">
        <f t="shared" ref="E7:E16" si="1">C7*D7</f>
        <v>1073865.9000000001</v>
      </c>
      <c r="F7" s="97">
        <v>19766.03</v>
      </c>
      <c r="G7" s="97">
        <v>7502.75</v>
      </c>
      <c r="H7" s="55">
        <f t="shared" ref="H7:H16" si="2">E7+F7-G7</f>
        <v>1086129.1800000002</v>
      </c>
      <c r="J7" s="97">
        <v>270140.78000000003</v>
      </c>
      <c r="K7" s="97">
        <v>80632.399999999994</v>
      </c>
      <c r="L7" s="97">
        <v>51982.55</v>
      </c>
      <c r="M7" s="93"/>
      <c r="N7" s="94">
        <f t="shared" ref="N7:N16" si="3">IFERROR(H7/J7,"")</f>
        <v>4.020604293805623</v>
      </c>
      <c r="O7" s="94">
        <f t="shared" ref="O7:O16" si="4">IFERROR(H7/K7,"")</f>
        <v>13.470133345900658</v>
      </c>
      <c r="P7" s="94">
        <f t="shared" ref="P7:P16" si="5">IFERROR(E7/L7,"")</f>
        <v>20.658199722791593</v>
      </c>
    </row>
    <row r="8" spans="1:16">
      <c r="A8" t="s">
        <v>334</v>
      </c>
      <c r="C8" s="96">
        <v>923.25</v>
      </c>
      <c r="D8" s="96">
        <v>1012.08</v>
      </c>
      <c r="E8" s="55">
        <f t="shared" si="1"/>
        <v>934402.86</v>
      </c>
      <c r="F8" s="97">
        <v>1910.79</v>
      </c>
      <c r="G8" s="97">
        <v>5781.09</v>
      </c>
      <c r="H8" s="55">
        <f t="shared" si="2"/>
        <v>930532.56</v>
      </c>
      <c r="J8" s="97">
        <v>187864.45</v>
      </c>
      <c r="K8" s="97">
        <v>49048.66</v>
      </c>
      <c r="L8" s="97">
        <v>29610.720000000001</v>
      </c>
      <c r="N8" s="94">
        <f t="shared" si="3"/>
        <v>4.9532125955709025</v>
      </c>
      <c r="O8" s="94">
        <f t="shared" si="4"/>
        <v>18.971620427550924</v>
      </c>
      <c r="P8" s="94">
        <f t="shared" si="5"/>
        <v>31.556235714633075</v>
      </c>
    </row>
    <row r="9" spans="1:16">
      <c r="A9" t="s">
        <v>335</v>
      </c>
      <c r="C9" s="96">
        <v>2627.1</v>
      </c>
      <c r="D9" s="96">
        <v>338.34</v>
      </c>
      <c r="E9" s="55">
        <f t="shared" si="1"/>
        <v>888853.01399999985</v>
      </c>
      <c r="F9" s="97">
        <v>44697.86</v>
      </c>
      <c r="G9" s="97">
        <v>5129.75</v>
      </c>
      <c r="H9" s="55">
        <f t="shared" si="2"/>
        <v>928421.12399999984</v>
      </c>
      <c r="J9" s="97">
        <v>104303.15</v>
      </c>
      <c r="K9" s="97">
        <v>31025.41</v>
      </c>
      <c r="L9" s="97">
        <v>14878.34</v>
      </c>
      <c r="M9" s="93"/>
      <c r="N9" s="94">
        <f t="shared" si="3"/>
        <v>8.9011801081750637</v>
      </c>
      <c r="O9" s="94">
        <f t="shared" si="4"/>
        <v>29.924540046368438</v>
      </c>
      <c r="P9" s="94">
        <f t="shared" si="5"/>
        <v>59.741410264854807</v>
      </c>
    </row>
    <row r="10" spans="1:16">
      <c r="A10" t="s">
        <v>336</v>
      </c>
      <c r="C10" s="96">
        <v>2154.0500000000002</v>
      </c>
      <c r="D10" s="96">
        <v>400.95</v>
      </c>
      <c r="E10" s="55">
        <f t="shared" si="1"/>
        <v>863666.34750000003</v>
      </c>
      <c r="F10" s="97">
        <v>1786.67</v>
      </c>
      <c r="G10" s="97">
        <v>3074.85</v>
      </c>
      <c r="H10" s="55">
        <f t="shared" si="2"/>
        <v>862378.1675000001</v>
      </c>
      <c r="J10" s="97">
        <v>99037.7</v>
      </c>
      <c r="K10" s="97">
        <v>23053.59</v>
      </c>
      <c r="L10" s="97">
        <v>17197.05</v>
      </c>
      <c r="N10" s="94">
        <f t="shared" si="3"/>
        <v>8.7075746660110251</v>
      </c>
      <c r="O10" s="94">
        <f t="shared" si="4"/>
        <v>37.407543358756712</v>
      </c>
      <c r="P10" s="94">
        <f t="shared" si="5"/>
        <v>50.221773356476845</v>
      </c>
    </row>
    <row r="11" spans="1:16">
      <c r="A11" t="s">
        <v>337</v>
      </c>
      <c r="C11" s="96">
        <v>1612.2</v>
      </c>
      <c r="D11" s="96">
        <v>457.21</v>
      </c>
      <c r="E11" s="55">
        <f t="shared" si="1"/>
        <v>737113.96199999994</v>
      </c>
      <c r="F11" s="97">
        <v>37684.11</v>
      </c>
      <c r="G11" s="97">
        <v>12425.77</v>
      </c>
      <c r="H11" s="55">
        <f t="shared" si="2"/>
        <v>762372.30199999991</v>
      </c>
      <c r="J11" s="97">
        <v>193799.04000000001</v>
      </c>
      <c r="K11" s="97">
        <v>31333.96</v>
      </c>
      <c r="L11" s="97">
        <v>17833.439999999999</v>
      </c>
      <c r="M11" s="93"/>
      <c r="N11" s="94">
        <f t="shared" si="3"/>
        <v>3.9338290943030465</v>
      </c>
      <c r="O11" s="94">
        <f t="shared" si="4"/>
        <v>24.330544304007535</v>
      </c>
      <c r="P11" s="94">
        <f t="shared" si="5"/>
        <v>41.333245969369905</v>
      </c>
    </row>
    <row r="12" spans="1:16">
      <c r="A12" t="s">
        <v>338</v>
      </c>
      <c r="C12" s="96">
        <v>1043.8</v>
      </c>
      <c r="D12" s="96">
        <v>586.5</v>
      </c>
      <c r="E12" s="55">
        <f t="shared" si="1"/>
        <v>612188.69999999995</v>
      </c>
      <c r="F12" s="97">
        <v>66201.73</v>
      </c>
      <c r="G12" s="97">
        <v>44347.15</v>
      </c>
      <c r="H12" s="55">
        <f t="shared" si="2"/>
        <v>634043.27999999991</v>
      </c>
      <c r="J12" s="97">
        <v>277103.84999999998</v>
      </c>
      <c r="K12" s="97">
        <v>48727.42</v>
      </c>
      <c r="L12" s="97">
        <v>27586.32</v>
      </c>
      <c r="M12" s="93"/>
      <c r="N12" s="94">
        <f t="shared" si="3"/>
        <v>2.2881070761016131</v>
      </c>
      <c r="O12" s="94">
        <f t="shared" si="4"/>
        <v>13.01204291136284</v>
      </c>
      <c r="P12" s="94">
        <f t="shared" si="5"/>
        <v>22.191749388827503</v>
      </c>
    </row>
    <row r="13" spans="1:16">
      <c r="A13" t="s">
        <v>339</v>
      </c>
      <c r="C13" s="96">
        <v>28686.2</v>
      </c>
      <c r="D13" s="96">
        <v>21.25</v>
      </c>
      <c r="E13" s="55">
        <f t="shared" si="1"/>
        <v>609581.75</v>
      </c>
      <c r="F13" s="97">
        <v>911.48</v>
      </c>
      <c r="G13" s="97">
        <v>2417.65</v>
      </c>
      <c r="H13" s="55">
        <f t="shared" si="2"/>
        <v>608075.57999999996</v>
      </c>
      <c r="J13" s="97">
        <v>57287.35</v>
      </c>
      <c r="K13" s="97">
        <v>13599.67</v>
      </c>
      <c r="L13" s="97">
        <v>11406.77</v>
      </c>
      <c r="M13" s="93"/>
      <c r="N13" s="94">
        <f t="shared" si="3"/>
        <v>10.614482603925648</v>
      </c>
      <c r="O13" s="94">
        <f t="shared" si="4"/>
        <v>44.71252464214205</v>
      </c>
      <c r="P13" s="94">
        <f t="shared" si="5"/>
        <v>53.440347267456076</v>
      </c>
    </row>
    <row r="14" spans="1:16">
      <c r="A14" t="s">
        <v>340</v>
      </c>
      <c r="C14" s="96">
        <v>2169</v>
      </c>
      <c r="D14" s="96">
        <v>169.37</v>
      </c>
      <c r="E14" s="55">
        <f t="shared" si="1"/>
        <v>367363.53</v>
      </c>
      <c r="F14" s="97">
        <v>212.88</v>
      </c>
      <c r="G14" s="97">
        <v>352.46</v>
      </c>
      <c r="H14" s="55">
        <f t="shared" si="2"/>
        <v>367223.95</v>
      </c>
      <c r="J14" s="97">
        <v>32971.9</v>
      </c>
      <c r="K14" s="97">
        <v>7958.68</v>
      </c>
      <c r="L14" s="97">
        <v>5266.43</v>
      </c>
      <c r="N14" s="94">
        <f t="shared" si="3"/>
        <v>11.137482219708296</v>
      </c>
      <c r="O14" s="94">
        <f t="shared" si="4"/>
        <v>46.141313634924387</v>
      </c>
      <c r="P14" s="94">
        <f t="shared" si="5"/>
        <v>69.75570357908488</v>
      </c>
    </row>
    <row r="15" spans="1:16">
      <c r="A15" t="s">
        <v>341</v>
      </c>
      <c r="C15" s="96">
        <v>1217.7</v>
      </c>
      <c r="D15" s="96">
        <v>253.64</v>
      </c>
      <c r="E15" s="55">
        <f t="shared" si="1"/>
        <v>308857.42800000001</v>
      </c>
      <c r="F15" s="97">
        <v>19789.53</v>
      </c>
      <c r="G15" s="97">
        <v>12688</v>
      </c>
      <c r="H15" s="55">
        <f t="shared" si="2"/>
        <v>315958.95799999998</v>
      </c>
      <c r="J15" s="97">
        <v>71529.13</v>
      </c>
      <c r="K15" s="97">
        <v>11088.19</v>
      </c>
      <c r="L15" s="97">
        <v>5618.65</v>
      </c>
      <c r="M15" s="93"/>
      <c r="N15" s="94">
        <f t="shared" si="3"/>
        <v>4.4172067799510488</v>
      </c>
      <c r="O15" s="94">
        <f t="shared" si="4"/>
        <v>28.495088738558771</v>
      </c>
      <c r="P15" s="94">
        <f t="shared" si="5"/>
        <v>54.970042269940294</v>
      </c>
    </row>
    <row r="16" spans="1:16">
      <c r="C16" s="96">
        <v>1861.1</v>
      </c>
      <c r="D16" s="96">
        <v>164.72</v>
      </c>
      <c r="E16" s="55">
        <f t="shared" si="1"/>
        <v>306560.39199999999</v>
      </c>
      <c r="F16" s="97">
        <v>3555.02</v>
      </c>
      <c r="G16" s="97">
        <v>19256</v>
      </c>
      <c r="H16" s="55">
        <f t="shared" si="2"/>
        <v>290859.41200000001</v>
      </c>
      <c r="J16" s="97">
        <v>48912.58</v>
      </c>
      <c r="K16" s="97">
        <v>10292.17</v>
      </c>
      <c r="L16" s="97">
        <v>6559.04</v>
      </c>
      <c r="N16" s="94">
        <f t="shared" si="3"/>
        <v>5.9465154363151562</v>
      </c>
      <c r="O16" s="94">
        <f t="shared" si="4"/>
        <v>28.260261149981005</v>
      </c>
      <c r="P16" s="94">
        <f t="shared" si="5"/>
        <v>46.738606869297946</v>
      </c>
    </row>
    <row r="18" spans="1:16">
      <c r="A18" t="s">
        <v>291</v>
      </c>
      <c r="N18" s="94">
        <f>AVERAGE(N7:N16)</f>
        <v>6.4920194873867434</v>
      </c>
      <c r="O18" s="94">
        <f>AVERAGE(O7:O16)</f>
        <v>28.472561255955338</v>
      </c>
      <c r="P18" s="94">
        <f>AVERAGE(P7:P16)</f>
        <v>45.060731440273287</v>
      </c>
    </row>
    <row r="19" spans="1:16">
      <c r="A19" t="s">
        <v>342</v>
      </c>
      <c r="N19" s="94">
        <f>MEDIAN(N7:N16)</f>
        <v>5.4498640159430298</v>
      </c>
      <c r="O19" s="94">
        <f>MEDIAN(O7:O16)</f>
        <v>28.377674944269888</v>
      </c>
      <c r="P19" s="94">
        <f>MEDIAN(P7:P16)</f>
        <v>48.480190112887399</v>
      </c>
    </row>
    <row r="21" spans="1:16">
      <c r="A21" t="s">
        <v>343</v>
      </c>
      <c r="C21" s="96">
        <v>5421</v>
      </c>
      <c r="D21">
        <v>120</v>
      </c>
      <c r="E21" s="99">
        <f>C21*D21</f>
        <v>650520</v>
      </c>
      <c r="F21" s="49">
        <v>14368</v>
      </c>
      <c r="G21" s="49">
        <v>2762</v>
      </c>
      <c r="H21" s="49">
        <v>659813</v>
      </c>
      <c r="J21" s="55">
        <v>125803</v>
      </c>
      <c r="K21" s="55">
        <v>21840</v>
      </c>
      <c r="L21" s="55">
        <v>15665</v>
      </c>
      <c r="N21" s="94">
        <f t="shared" ref="N21" si="6">IFERROR(H21/J21,"")</f>
        <v>5.244811332003211</v>
      </c>
      <c r="O21" s="94">
        <f t="shared" ref="O21" si="7">IFERROR(H21/K21,"")</f>
        <v>30.211217948717948</v>
      </c>
      <c r="P21" s="95">
        <f>IFERROR(E21/L21,"")</f>
        <v>41.526970954356848</v>
      </c>
    </row>
    <row r="23" spans="1:16">
      <c r="A23" s="90" t="s">
        <v>344</v>
      </c>
      <c r="B23" s="90" t="s">
        <v>345</v>
      </c>
      <c r="C23" s="90" t="s">
        <v>326</v>
      </c>
      <c r="D23" s="90" t="s">
        <v>346</v>
      </c>
      <c r="E23" s="90" t="s">
        <v>313</v>
      </c>
      <c r="F23" s="90" t="s">
        <v>323</v>
      </c>
      <c r="G23" s="90" t="s">
        <v>347</v>
      </c>
    </row>
    <row r="24" spans="1:16">
      <c r="A24" t="s">
        <v>348</v>
      </c>
      <c r="B24" s="100">
        <v>5.4035000000000002</v>
      </c>
      <c r="C24" s="98">
        <f>B24*J21</f>
        <v>679776.51049999997</v>
      </c>
      <c r="D24" s="49">
        <v>-21576</v>
      </c>
      <c r="E24" s="98">
        <f>C24-D24</f>
        <v>701352.51049999997</v>
      </c>
      <c r="F24" s="87">
        <v>119.57</v>
      </c>
      <c r="G24" s="98">
        <f>E24/F24</f>
        <v>5865.6227356360296</v>
      </c>
    </row>
    <row r="25" spans="1:16">
      <c r="A25" t="s">
        <v>287</v>
      </c>
      <c r="B25">
        <v>28.4</v>
      </c>
      <c r="C25" s="98">
        <f>B25*K21</f>
        <v>620256</v>
      </c>
      <c r="D25" s="49">
        <v>-21576</v>
      </c>
      <c r="E25" s="98">
        <f>C25-D25</f>
        <v>641832</v>
      </c>
      <c r="F25" s="87">
        <v>119.57</v>
      </c>
      <c r="G25" s="98">
        <f>E25/F25</f>
        <v>5367.8347411558088</v>
      </c>
    </row>
    <row r="26" spans="1:16">
      <c r="A26" t="s">
        <v>329</v>
      </c>
      <c r="B26" s="100">
        <v>48.478900000000003</v>
      </c>
      <c r="C26" s="98">
        <f>E26-D26</f>
        <v>780997.96850000008</v>
      </c>
      <c r="D26" s="49">
        <v>-21576</v>
      </c>
      <c r="E26" s="98">
        <f>B26*L21</f>
        <v>759421.96850000008</v>
      </c>
      <c r="F26" s="87">
        <v>119.57</v>
      </c>
      <c r="G26" s="98">
        <f>E26/F26</f>
        <v>6351.2751400853067</v>
      </c>
    </row>
  </sheetData>
  <mergeCells count="2">
    <mergeCell ref="A1:E1"/>
    <mergeCell ref="A2:E2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49F49-9D16-4DCE-84B1-89412FDFE59C}">
  <dimension ref="A1:F2476"/>
  <sheetViews>
    <sheetView workbookViewId="0">
      <selection sqref="A1:E2"/>
    </sheetView>
  </sheetViews>
  <sheetFormatPr defaultRowHeight="14.4"/>
  <cols>
    <col min="2" max="2" width="17.6640625" customWidth="1"/>
    <col min="5" max="5" width="24.33203125" customWidth="1"/>
    <col min="6" max="6" width="11" customWidth="1"/>
  </cols>
  <sheetData>
    <row r="1" spans="1:6">
      <c r="A1" s="210" t="s">
        <v>0</v>
      </c>
      <c r="B1" s="210"/>
      <c r="C1" s="210"/>
      <c r="D1" s="210"/>
      <c r="E1" s="210"/>
    </row>
    <row r="2" spans="1:6">
      <c r="A2" s="210" t="s">
        <v>349</v>
      </c>
      <c r="B2" s="210"/>
      <c r="C2" s="210"/>
      <c r="D2" s="210"/>
      <c r="E2" s="210"/>
    </row>
    <row r="4" spans="1:6">
      <c r="A4" s="102" t="s">
        <v>350</v>
      </c>
      <c r="B4" s="102" t="s">
        <v>286</v>
      </c>
      <c r="C4" s="102" t="s">
        <v>351</v>
      </c>
      <c r="F4" s="102" t="s">
        <v>352</v>
      </c>
    </row>
    <row r="5" spans="1:6">
      <c r="A5" s="102" t="s">
        <v>353</v>
      </c>
      <c r="B5" s="103">
        <v>45323</v>
      </c>
      <c r="C5" s="102">
        <v>31898.06</v>
      </c>
      <c r="E5" s="101" t="s">
        <v>354</v>
      </c>
      <c r="F5" s="101">
        <f>YEARFRAC(B5,B2476)</f>
        <v>9.9944444444444436</v>
      </c>
    </row>
    <row r="6" spans="1:6">
      <c r="A6" s="102" t="s">
        <v>353</v>
      </c>
      <c r="B6" s="103">
        <v>45322</v>
      </c>
      <c r="C6" s="102">
        <v>31939.59</v>
      </c>
    </row>
    <row r="7" spans="1:6">
      <c r="A7" s="102" t="s">
        <v>353</v>
      </c>
      <c r="B7" s="103">
        <v>45321</v>
      </c>
      <c r="C7" s="102">
        <v>31640.240000000002</v>
      </c>
    </row>
    <row r="8" spans="1:6">
      <c r="A8" s="102" t="s">
        <v>353</v>
      </c>
      <c r="B8" s="103">
        <v>45320</v>
      </c>
      <c r="C8" s="102">
        <v>31957.05</v>
      </c>
      <c r="E8" s="104" t="s">
        <v>349</v>
      </c>
      <c r="F8" s="93">
        <v>0.151</v>
      </c>
    </row>
    <row r="9" spans="1:6">
      <c r="A9" s="102" t="s">
        <v>353</v>
      </c>
      <c r="B9" s="103">
        <v>45316</v>
      </c>
      <c r="C9" s="102">
        <v>31391.07</v>
      </c>
    </row>
    <row r="10" spans="1:6">
      <c r="A10" s="102" t="s">
        <v>353</v>
      </c>
      <c r="B10" s="103">
        <v>45315</v>
      </c>
      <c r="C10" s="102">
        <v>31540.07</v>
      </c>
    </row>
    <row r="11" spans="1:6">
      <c r="A11" s="102" t="s">
        <v>353</v>
      </c>
      <c r="B11" s="103">
        <v>45314</v>
      </c>
      <c r="C11" s="102">
        <v>31223.3</v>
      </c>
    </row>
    <row r="12" spans="1:6">
      <c r="A12" s="102" t="s">
        <v>353</v>
      </c>
      <c r="B12" s="103">
        <v>45311</v>
      </c>
      <c r="C12" s="102">
        <v>31712.86</v>
      </c>
    </row>
    <row r="13" spans="1:6">
      <c r="A13" s="102" t="s">
        <v>353</v>
      </c>
      <c r="B13" s="103">
        <v>45310</v>
      </c>
      <c r="C13" s="102">
        <v>31787.24</v>
      </c>
    </row>
    <row r="14" spans="1:6">
      <c r="A14" s="102" t="s">
        <v>353</v>
      </c>
      <c r="B14" s="103">
        <v>45309</v>
      </c>
      <c r="C14" s="102">
        <v>31538.400000000001</v>
      </c>
    </row>
    <row r="15" spans="1:6">
      <c r="A15" s="102" t="s">
        <v>353</v>
      </c>
      <c r="B15" s="103">
        <v>45308</v>
      </c>
      <c r="C15" s="102">
        <v>31699.64</v>
      </c>
    </row>
    <row r="16" spans="1:6">
      <c r="A16" s="102" t="s">
        <v>353</v>
      </c>
      <c r="B16" s="103">
        <v>45307</v>
      </c>
      <c r="C16" s="102">
        <v>32376.1</v>
      </c>
    </row>
    <row r="17" spans="1:3">
      <c r="A17" s="102" t="s">
        <v>353</v>
      </c>
      <c r="B17" s="103">
        <v>45306</v>
      </c>
      <c r="C17" s="102">
        <v>32471.8</v>
      </c>
    </row>
    <row r="18" spans="1:3">
      <c r="A18" s="102" t="s">
        <v>353</v>
      </c>
      <c r="B18" s="103">
        <v>45303</v>
      </c>
      <c r="C18" s="102">
        <v>32173.66</v>
      </c>
    </row>
    <row r="19" spans="1:3">
      <c r="A19" s="102" t="s">
        <v>353</v>
      </c>
      <c r="B19" s="103">
        <v>45302</v>
      </c>
      <c r="C19" s="102">
        <v>31810.18</v>
      </c>
    </row>
    <row r="20" spans="1:3">
      <c r="A20" s="102" t="s">
        <v>353</v>
      </c>
      <c r="B20" s="103">
        <v>45301</v>
      </c>
      <c r="C20" s="102">
        <v>31768.3</v>
      </c>
    </row>
    <row r="21" spans="1:3">
      <c r="A21" s="102" t="s">
        <v>353</v>
      </c>
      <c r="B21" s="103">
        <v>45300</v>
      </c>
      <c r="C21" s="102">
        <v>31659.81</v>
      </c>
    </row>
    <row r="22" spans="1:3">
      <c r="A22" s="102" t="s">
        <v>353</v>
      </c>
      <c r="B22" s="103">
        <v>45299</v>
      </c>
      <c r="C22" s="102">
        <v>31613.01</v>
      </c>
    </row>
    <row r="23" spans="1:3">
      <c r="A23" s="102" t="s">
        <v>353</v>
      </c>
      <c r="B23" s="103">
        <v>45296</v>
      </c>
      <c r="C23" s="102">
        <v>31903.69</v>
      </c>
    </row>
    <row r="24" spans="1:3">
      <c r="A24" s="102" t="s">
        <v>353</v>
      </c>
      <c r="B24" s="103">
        <v>45295</v>
      </c>
      <c r="C24" s="102">
        <v>31826.97</v>
      </c>
    </row>
    <row r="25" spans="1:3">
      <c r="A25" s="102" t="s">
        <v>353</v>
      </c>
      <c r="B25" s="103">
        <v>45294</v>
      </c>
      <c r="C25" s="102">
        <v>31619.360000000001</v>
      </c>
    </row>
    <row r="26" spans="1:3">
      <c r="A26" s="102" t="s">
        <v>353</v>
      </c>
      <c r="B26" s="103">
        <v>45293</v>
      </c>
      <c r="C26" s="102">
        <v>31837.56</v>
      </c>
    </row>
    <row r="27" spans="1:3">
      <c r="A27" s="102" t="s">
        <v>353</v>
      </c>
      <c r="B27" s="103">
        <v>45292</v>
      </c>
      <c r="C27" s="102">
        <v>31949.360000000001</v>
      </c>
    </row>
    <row r="28" spans="1:3">
      <c r="A28" s="102" t="s">
        <v>353</v>
      </c>
      <c r="B28" s="103">
        <v>45289</v>
      </c>
      <c r="C28" s="102">
        <v>31933.93</v>
      </c>
    </row>
    <row r="29" spans="1:3">
      <c r="A29" s="102" t="s">
        <v>353</v>
      </c>
      <c r="B29" s="103">
        <v>45288</v>
      </c>
      <c r="C29" s="102">
        <v>32003.47</v>
      </c>
    </row>
    <row r="30" spans="1:3">
      <c r="A30" s="102" t="s">
        <v>353</v>
      </c>
      <c r="B30" s="103">
        <v>45287</v>
      </c>
      <c r="C30" s="102">
        <v>31821.31</v>
      </c>
    </row>
    <row r="31" spans="1:3">
      <c r="A31" s="102" t="s">
        <v>353</v>
      </c>
      <c r="B31" s="103">
        <v>45286</v>
      </c>
      <c r="C31" s="102">
        <v>31507.69</v>
      </c>
    </row>
    <row r="32" spans="1:3">
      <c r="A32" s="102" t="s">
        <v>353</v>
      </c>
      <c r="B32" s="103">
        <v>45282</v>
      </c>
      <c r="C32" s="102">
        <v>31372.6</v>
      </c>
    </row>
    <row r="33" spans="1:3">
      <c r="A33" s="102" t="s">
        <v>353</v>
      </c>
      <c r="B33" s="103">
        <v>45281</v>
      </c>
      <c r="C33" s="102">
        <v>31233.93</v>
      </c>
    </row>
    <row r="34" spans="1:3">
      <c r="A34" s="102" t="s">
        <v>353</v>
      </c>
      <c r="B34" s="103">
        <v>45280</v>
      </c>
      <c r="C34" s="102">
        <v>31079.759999999998</v>
      </c>
    </row>
    <row r="35" spans="1:3">
      <c r="A35" s="102" t="s">
        <v>353</v>
      </c>
      <c r="B35" s="103">
        <v>45279</v>
      </c>
      <c r="C35" s="102">
        <v>31525</v>
      </c>
    </row>
    <row r="36" spans="1:3">
      <c r="A36" s="102" t="s">
        <v>353</v>
      </c>
      <c r="B36" s="103">
        <v>45278</v>
      </c>
      <c r="C36" s="102">
        <v>31474.35</v>
      </c>
    </row>
    <row r="37" spans="1:3">
      <c r="A37" s="102" t="s">
        <v>353</v>
      </c>
      <c r="B37" s="103">
        <v>45275</v>
      </c>
      <c r="C37" s="102">
        <v>31530.19</v>
      </c>
    </row>
    <row r="38" spans="1:3">
      <c r="A38" s="102" t="s">
        <v>353</v>
      </c>
      <c r="B38" s="103">
        <v>45274</v>
      </c>
      <c r="C38" s="102">
        <v>31127.599999999999</v>
      </c>
    </row>
    <row r="39" spans="1:3">
      <c r="A39" s="102" t="s">
        <v>353</v>
      </c>
      <c r="B39" s="103">
        <v>45273</v>
      </c>
      <c r="C39" s="102">
        <v>30750.95</v>
      </c>
    </row>
    <row r="40" spans="1:3">
      <c r="A40" s="102" t="s">
        <v>353</v>
      </c>
      <c r="B40" s="103">
        <v>45272</v>
      </c>
      <c r="C40" s="102">
        <v>30721.59</v>
      </c>
    </row>
    <row r="41" spans="1:3">
      <c r="A41" s="102" t="s">
        <v>353</v>
      </c>
      <c r="B41" s="103">
        <v>45271</v>
      </c>
      <c r="C41" s="102">
        <v>30854.9</v>
      </c>
    </row>
    <row r="42" spans="1:3">
      <c r="A42" s="102" t="s">
        <v>353</v>
      </c>
      <c r="B42" s="103">
        <v>45268</v>
      </c>
      <c r="C42" s="102">
        <v>30814.15</v>
      </c>
    </row>
    <row r="43" spans="1:3">
      <c r="A43" s="102" t="s">
        <v>353</v>
      </c>
      <c r="B43" s="103">
        <v>45267</v>
      </c>
      <c r="C43" s="102">
        <v>30713.86</v>
      </c>
    </row>
    <row r="44" spans="1:3">
      <c r="A44" s="102" t="s">
        <v>353</v>
      </c>
      <c r="B44" s="103">
        <v>45266</v>
      </c>
      <c r="C44" s="102">
        <v>30767.599999999999</v>
      </c>
    </row>
    <row r="45" spans="1:3">
      <c r="A45" s="102" t="s">
        <v>353</v>
      </c>
      <c r="B45" s="103">
        <v>45265</v>
      </c>
      <c r="C45" s="102">
        <v>30646.19</v>
      </c>
    </row>
    <row r="46" spans="1:3">
      <c r="A46" s="102" t="s">
        <v>353</v>
      </c>
      <c r="B46" s="103">
        <v>45264</v>
      </c>
      <c r="C46" s="102">
        <v>30398.91</v>
      </c>
    </row>
    <row r="47" spans="1:3">
      <c r="A47" s="102" t="s">
        <v>353</v>
      </c>
      <c r="B47" s="103">
        <v>45261</v>
      </c>
      <c r="C47" s="102">
        <v>29783.34</v>
      </c>
    </row>
    <row r="48" spans="1:3">
      <c r="A48" s="102" t="s">
        <v>353</v>
      </c>
      <c r="B48" s="103">
        <v>45260</v>
      </c>
      <c r="C48" s="102">
        <v>29585.360000000001</v>
      </c>
    </row>
    <row r="49" spans="1:3">
      <c r="A49" s="102" t="s">
        <v>353</v>
      </c>
      <c r="B49" s="103">
        <v>45259</v>
      </c>
      <c r="C49" s="102">
        <v>29531.63</v>
      </c>
    </row>
    <row r="50" spans="1:3">
      <c r="A50" s="102" t="s">
        <v>353</v>
      </c>
      <c r="B50" s="103">
        <v>45258</v>
      </c>
      <c r="C50" s="102">
        <v>29227.61</v>
      </c>
    </row>
    <row r="51" spans="1:3">
      <c r="A51" s="102" t="s">
        <v>353</v>
      </c>
      <c r="B51" s="103">
        <v>45254</v>
      </c>
      <c r="C51" s="102">
        <v>29087.95</v>
      </c>
    </row>
    <row r="52" spans="1:3">
      <c r="A52" s="102" t="s">
        <v>353</v>
      </c>
      <c r="B52" s="103">
        <v>45253</v>
      </c>
      <c r="C52" s="102">
        <v>29098.74</v>
      </c>
    </row>
    <row r="53" spans="1:3">
      <c r="A53" s="102" t="s">
        <v>353</v>
      </c>
      <c r="B53" s="103">
        <v>45252</v>
      </c>
      <c r="C53" s="102">
        <v>29113.18</v>
      </c>
    </row>
    <row r="54" spans="1:3">
      <c r="A54" s="102" t="s">
        <v>353</v>
      </c>
      <c r="B54" s="103">
        <v>45251</v>
      </c>
      <c r="C54" s="102">
        <v>29071.360000000001</v>
      </c>
    </row>
    <row r="55" spans="1:3">
      <c r="A55" s="102" t="s">
        <v>353</v>
      </c>
      <c r="B55" s="103">
        <v>45250</v>
      </c>
      <c r="C55" s="102">
        <v>28939.98</v>
      </c>
    </row>
    <row r="56" spans="1:3">
      <c r="A56" s="102" t="s">
        <v>353</v>
      </c>
      <c r="B56" s="103">
        <v>45247</v>
      </c>
      <c r="C56" s="102">
        <v>28995.52</v>
      </c>
    </row>
    <row r="57" spans="1:3">
      <c r="A57" s="102" t="s">
        <v>353</v>
      </c>
      <c r="B57" s="103">
        <v>45246</v>
      </c>
      <c r="C57" s="102">
        <v>29044.66</v>
      </c>
    </row>
    <row r="58" spans="1:3">
      <c r="A58" s="102" t="s">
        <v>353</v>
      </c>
      <c r="B58" s="103">
        <v>45245</v>
      </c>
      <c r="C58" s="102">
        <v>28906.7</v>
      </c>
    </row>
    <row r="59" spans="1:3">
      <c r="A59" s="102" t="s">
        <v>353</v>
      </c>
      <c r="B59" s="103">
        <v>45243</v>
      </c>
      <c r="C59" s="102">
        <v>28565.95</v>
      </c>
    </row>
    <row r="60" spans="1:3">
      <c r="A60" s="102" t="s">
        <v>353</v>
      </c>
      <c r="B60" s="103">
        <v>45242</v>
      </c>
      <c r="C60" s="102">
        <v>28686.47</v>
      </c>
    </row>
    <row r="61" spans="1:3">
      <c r="A61" s="102" t="s">
        <v>353</v>
      </c>
      <c r="B61" s="103">
        <v>45240</v>
      </c>
      <c r="C61" s="102">
        <v>28539.24</v>
      </c>
    </row>
    <row r="62" spans="1:3">
      <c r="A62" s="102" t="s">
        <v>353</v>
      </c>
      <c r="B62" s="103">
        <v>45239</v>
      </c>
      <c r="C62" s="102">
        <v>28495.08</v>
      </c>
    </row>
    <row r="63" spans="1:3">
      <c r="A63" s="102" t="s">
        <v>353</v>
      </c>
      <c r="B63" s="103">
        <v>45238</v>
      </c>
      <c r="C63" s="102">
        <v>28565.86</v>
      </c>
    </row>
    <row r="64" spans="1:3">
      <c r="A64" s="102" t="s">
        <v>353</v>
      </c>
      <c r="B64" s="103">
        <v>45237</v>
      </c>
      <c r="C64" s="102">
        <v>28511.81</v>
      </c>
    </row>
    <row r="65" spans="1:3">
      <c r="A65" s="102" t="s">
        <v>353</v>
      </c>
      <c r="B65" s="103">
        <v>45236</v>
      </c>
      <c r="C65" s="102">
        <v>28519.25</v>
      </c>
    </row>
    <row r="66" spans="1:3">
      <c r="A66" s="102" t="s">
        <v>353</v>
      </c>
      <c r="B66" s="103">
        <v>45233</v>
      </c>
      <c r="C66" s="102">
        <v>28253.09</v>
      </c>
    </row>
    <row r="67" spans="1:3">
      <c r="A67" s="102" t="s">
        <v>353</v>
      </c>
      <c r="B67" s="103">
        <v>45232</v>
      </c>
      <c r="C67" s="102">
        <v>28105.75</v>
      </c>
    </row>
    <row r="68" spans="1:3">
      <c r="A68" s="102" t="s">
        <v>353</v>
      </c>
      <c r="B68" s="103">
        <v>45231</v>
      </c>
      <c r="C68" s="102">
        <v>27886.240000000002</v>
      </c>
    </row>
    <row r="69" spans="1:3">
      <c r="A69" s="102" t="s">
        <v>353</v>
      </c>
      <c r="B69" s="103">
        <v>45230</v>
      </c>
      <c r="C69" s="102">
        <v>28017.360000000001</v>
      </c>
    </row>
    <row r="70" spans="1:3">
      <c r="A70" s="102" t="s">
        <v>353</v>
      </c>
      <c r="B70" s="103">
        <v>45229</v>
      </c>
      <c r="C70" s="102">
        <v>28107.42</v>
      </c>
    </row>
    <row r="71" spans="1:3">
      <c r="A71" s="102" t="s">
        <v>353</v>
      </c>
      <c r="B71" s="103">
        <v>45226</v>
      </c>
      <c r="C71" s="102">
        <v>27969.919999999998</v>
      </c>
    </row>
    <row r="72" spans="1:3">
      <c r="A72" s="102" t="s">
        <v>353</v>
      </c>
      <c r="B72" s="103">
        <v>45225</v>
      </c>
      <c r="C72" s="102">
        <v>27690.29</v>
      </c>
    </row>
    <row r="73" spans="1:3">
      <c r="A73" s="102" t="s">
        <v>353</v>
      </c>
      <c r="B73" s="103">
        <v>45224</v>
      </c>
      <c r="C73" s="102">
        <v>28079.26</v>
      </c>
    </row>
    <row r="74" spans="1:3">
      <c r="A74" s="102" t="s">
        <v>353</v>
      </c>
      <c r="B74" s="103">
        <v>45222</v>
      </c>
      <c r="C74" s="102">
        <v>28291.96</v>
      </c>
    </row>
    <row r="75" spans="1:3">
      <c r="A75" s="102" t="s">
        <v>353</v>
      </c>
      <c r="B75" s="103">
        <v>45219</v>
      </c>
      <c r="C75" s="102">
        <v>28674.78</v>
      </c>
    </row>
    <row r="76" spans="1:3">
      <c r="A76" s="102" t="s">
        <v>353</v>
      </c>
      <c r="B76" s="103">
        <v>45218</v>
      </c>
      <c r="C76" s="102">
        <v>28790.880000000001</v>
      </c>
    </row>
    <row r="77" spans="1:3">
      <c r="A77" s="102" t="s">
        <v>353</v>
      </c>
      <c r="B77" s="103">
        <v>45217</v>
      </c>
      <c r="C77" s="102">
        <v>28855.87</v>
      </c>
    </row>
    <row r="78" spans="1:3">
      <c r="A78" s="102" t="s">
        <v>353</v>
      </c>
      <c r="B78" s="103">
        <v>45216</v>
      </c>
      <c r="C78" s="102">
        <v>29061.8</v>
      </c>
    </row>
    <row r="79" spans="1:3">
      <c r="A79" s="102" t="s">
        <v>353</v>
      </c>
      <c r="B79" s="103">
        <v>45215</v>
      </c>
      <c r="C79" s="102">
        <v>28944.87</v>
      </c>
    </row>
    <row r="80" spans="1:3">
      <c r="A80" s="102" t="s">
        <v>353</v>
      </c>
      <c r="B80" s="103">
        <v>45212</v>
      </c>
      <c r="C80" s="102">
        <v>28973.14</v>
      </c>
    </row>
    <row r="81" spans="1:3">
      <c r="A81" s="102" t="s">
        <v>353</v>
      </c>
      <c r="B81" s="103">
        <v>45211</v>
      </c>
      <c r="C81" s="102">
        <v>29036.17</v>
      </c>
    </row>
    <row r="82" spans="1:3">
      <c r="A82" s="102" t="s">
        <v>353</v>
      </c>
      <c r="B82" s="103">
        <v>45210</v>
      </c>
      <c r="C82" s="102">
        <v>29061.61</v>
      </c>
    </row>
    <row r="83" spans="1:3">
      <c r="A83" s="102" t="s">
        <v>353</v>
      </c>
      <c r="B83" s="103">
        <v>45209</v>
      </c>
      <c r="C83" s="102">
        <v>28883.35</v>
      </c>
    </row>
    <row r="84" spans="1:3">
      <c r="A84" s="102" t="s">
        <v>353</v>
      </c>
      <c r="B84" s="103">
        <v>45208</v>
      </c>
      <c r="C84" s="102">
        <v>28622.98</v>
      </c>
    </row>
    <row r="85" spans="1:3">
      <c r="A85" s="102" t="s">
        <v>353</v>
      </c>
      <c r="B85" s="103">
        <v>45205</v>
      </c>
      <c r="C85" s="102">
        <v>28830.080000000002</v>
      </c>
    </row>
    <row r="86" spans="1:3">
      <c r="A86" s="102" t="s">
        <v>353</v>
      </c>
      <c r="B86" s="103">
        <v>45204</v>
      </c>
      <c r="C86" s="102">
        <v>28671.97</v>
      </c>
    </row>
    <row r="87" spans="1:3">
      <c r="A87" s="102" t="s">
        <v>353</v>
      </c>
      <c r="B87" s="103">
        <v>45203</v>
      </c>
      <c r="C87" s="102">
        <v>28511.13</v>
      </c>
    </row>
    <row r="88" spans="1:3">
      <c r="A88" s="102" t="s">
        <v>353</v>
      </c>
      <c r="B88" s="103">
        <v>45202</v>
      </c>
      <c r="C88" s="102">
        <v>28647.040000000001</v>
      </c>
    </row>
    <row r="89" spans="1:3">
      <c r="A89" s="102" t="s">
        <v>353</v>
      </c>
      <c r="B89" s="103">
        <v>45198</v>
      </c>
      <c r="C89" s="102">
        <v>28807.77</v>
      </c>
    </row>
    <row r="90" spans="1:3">
      <c r="A90" s="102" t="s">
        <v>353</v>
      </c>
      <c r="B90" s="103">
        <v>45197</v>
      </c>
      <c r="C90" s="102">
        <v>28639.439999999999</v>
      </c>
    </row>
    <row r="91" spans="1:3">
      <c r="A91" s="102" t="s">
        <v>353</v>
      </c>
      <c r="B91" s="103">
        <v>45196</v>
      </c>
      <c r="C91" s="102">
        <v>28922.43</v>
      </c>
    </row>
    <row r="92" spans="1:3">
      <c r="A92" s="102" t="s">
        <v>353</v>
      </c>
      <c r="B92" s="103">
        <v>45195</v>
      </c>
      <c r="C92" s="102">
        <v>28846.47</v>
      </c>
    </row>
    <row r="93" spans="1:3">
      <c r="A93" s="102" t="s">
        <v>353</v>
      </c>
      <c r="B93" s="103">
        <v>45194</v>
      </c>
      <c r="C93" s="102">
        <v>28860.9</v>
      </c>
    </row>
    <row r="94" spans="1:3">
      <c r="A94" s="102" t="s">
        <v>353</v>
      </c>
      <c r="B94" s="103">
        <v>45191</v>
      </c>
      <c r="C94" s="102">
        <v>28860.46</v>
      </c>
    </row>
    <row r="95" spans="1:3">
      <c r="A95" s="102" t="s">
        <v>353</v>
      </c>
      <c r="B95" s="103">
        <v>45190</v>
      </c>
      <c r="C95" s="102">
        <v>28960.36</v>
      </c>
    </row>
    <row r="96" spans="1:3">
      <c r="A96" s="102" t="s">
        <v>353</v>
      </c>
      <c r="B96" s="103">
        <v>45189</v>
      </c>
      <c r="C96" s="102">
        <v>29193.69</v>
      </c>
    </row>
    <row r="97" spans="1:3">
      <c r="A97" s="102" t="s">
        <v>353</v>
      </c>
      <c r="B97" s="103">
        <v>45187</v>
      </c>
      <c r="C97" s="102">
        <v>29533.91</v>
      </c>
    </row>
    <row r="98" spans="1:3">
      <c r="A98" s="102" t="s">
        <v>353</v>
      </c>
      <c r="B98" s="103">
        <v>45184</v>
      </c>
      <c r="C98" s="102">
        <v>29620.53</v>
      </c>
    </row>
    <row r="99" spans="1:3">
      <c r="A99" s="102" t="s">
        <v>353</v>
      </c>
      <c r="B99" s="103">
        <v>45183</v>
      </c>
      <c r="C99" s="102">
        <v>29489.61</v>
      </c>
    </row>
    <row r="100" spans="1:3">
      <c r="A100" s="102" t="s">
        <v>353</v>
      </c>
      <c r="B100" s="103">
        <v>45182</v>
      </c>
      <c r="C100" s="102">
        <v>29441.040000000001</v>
      </c>
    </row>
    <row r="101" spans="1:3">
      <c r="A101" s="102" t="s">
        <v>353</v>
      </c>
      <c r="B101" s="103">
        <v>45181</v>
      </c>
      <c r="C101" s="102">
        <v>29328.37</v>
      </c>
    </row>
    <row r="102" spans="1:3">
      <c r="A102" s="102" t="s">
        <v>353</v>
      </c>
      <c r="B102" s="103">
        <v>45180</v>
      </c>
      <c r="C102" s="102">
        <v>29333</v>
      </c>
    </row>
    <row r="103" spans="1:3">
      <c r="A103" s="102" t="s">
        <v>353</v>
      </c>
      <c r="B103" s="103">
        <v>45177</v>
      </c>
      <c r="C103" s="102">
        <v>29074.22</v>
      </c>
    </row>
    <row r="104" spans="1:3">
      <c r="A104" s="102" t="s">
        <v>353</v>
      </c>
      <c r="B104" s="103">
        <v>45176</v>
      </c>
      <c r="C104" s="102">
        <v>28937.96</v>
      </c>
    </row>
    <row r="105" spans="1:3">
      <c r="A105" s="102" t="s">
        <v>353</v>
      </c>
      <c r="B105" s="103">
        <v>45175</v>
      </c>
      <c r="C105" s="102">
        <v>28767.78</v>
      </c>
    </row>
    <row r="106" spans="1:3">
      <c r="A106" s="102" t="s">
        <v>353</v>
      </c>
      <c r="B106" s="103">
        <v>45174</v>
      </c>
      <c r="C106" s="102">
        <v>28714.78</v>
      </c>
    </row>
    <row r="107" spans="1:3">
      <c r="A107" s="102" t="s">
        <v>353</v>
      </c>
      <c r="B107" s="103">
        <v>45173</v>
      </c>
      <c r="C107" s="102">
        <v>28647.16</v>
      </c>
    </row>
    <row r="108" spans="1:3">
      <c r="A108" s="102" t="s">
        <v>353</v>
      </c>
      <c r="B108" s="103">
        <v>45170</v>
      </c>
      <c r="C108" s="102">
        <v>28509.94</v>
      </c>
    </row>
    <row r="109" spans="1:3">
      <c r="A109" s="102" t="s">
        <v>353</v>
      </c>
      <c r="B109" s="103">
        <v>45169</v>
      </c>
      <c r="C109" s="102">
        <v>28243.74</v>
      </c>
    </row>
    <row r="110" spans="1:3">
      <c r="A110" s="102" t="s">
        <v>353</v>
      </c>
      <c r="B110" s="103">
        <v>45168</v>
      </c>
      <c r="C110" s="102">
        <v>28381.13</v>
      </c>
    </row>
    <row r="111" spans="1:3">
      <c r="A111" s="102" t="s">
        <v>353</v>
      </c>
      <c r="B111" s="103">
        <v>45167</v>
      </c>
      <c r="C111" s="102">
        <v>28374.03</v>
      </c>
    </row>
    <row r="112" spans="1:3">
      <c r="A112" s="102" t="s">
        <v>353</v>
      </c>
      <c r="B112" s="103">
        <v>45166</v>
      </c>
      <c r="C112" s="102">
        <v>28320.400000000001</v>
      </c>
    </row>
    <row r="113" spans="1:3">
      <c r="A113" s="102" t="s">
        <v>353</v>
      </c>
      <c r="B113" s="103">
        <v>45163</v>
      </c>
      <c r="C113" s="102">
        <v>28261.32</v>
      </c>
    </row>
    <row r="114" spans="1:3">
      <c r="A114" s="102" t="s">
        <v>353</v>
      </c>
      <c r="B114" s="103">
        <v>45162</v>
      </c>
      <c r="C114" s="102">
        <v>28438.68</v>
      </c>
    </row>
    <row r="115" spans="1:3">
      <c r="A115" s="102" t="s">
        <v>353</v>
      </c>
      <c r="B115" s="103">
        <v>45161</v>
      </c>
      <c r="C115" s="102">
        <v>28522.76</v>
      </c>
    </row>
    <row r="116" spans="1:3">
      <c r="A116" s="102" t="s">
        <v>353</v>
      </c>
      <c r="B116" s="103">
        <v>45160</v>
      </c>
      <c r="C116" s="102">
        <v>28453.01</v>
      </c>
    </row>
    <row r="117" spans="1:3">
      <c r="A117" s="102" t="s">
        <v>353</v>
      </c>
      <c r="B117" s="103">
        <v>45159</v>
      </c>
      <c r="C117" s="102">
        <v>28448.83</v>
      </c>
    </row>
    <row r="118" spans="1:3">
      <c r="A118" s="102" t="s">
        <v>353</v>
      </c>
      <c r="B118" s="103">
        <v>45156</v>
      </c>
      <c r="C118" s="102">
        <v>28316.31</v>
      </c>
    </row>
    <row r="119" spans="1:3">
      <c r="A119" s="102" t="s">
        <v>353</v>
      </c>
      <c r="B119" s="103">
        <v>45155</v>
      </c>
      <c r="C119" s="102">
        <v>28393.16</v>
      </c>
    </row>
    <row r="120" spans="1:3">
      <c r="A120" s="102" t="s">
        <v>353</v>
      </c>
      <c r="B120" s="103">
        <v>45154</v>
      </c>
      <c r="C120" s="102">
        <v>28539.38</v>
      </c>
    </row>
    <row r="121" spans="1:3">
      <c r="A121" s="102" t="s">
        <v>353</v>
      </c>
      <c r="B121" s="103">
        <v>45152</v>
      </c>
      <c r="C121" s="102">
        <v>28494.78</v>
      </c>
    </row>
    <row r="122" spans="1:3">
      <c r="A122" s="102" t="s">
        <v>353</v>
      </c>
      <c r="B122" s="103">
        <v>45149</v>
      </c>
      <c r="C122" s="102">
        <v>28482.45</v>
      </c>
    </row>
    <row r="123" spans="1:3">
      <c r="A123" s="102" t="s">
        <v>353</v>
      </c>
      <c r="B123" s="103">
        <v>45148</v>
      </c>
      <c r="C123" s="102">
        <v>28638.92</v>
      </c>
    </row>
    <row r="124" spans="1:3">
      <c r="A124" s="102" t="s">
        <v>353</v>
      </c>
      <c r="B124" s="103">
        <v>45147</v>
      </c>
      <c r="C124" s="102">
        <v>28769.97</v>
      </c>
    </row>
    <row r="125" spans="1:3">
      <c r="A125" s="102" t="s">
        <v>353</v>
      </c>
      <c r="B125" s="103">
        <v>45146</v>
      </c>
      <c r="C125" s="102">
        <v>28661.08</v>
      </c>
    </row>
    <row r="126" spans="1:3">
      <c r="A126" s="102" t="s">
        <v>353</v>
      </c>
      <c r="B126" s="103">
        <v>45145</v>
      </c>
      <c r="C126" s="102">
        <v>28699.8</v>
      </c>
    </row>
    <row r="127" spans="1:3">
      <c r="A127" s="102" t="s">
        <v>353</v>
      </c>
      <c r="B127" s="103">
        <v>45142</v>
      </c>
      <c r="C127" s="102">
        <v>28582.25</v>
      </c>
    </row>
    <row r="128" spans="1:3">
      <c r="A128" s="102" t="s">
        <v>353</v>
      </c>
      <c r="B128" s="103">
        <v>45141</v>
      </c>
      <c r="C128" s="102">
        <v>28383.279999999999</v>
      </c>
    </row>
    <row r="129" spans="1:3">
      <c r="A129" s="102" t="s">
        <v>353</v>
      </c>
      <c r="B129" s="103">
        <v>45140</v>
      </c>
      <c r="C129" s="102">
        <v>28589.81</v>
      </c>
    </row>
    <row r="130" spans="1:3">
      <c r="A130" s="102" t="s">
        <v>353</v>
      </c>
      <c r="B130" s="103">
        <v>45139</v>
      </c>
      <c r="C130" s="102">
        <v>28880.78</v>
      </c>
    </row>
    <row r="131" spans="1:3">
      <c r="A131" s="102" t="s">
        <v>353</v>
      </c>
      <c r="B131" s="103">
        <v>45138</v>
      </c>
      <c r="C131" s="102">
        <v>28910.43</v>
      </c>
    </row>
    <row r="132" spans="1:3">
      <c r="A132" s="102" t="s">
        <v>353</v>
      </c>
      <c r="B132" s="103">
        <v>45135</v>
      </c>
      <c r="C132" s="102">
        <v>28752.69</v>
      </c>
    </row>
    <row r="133" spans="1:3">
      <c r="A133" s="102" t="s">
        <v>353</v>
      </c>
      <c r="B133" s="103">
        <v>45134</v>
      </c>
      <c r="C133" s="102">
        <v>28769.02</v>
      </c>
    </row>
    <row r="134" spans="1:3">
      <c r="A134" s="102" t="s">
        <v>353</v>
      </c>
      <c r="B134" s="103">
        <v>45133</v>
      </c>
      <c r="C134" s="102">
        <v>28939.3</v>
      </c>
    </row>
    <row r="135" spans="1:3">
      <c r="A135" s="102" t="s">
        <v>353</v>
      </c>
      <c r="B135" s="103">
        <v>45132</v>
      </c>
      <c r="C135" s="102">
        <v>28796.35</v>
      </c>
    </row>
    <row r="136" spans="1:3">
      <c r="A136" s="102" t="s">
        <v>353</v>
      </c>
      <c r="B136" s="103">
        <v>45131</v>
      </c>
      <c r="C136" s="102">
        <v>28784.26</v>
      </c>
    </row>
    <row r="137" spans="1:3">
      <c r="A137" s="102" t="s">
        <v>353</v>
      </c>
      <c r="B137" s="103">
        <v>45128</v>
      </c>
      <c r="C137" s="102">
        <v>28890.53</v>
      </c>
    </row>
    <row r="138" spans="1:3">
      <c r="A138" s="102" t="s">
        <v>353</v>
      </c>
      <c r="B138" s="103">
        <v>45127</v>
      </c>
      <c r="C138" s="102">
        <v>29231.71</v>
      </c>
    </row>
    <row r="139" spans="1:3">
      <c r="A139" s="102" t="s">
        <v>353</v>
      </c>
      <c r="B139" s="103">
        <v>45126</v>
      </c>
      <c r="C139" s="102">
        <v>29011.55</v>
      </c>
    </row>
    <row r="140" spans="1:3">
      <c r="A140" s="102" t="s">
        <v>353</v>
      </c>
      <c r="B140" s="103">
        <v>45125</v>
      </c>
      <c r="C140" s="102">
        <v>28888.85</v>
      </c>
    </row>
    <row r="141" spans="1:3">
      <c r="A141" s="102" t="s">
        <v>353</v>
      </c>
      <c r="B141" s="103">
        <v>45124</v>
      </c>
      <c r="C141" s="102">
        <v>28833.54</v>
      </c>
    </row>
    <row r="142" spans="1:3">
      <c r="A142" s="102" t="s">
        <v>353</v>
      </c>
      <c r="B142" s="103">
        <v>45121</v>
      </c>
      <c r="C142" s="102">
        <v>28618.6</v>
      </c>
    </row>
    <row r="143" spans="1:3">
      <c r="A143" s="102" t="s">
        <v>353</v>
      </c>
      <c r="B143" s="103">
        <v>45120</v>
      </c>
      <c r="C143" s="102">
        <v>28393.32</v>
      </c>
    </row>
    <row r="144" spans="1:3">
      <c r="A144" s="102" t="s">
        <v>353</v>
      </c>
      <c r="B144" s="103">
        <v>45119</v>
      </c>
      <c r="C144" s="102">
        <v>28348.880000000001</v>
      </c>
    </row>
    <row r="145" spans="1:3">
      <c r="A145" s="102" t="s">
        <v>353</v>
      </c>
      <c r="B145" s="103">
        <v>45118</v>
      </c>
      <c r="C145" s="102">
        <v>28429.42</v>
      </c>
    </row>
    <row r="146" spans="1:3">
      <c r="A146" s="102" t="s">
        <v>353</v>
      </c>
      <c r="B146" s="103">
        <v>45117</v>
      </c>
      <c r="C146" s="102">
        <v>28304.66</v>
      </c>
    </row>
    <row r="147" spans="1:3">
      <c r="A147" s="102" t="s">
        <v>353</v>
      </c>
      <c r="B147" s="103">
        <v>45114</v>
      </c>
      <c r="C147" s="102">
        <v>28269.43</v>
      </c>
    </row>
    <row r="148" spans="1:3">
      <c r="A148" s="102" t="s">
        <v>353</v>
      </c>
      <c r="B148" s="103">
        <v>45113</v>
      </c>
      <c r="C148" s="102">
        <v>28510.39</v>
      </c>
    </row>
    <row r="149" spans="1:3">
      <c r="A149" s="102" t="s">
        <v>353</v>
      </c>
      <c r="B149" s="103">
        <v>45112</v>
      </c>
      <c r="C149" s="102">
        <v>28365.96</v>
      </c>
    </row>
    <row r="150" spans="1:3">
      <c r="A150" s="102" t="s">
        <v>353</v>
      </c>
      <c r="B150" s="103">
        <v>45111</v>
      </c>
      <c r="C150" s="102">
        <v>28352.01</v>
      </c>
    </row>
    <row r="151" spans="1:3">
      <c r="A151" s="102" t="s">
        <v>353</v>
      </c>
      <c r="B151" s="103">
        <v>45110</v>
      </c>
      <c r="C151" s="102">
        <v>28254.9</v>
      </c>
    </row>
    <row r="152" spans="1:3">
      <c r="A152" s="102" t="s">
        <v>353</v>
      </c>
      <c r="B152" s="103">
        <v>45107</v>
      </c>
      <c r="C152" s="102">
        <v>28059.65</v>
      </c>
    </row>
    <row r="153" spans="1:3">
      <c r="A153" s="102" t="s">
        <v>353</v>
      </c>
      <c r="B153" s="103">
        <v>45105</v>
      </c>
      <c r="C153" s="102">
        <v>27739.64</v>
      </c>
    </row>
    <row r="154" spans="1:3">
      <c r="A154" s="102" t="s">
        <v>353</v>
      </c>
      <c r="B154" s="103">
        <v>45104</v>
      </c>
      <c r="C154" s="102">
        <v>27513.45</v>
      </c>
    </row>
    <row r="155" spans="1:3">
      <c r="A155" s="102" t="s">
        <v>353</v>
      </c>
      <c r="B155" s="103">
        <v>45103</v>
      </c>
      <c r="C155" s="102">
        <v>27328.91</v>
      </c>
    </row>
    <row r="156" spans="1:3">
      <c r="A156" s="102" t="s">
        <v>353</v>
      </c>
      <c r="B156" s="103">
        <v>45100</v>
      </c>
      <c r="C156" s="102">
        <v>27291.39</v>
      </c>
    </row>
    <row r="157" spans="1:3">
      <c r="A157" s="102" t="s">
        <v>353</v>
      </c>
      <c r="B157" s="103">
        <v>45099</v>
      </c>
      <c r="C157" s="102">
        <v>27445.97</v>
      </c>
    </row>
    <row r="158" spans="1:3">
      <c r="A158" s="102" t="s">
        <v>353</v>
      </c>
      <c r="B158" s="103">
        <v>45098</v>
      </c>
      <c r="C158" s="102">
        <v>27571.14</v>
      </c>
    </row>
    <row r="159" spans="1:3">
      <c r="A159" s="102" t="s">
        <v>353</v>
      </c>
      <c r="B159" s="103">
        <v>45097</v>
      </c>
      <c r="C159" s="102">
        <v>27512.41</v>
      </c>
    </row>
    <row r="160" spans="1:3">
      <c r="A160" s="102" t="s">
        <v>353</v>
      </c>
      <c r="B160" s="103">
        <v>45096</v>
      </c>
      <c r="C160" s="102">
        <v>27422.87</v>
      </c>
    </row>
    <row r="161" spans="1:3">
      <c r="A161" s="102" t="s">
        <v>353</v>
      </c>
      <c r="B161" s="103">
        <v>45093</v>
      </c>
      <c r="C161" s="102">
        <v>27519.439999999999</v>
      </c>
    </row>
    <row r="162" spans="1:3">
      <c r="A162" s="102" t="s">
        <v>353</v>
      </c>
      <c r="B162" s="103">
        <v>45092</v>
      </c>
      <c r="C162" s="102">
        <v>27317.25</v>
      </c>
    </row>
    <row r="163" spans="1:3">
      <c r="A163" s="102" t="s">
        <v>353</v>
      </c>
      <c r="B163" s="103">
        <v>45091</v>
      </c>
      <c r="C163" s="102">
        <v>27408.12</v>
      </c>
    </row>
    <row r="164" spans="1:3">
      <c r="A164" s="102" t="s">
        <v>353</v>
      </c>
      <c r="B164" s="103">
        <v>45090</v>
      </c>
      <c r="C164" s="102">
        <v>27350.09</v>
      </c>
    </row>
    <row r="165" spans="1:3">
      <c r="A165" s="102" t="s">
        <v>353</v>
      </c>
      <c r="B165" s="103">
        <v>45089</v>
      </c>
      <c r="C165" s="102">
        <v>27182.55</v>
      </c>
    </row>
    <row r="166" spans="1:3">
      <c r="A166" s="102" t="s">
        <v>353</v>
      </c>
      <c r="B166" s="103">
        <v>45086</v>
      </c>
      <c r="C166" s="102">
        <v>27126.86</v>
      </c>
    </row>
    <row r="167" spans="1:3">
      <c r="A167" s="102" t="s">
        <v>353</v>
      </c>
      <c r="B167" s="103">
        <v>45085</v>
      </c>
      <c r="C167" s="102">
        <v>27227.59</v>
      </c>
    </row>
    <row r="168" spans="1:3">
      <c r="A168" s="102" t="s">
        <v>353</v>
      </c>
      <c r="B168" s="103">
        <v>45084</v>
      </c>
      <c r="C168" s="102">
        <v>27361.85</v>
      </c>
    </row>
    <row r="169" spans="1:3">
      <c r="A169" s="102" t="s">
        <v>353</v>
      </c>
      <c r="B169" s="103">
        <v>45083</v>
      </c>
      <c r="C169" s="102">
        <v>27175.7</v>
      </c>
    </row>
    <row r="170" spans="1:3">
      <c r="A170" s="102" t="s">
        <v>353</v>
      </c>
      <c r="B170" s="103">
        <v>45082</v>
      </c>
      <c r="C170" s="102">
        <v>27168.13</v>
      </c>
    </row>
    <row r="171" spans="1:3">
      <c r="A171" s="102" t="s">
        <v>353</v>
      </c>
      <c r="B171" s="103">
        <v>45079</v>
      </c>
      <c r="C171" s="102">
        <v>27080.87</v>
      </c>
    </row>
    <row r="172" spans="1:3">
      <c r="A172" s="102" t="s">
        <v>353</v>
      </c>
      <c r="B172" s="103">
        <v>45078</v>
      </c>
      <c r="C172" s="102">
        <v>26989.35</v>
      </c>
    </row>
    <row r="173" spans="1:3">
      <c r="A173" s="102" t="s">
        <v>353</v>
      </c>
      <c r="B173" s="103">
        <v>45077</v>
      </c>
      <c r="C173" s="102">
        <v>27057.439999999999</v>
      </c>
    </row>
    <row r="174" spans="1:3">
      <c r="A174" s="102" t="s">
        <v>353</v>
      </c>
      <c r="B174" s="103">
        <v>45076</v>
      </c>
      <c r="C174" s="102">
        <v>27188.18</v>
      </c>
    </row>
    <row r="175" spans="1:3">
      <c r="A175" s="102" t="s">
        <v>353</v>
      </c>
      <c r="B175" s="103">
        <v>45075</v>
      </c>
      <c r="C175" s="102">
        <v>27136.82</v>
      </c>
    </row>
    <row r="176" spans="1:3">
      <c r="A176" s="102" t="s">
        <v>353</v>
      </c>
      <c r="B176" s="103">
        <v>45072</v>
      </c>
      <c r="C176" s="102">
        <v>26991.87</v>
      </c>
    </row>
    <row r="177" spans="1:3">
      <c r="A177" s="102" t="s">
        <v>353</v>
      </c>
      <c r="B177" s="103">
        <v>45071</v>
      </c>
      <c r="C177" s="102">
        <v>26731.86</v>
      </c>
    </row>
    <row r="178" spans="1:3">
      <c r="A178" s="102" t="s">
        <v>353</v>
      </c>
      <c r="B178" s="103">
        <v>45070</v>
      </c>
      <c r="C178" s="102">
        <v>26679.72</v>
      </c>
    </row>
    <row r="179" spans="1:3">
      <c r="A179" s="102" t="s">
        <v>353</v>
      </c>
      <c r="B179" s="103">
        <v>45069</v>
      </c>
      <c r="C179" s="102">
        <v>26771.1</v>
      </c>
    </row>
    <row r="180" spans="1:3">
      <c r="A180" s="102" t="s">
        <v>353</v>
      </c>
      <c r="B180" s="103">
        <v>45068</v>
      </c>
      <c r="C180" s="102">
        <v>26722.03</v>
      </c>
    </row>
    <row r="181" spans="1:3">
      <c r="A181" s="102" t="s">
        <v>353</v>
      </c>
      <c r="B181" s="103">
        <v>45065</v>
      </c>
      <c r="C181" s="102">
        <v>26560.1</v>
      </c>
    </row>
    <row r="182" spans="1:3">
      <c r="A182" s="102" t="s">
        <v>353</v>
      </c>
      <c r="B182" s="103">
        <v>45064</v>
      </c>
      <c r="C182" s="102">
        <v>26451.26</v>
      </c>
    </row>
    <row r="183" spans="1:3">
      <c r="A183" s="102" t="s">
        <v>353</v>
      </c>
      <c r="B183" s="103">
        <v>45063</v>
      </c>
      <c r="C183" s="102">
        <v>26526.82</v>
      </c>
    </row>
    <row r="184" spans="1:3">
      <c r="A184" s="102" t="s">
        <v>353</v>
      </c>
      <c r="B184" s="103">
        <v>45062</v>
      </c>
      <c r="C184" s="102">
        <v>26679.67</v>
      </c>
    </row>
    <row r="185" spans="1:3">
      <c r="A185" s="102" t="s">
        <v>353</v>
      </c>
      <c r="B185" s="103">
        <v>45061</v>
      </c>
      <c r="C185" s="102">
        <v>26789.02</v>
      </c>
    </row>
    <row r="186" spans="1:3">
      <c r="A186" s="102" t="s">
        <v>353</v>
      </c>
      <c r="B186" s="103">
        <v>45058</v>
      </c>
      <c r="C186" s="102">
        <v>26666.67</v>
      </c>
    </row>
    <row r="187" spans="1:3">
      <c r="A187" s="102" t="s">
        <v>353</v>
      </c>
      <c r="B187" s="103">
        <v>45057</v>
      </c>
      <c r="C187" s="102">
        <v>26640.77</v>
      </c>
    </row>
    <row r="188" spans="1:3">
      <c r="A188" s="102" t="s">
        <v>353</v>
      </c>
      <c r="B188" s="103">
        <v>45056</v>
      </c>
      <c r="C188" s="102">
        <v>26667.11</v>
      </c>
    </row>
    <row r="189" spans="1:3">
      <c r="A189" s="102" t="s">
        <v>353</v>
      </c>
      <c r="B189" s="103">
        <v>45055</v>
      </c>
      <c r="C189" s="102">
        <v>26595.52</v>
      </c>
    </row>
    <row r="190" spans="1:3">
      <c r="A190" s="102" t="s">
        <v>353</v>
      </c>
      <c r="B190" s="103">
        <v>45054</v>
      </c>
      <c r="C190" s="102">
        <v>26593.29</v>
      </c>
    </row>
    <row r="191" spans="1:3">
      <c r="A191" s="102" t="s">
        <v>353</v>
      </c>
      <c r="B191" s="103">
        <v>45051</v>
      </c>
      <c r="C191" s="102">
        <v>26308.78</v>
      </c>
    </row>
    <row r="192" spans="1:3">
      <c r="A192" s="102" t="s">
        <v>353</v>
      </c>
      <c r="B192" s="103">
        <v>45050</v>
      </c>
      <c r="C192" s="102">
        <v>26580.77</v>
      </c>
    </row>
    <row r="193" spans="1:3">
      <c r="A193" s="102" t="s">
        <v>353</v>
      </c>
      <c r="B193" s="103">
        <v>45049</v>
      </c>
      <c r="C193" s="102">
        <v>26339.14</v>
      </c>
    </row>
    <row r="194" spans="1:3">
      <c r="A194" s="102" t="s">
        <v>353</v>
      </c>
      <c r="B194" s="103">
        <v>45048</v>
      </c>
      <c r="C194" s="102">
        <v>26423.3</v>
      </c>
    </row>
    <row r="195" spans="1:3">
      <c r="A195" s="102" t="s">
        <v>353</v>
      </c>
      <c r="B195" s="103">
        <v>45044</v>
      </c>
      <c r="C195" s="102">
        <v>26302.92</v>
      </c>
    </row>
    <row r="196" spans="1:3">
      <c r="A196" s="102" t="s">
        <v>353</v>
      </c>
      <c r="B196" s="103">
        <v>45043</v>
      </c>
      <c r="C196" s="102">
        <v>26078.38</v>
      </c>
    </row>
    <row r="197" spans="1:3">
      <c r="A197" s="102" t="s">
        <v>353</v>
      </c>
      <c r="B197" s="103">
        <v>45042</v>
      </c>
      <c r="C197" s="102">
        <v>25930.7</v>
      </c>
    </row>
    <row r="198" spans="1:3">
      <c r="A198" s="102" t="s">
        <v>353</v>
      </c>
      <c r="B198" s="103">
        <v>45041</v>
      </c>
      <c r="C198" s="102">
        <v>25866.09</v>
      </c>
    </row>
    <row r="199" spans="1:3">
      <c r="A199" s="102" t="s">
        <v>353</v>
      </c>
      <c r="B199" s="103">
        <v>45040</v>
      </c>
      <c r="C199" s="102">
        <v>25828.46</v>
      </c>
    </row>
    <row r="200" spans="1:3">
      <c r="A200" s="102" t="s">
        <v>353</v>
      </c>
      <c r="B200" s="103">
        <v>45037</v>
      </c>
      <c r="C200" s="102">
        <v>25654.78</v>
      </c>
    </row>
    <row r="201" spans="1:3">
      <c r="A201" s="102" t="s">
        <v>353</v>
      </c>
      <c r="B201" s="103">
        <v>45036</v>
      </c>
      <c r="C201" s="102">
        <v>25654.16</v>
      </c>
    </row>
    <row r="202" spans="1:3">
      <c r="A202" s="102" t="s">
        <v>353</v>
      </c>
      <c r="B202" s="103">
        <v>45035</v>
      </c>
      <c r="C202" s="102">
        <v>25645.82</v>
      </c>
    </row>
    <row r="203" spans="1:3">
      <c r="A203" s="102" t="s">
        <v>353</v>
      </c>
      <c r="B203" s="103">
        <v>45034</v>
      </c>
      <c r="C203" s="102">
        <v>25706.09</v>
      </c>
    </row>
    <row r="204" spans="1:3">
      <c r="A204" s="102" t="s">
        <v>353</v>
      </c>
      <c r="B204" s="103">
        <v>45033</v>
      </c>
      <c r="C204" s="102">
        <v>25774.07</v>
      </c>
    </row>
    <row r="205" spans="1:3">
      <c r="A205" s="102" t="s">
        <v>353</v>
      </c>
      <c r="B205" s="103">
        <v>45029</v>
      </c>
      <c r="C205" s="102">
        <v>25950.39</v>
      </c>
    </row>
    <row r="206" spans="1:3">
      <c r="A206" s="102" t="s">
        <v>353</v>
      </c>
      <c r="B206" s="103">
        <v>45028</v>
      </c>
      <c r="C206" s="102">
        <v>25924.89</v>
      </c>
    </row>
    <row r="207" spans="1:3">
      <c r="A207" s="102" t="s">
        <v>353</v>
      </c>
      <c r="B207" s="103">
        <v>45027</v>
      </c>
      <c r="C207" s="102">
        <v>25793.77</v>
      </c>
    </row>
    <row r="208" spans="1:3">
      <c r="A208" s="102" t="s">
        <v>353</v>
      </c>
      <c r="B208" s="103">
        <v>45026</v>
      </c>
      <c r="C208" s="102">
        <v>25650.73</v>
      </c>
    </row>
    <row r="209" spans="1:3">
      <c r="A209" s="102" t="s">
        <v>353</v>
      </c>
      <c r="B209" s="103">
        <v>45022</v>
      </c>
      <c r="C209" s="102">
        <v>25614.55</v>
      </c>
    </row>
    <row r="210" spans="1:3">
      <c r="A210" s="102" t="s">
        <v>353</v>
      </c>
      <c r="B210" s="103">
        <v>45021</v>
      </c>
      <c r="C210" s="102">
        <v>25553.279999999999</v>
      </c>
    </row>
    <row r="211" spans="1:3">
      <c r="A211" s="102" t="s">
        <v>353</v>
      </c>
      <c r="B211" s="103">
        <v>45019</v>
      </c>
      <c r="C211" s="102">
        <v>25321.85</v>
      </c>
    </row>
    <row r="212" spans="1:3">
      <c r="A212" s="102" t="s">
        <v>353</v>
      </c>
      <c r="B212" s="103">
        <v>45016</v>
      </c>
      <c r="C212" s="102">
        <v>25266.06</v>
      </c>
    </row>
    <row r="213" spans="1:3">
      <c r="A213" s="102" t="s">
        <v>353</v>
      </c>
      <c r="B213" s="103">
        <v>45014</v>
      </c>
      <c r="C213" s="102">
        <v>24859.93</v>
      </c>
    </row>
    <row r="214" spans="1:3">
      <c r="A214" s="102" t="s">
        <v>353</v>
      </c>
      <c r="B214" s="103">
        <v>45013</v>
      </c>
      <c r="C214" s="102">
        <v>24672.17</v>
      </c>
    </row>
    <row r="215" spans="1:3">
      <c r="A215" s="102" t="s">
        <v>353</v>
      </c>
      <c r="B215" s="103">
        <v>45012</v>
      </c>
      <c r="C215" s="102">
        <v>24721.71</v>
      </c>
    </row>
    <row r="216" spans="1:3">
      <c r="A216" s="102" t="s">
        <v>353</v>
      </c>
      <c r="B216" s="103">
        <v>45009</v>
      </c>
      <c r="C216" s="102">
        <v>24662.53</v>
      </c>
    </row>
    <row r="217" spans="1:3">
      <c r="A217" s="102" t="s">
        <v>353</v>
      </c>
      <c r="B217" s="103">
        <v>45008</v>
      </c>
      <c r="C217" s="102">
        <v>24854.39</v>
      </c>
    </row>
    <row r="218" spans="1:3">
      <c r="A218" s="102" t="s">
        <v>353</v>
      </c>
      <c r="B218" s="103">
        <v>45007</v>
      </c>
      <c r="C218" s="102">
        <v>24963.55</v>
      </c>
    </row>
    <row r="219" spans="1:3">
      <c r="A219" s="102" t="s">
        <v>353</v>
      </c>
      <c r="B219" s="103">
        <v>45006</v>
      </c>
      <c r="C219" s="102">
        <v>24898.97</v>
      </c>
    </row>
    <row r="220" spans="1:3">
      <c r="A220" s="102" t="s">
        <v>353</v>
      </c>
      <c r="B220" s="103">
        <v>45005</v>
      </c>
      <c r="C220" s="102">
        <v>24725.599999999999</v>
      </c>
    </row>
    <row r="221" spans="1:3">
      <c r="A221" s="102" t="s">
        <v>353</v>
      </c>
      <c r="B221" s="103">
        <v>45002</v>
      </c>
      <c r="C221" s="102">
        <v>24888.1</v>
      </c>
    </row>
    <row r="222" spans="1:3">
      <c r="A222" s="102" t="s">
        <v>353</v>
      </c>
      <c r="B222" s="103">
        <v>45001</v>
      </c>
      <c r="C222" s="102">
        <v>24721.52</v>
      </c>
    </row>
    <row r="223" spans="1:3">
      <c r="A223" s="102" t="s">
        <v>353</v>
      </c>
      <c r="B223" s="103">
        <v>45000</v>
      </c>
      <c r="C223" s="102">
        <v>24701.599999999999</v>
      </c>
    </row>
    <row r="224" spans="1:3">
      <c r="A224" s="102" t="s">
        <v>353</v>
      </c>
      <c r="B224" s="103">
        <v>44999</v>
      </c>
      <c r="C224" s="102">
        <v>24805.11</v>
      </c>
    </row>
    <row r="225" spans="1:3">
      <c r="A225" s="102" t="s">
        <v>353</v>
      </c>
      <c r="B225" s="103">
        <v>44998</v>
      </c>
      <c r="C225" s="102">
        <v>24966.68</v>
      </c>
    </row>
    <row r="226" spans="1:3">
      <c r="A226" s="102" t="s">
        <v>353</v>
      </c>
      <c r="B226" s="103">
        <v>44995</v>
      </c>
      <c r="C226" s="102">
        <v>25343.09</v>
      </c>
    </row>
    <row r="227" spans="1:3">
      <c r="A227" s="102" t="s">
        <v>353</v>
      </c>
      <c r="B227" s="103">
        <v>44994</v>
      </c>
      <c r="C227" s="102">
        <v>25600.240000000002</v>
      </c>
    </row>
    <row r="228" spans="1:3">
      <c r="A228" s="102" t="s">
        <v>353</v>
      </c>
      <c r="B228" s="103">
        <v>44993</v>
      </c>
      <c r="C228" s="102">
        <v>25840.12</v>
      </c>
    </row>
    <row r="229" spans="1:3">
      <c r="A229" s="102" t="s">
        <v>353</v>
      </c>
      <c r="B229" s="103">
        <v>44991</v>
      </c>
      <c r="C229" s="102">
        <v>25777.599999999999</v>
      </c>
    </row>
    <row r="230" spans="1:3">
      <c r="A230" s="102" t="s">
        <v>353</v>
      </c>
      <c r="B230" s="103">
        <v>44988</v>
      </c>
      <c r="C230" s="102">
        <v>25607.14</v>
      </c>
    </row>
    <row r="231" spans="1:3">
      <c r="A231" s="102" t="s">
        <v>353</v>
      </c>
      <c r="B231" s="103">
        <v>44987</v>
      </c>
      <c r="C231" s="102">
        <v>25210.65</v>
      </c>
    </row>
    <row r="232" spans="1:3">
      <c r="A232" s="102" t="s">
        <v>353</v>
      </c>
      <c r="B232" s="103">
        <v>44986</v>
      </c>
      <c r="C232" s="102">
        <v>25398.400000000001</v>
      </c>
    </row>
    <row r="233" spans="1:3">
      <c r="A233" s="102" t="s">
        <v>353</v>
      </c>
      <c r="B233" s="103">
        <v>44985</v>
      </c>
      <c r="C233" s="102">
        <v>25184.47</v>
      </c>
    </row>
    <row r="234" spans="1:3">
      <c r="A234" s="102" t="s">
        <v>353</v>
      </c>
      <c r="B234" s="103">
        <v>44984</v>
      </c>
      <c r="C234" s="102">
        <v>25313.7</v>
      </c>
    </row>
    <row r="235" spans="1:3">
      <c r="A235" s="102" t="s">
        <v>353</v>
      </c>
      <c r="B235" s="103">
        <v>44981</v>
      </c>
      <c r="C235" s="102">
        <v>25420.07</v>
      </c>
    </row>
    <row r="236" spans="1:3">
      <c r="A236" s="102" t="s">
        <v>353</v>
      </c>
      <c r="B236" s="103">
        <v>44980</v>
      </c>
      <c r="C236" s="102">
        <v>25485.97</v>
      </c>
    </row>
    <row r="237" spans="1:3">
      <c r="A237" s="102" t="s">
        <v>353</v>
      </c>
      <c r="B237" s="103">
        <v>44979</v>
      </c>
      <c r="C237" s="102">
        <v>25548.67</v>
      </c>
    </row>
    <row r="238" spans="1:3">
      <c r="A238" s="102" t="s">
        <v>353</v>
      </c>
      <c r="B238" s="103">
        <v>44978</v>
      </c>
      <c r="C238" s="102">
        <v>25945.08</v>
      </c>
    </row>
    <row r="239" spans="1:3">
      <c r="A239" s="102" t="s">
        <v>353</v>
      </c>
      <c r="B239" s="103">
        <v>44977</v>
      </c>
      <c r="C239" s="102">
        <v>25971.19</v>
      </c>
    </row>
    <row r="240" spans="1:3">
      <c r="A240" s="102" t="s">
        <v>353</v>
      </c>
      <c r="B240" s="103">
        <v>44974</v>
      </c>
      <c r="C240" s="102">
        <v>26116.12</v>
      </c>
    </row>
    <row r="241" spans="1:3">
      <c r="A241" s="102" t="s">
        <v>353</v>
      </c>
      <c r="B241" s="103">
        <v>44973</v>
      </c>
      <c r="C241" s="102">
        <v>26249.52</v>
      </c>
    </row>
    <row r="242" spans="1:3">
      <c r="A242" s="102" t="s">
        <v>353</v>
      </c>
      <c r="B242" s="103">
        <v>44972</v>
      </c>
      <c r="C242" s="102">
        <v>26220.43</v>
      </c>
    </row>
    <row r="243" spans="1:3">
      <c r="A243" s="102" t="s">
        <v>353</v>
      </c>
      <c r="B243" s="103">
        <v>44971</v>
      </c>
      <c r="C243" s="102">
        <v>26077.93</v>
      </c>
    </row>
    <row r="244" spans="1:3">
      <c r="A244" s="102" t="s">
        <v>353</v>
      </c>
      <c r="B244" s="103">
        <v>44970</v>
      </c>
      <c r="C244" s="102">
        <v>25846.7</v>
      </c>
    </row>
    <row r="245" spans="1:3">
      <c r="A245" s="102" t="s">
        <v>353</v>
      </c>
      <c r="B245" s="103">
        <v>44967</v>
      </c>
      <c r="C245" s="102">
        <v>25971.23</v>
      </c>
    </row>
    <row r="246" spans="1:3">
      <c r="A246" s="102" t="s">
        <v>353</v>
      </c>
      <c r="B246" s="103">
        <v>44966</v>
      </c>
      <c r="C246" s="102">
        <v>26024.94</v>
      </c>
    </row>
    <row r="247" spans="1:3">
      <c r="A247" s="102" t="s">
        <v>353</v>
      </c>
      <c r="B247" s="103">
        <v>44965</v>
      </c>
      <c r="C247" s="102">
        <v>25993.34</v>
      </c>
    </row>
    <row r="248" spans="1:3">
      <c r="A248" s="102" t="s">
        <v>353</v>
      </c>
      <c r="B248" s="103">
        <v>44964</v>
      </c>
      <c r="C248" s="102">
        <v>25772.19</v>
      </c>
    </row>
    <row r="249" spans="1:3">
      <c r="A249" s="102" t="s">
        <v>353</v>
      </c>
      <c r="B249" s="103">
        <v>44963</v>
      </c>
      <c r="C249" s="102">
        <v>25834.87</v>
      </c>
    </row>
    <row r="250" spans="1:3">
      <c r="A250" s="102" t="s">
        <v>353</v>
      </c>
      <c r="B250" s="103">
        <v>44960</v>
      </c>
      <c r="C250" s="102">
        <v>25965</v>
      </c>
    </row>
    <row r="251" spans="1:3">
      <c r="A251" s="102" t="s">
        <v>353</v>
      </c>
      <c r="B251" s="103">
        <v>44959</v>
      </c>
      <c r="C251" s="102">
        <v>25610.65</v>
      </c>
    </row>
    <row r="252" spans="1:3">
      <c r="A252" s="102" t="s">
        <v>353</v>
      </c>
      <c r="B252" s="103">
        <v>44958</v>
      </c>
      <c r="C252" s="102">
        <v>25619.24</v>
      </c>
    </row>
    <row r="253" spans="1:3">
      <c r="A253" s="102" t="s">
        <v>353</v>
      </c>
      <c r="B253" s="103">
        <v>44957</v>
      </c>
      <c r="C253" s="102">
        <v>25685.94</v>
      </c>
    </row>
    <row r="254" spans="1:3">
      <c r="A254" s="102" t="s">
        <v>353</v>
      </c>
      <c r="B254" s="103">
        <v>44956</v>
      </c>
      <c r="C254" s="102">
        <v>25666.69</v>
      </c>
    </row>
    <row r="255" spans="1:3">
      <c r="A255" s="102" t="s">
        <v>353</v>
      </c>
      <c r="B255" s="103">
        <v>44953</v>
      </c>
      <c r="C255" s="102">
        <v>25601.88</v>
      </c>
    </row>
    <row r="256" spans="1:3">
      <c r="A256" s="102" t="s">
        <v>353</v>
      </c>
      <c r="B256" s="103">
        <v>44951</v>
      </c>
      <c r="C256" s="102">
        <v>26020.13</v>
      </c>
    </row>
    <row r="257" spans="1:3">
      <c r="A257" s="102" t="s">
        <v>353</v>
      </c>
      <c r="B257" s="103">
        <v>44950</v>
      </c>
      <c r="C257" s="102">
        <v>26349.279999999999</v>
      </c>
    </row>
    <row r="258" spans="1:3">
      <c r="A258" s="102" t="s">
        <v>353</v>
      </c>
      <c r="B258" s="103">
        <v>44949</v>
      </c>
      <c r="C258" s="102">
        <v>26349.14</v>
      </c>
    </row>
    <row r="259" spans="1:3">
      <c r="A259" s="102" t="s">
        <v>353</v>
      </c>
      <c r="B259" s="103">
        <v>44946</v>
      </c>
      <c r="C259" s="102">
        <v>26216.94</v>
      </c>
    </row>
    <row r="260" spans="1:3">
      <c r="A260" s="102" t="s">
        <v>353</v>
      </c>
      <c r="B260" s="103">
        <v>44945</v>
      </c>
      <c r="C260" s="102">
        <v>26333.57</v>
      </c>
    </row>
    <row r="261" spans="1:3">
      <c r="A261" s="102" t="s">
        <v>353</v>
      </c>
      <c r="B261" s="103">
        <v>44944</v>
      </c>
      <c r="C261" s="102">
        <v>26413.71</v>
      </c>
    </row>
    <row r="262" spans="1:3">
      <c r="A262" s="102" t="s">
        <v>353</v>
      </c>
      <c r="B262" s="103">
        <v>44943</v>
      </c>
      <c r="C262" s="102">
        <v>26250.81</v>
      </c>
    </row>
    <row r="263" spans="1:3">
      <c r="A263" s="102" t="s">
        <v>353</v>
      </c>
      <c r="B263" s="103">
        <v>44942</v>
      </c>
      <c r="C263" s="102">
        <v>26020.39</v>
      </c>
    </row>
    <row r="264" spans="1:3">
      <c r="A264" s="102" t="s">
        <v>353</v>
      </c>
      <c r="B264" s="103">
        <v>44939</v>
      </c>
      <c r="C264" s="102">
        <v>26110.2</v>
      </c>
    </row>
    <row r="265" spans="1:3">
      <c r="A265" s="102" t="s">
        <v>353</v>
      </c>
      <c r="B265" s="103">
        <v>44938</v>
      </c>
      <c r="C265" s="102">
        <v>25967.07</v>
      </c>
    </row>
    <row r="266" spans="1:3">
      <c r="A266" s="102" t="s">
        <v>353</v>
      </c>
      <c r="B266" s="103">
        <v>44937</v>
      </c>
      <c r="C266" s="102">
        <v>26021.599999999999</v>
      </c>
    </row>
    <row r="267" spans="1:3">
      <c r="A267" s="102" t="s">
        <v>353</v>
      </c>
      <c r="B267" s="103">
        <v>44936</v>
      </c>
      <c r="C267" s="102">
        <v>26048.47</v>
      </c>
    </row>
    <row r="268" spans="1:3">
      <c r="A268" s="102" t="s">
        <v>353</v>
      </c>
      <c r="B268" s="103">
        <v>44935</v>
      </c>
      <c r="C268" s="102">
        <v>26320.41</v>
      </c>
    </row>
    <row r="269" spans="1:3">
      <c r="A269" s="102" t="s">
        <v>353</v>
      </c>
      <c r="B269" s="103">
        <v>44932</v>
      </c>
      <c r="C269" s="102">
        <v>25968.95</v>
      </c>
    </row>
    <row r="270" spans="1:3">
      <c r="A270" s="102" t="s">
        <v>353</v>
      </c>
      <c r="B270" s="103">
        <v>44931</v>
      </c>
      <c r="C270" s="102">
        <v>26161.85</v>
      </c>
    </row>
    <row r="271" spans="1:3">
      <c r="A271" s="102" t="s">
        <v>353</v>
      </c>
      <c r="B271" s="103">
        <v>44930</v>
      </c>
      <c r="C271" s="102">
        <v>26235.73</v>
      </c>
    </row>
    <row r="272" spans="1:3">
      <c r="A272" s="102" t="s">
        <v>353</v>
      </c>
      <c r="B272" s="103">
        <v>44929</v>
      </c>
      <c r="C272" s="102">
        <v>26511.45</v>
      </c>
    </row>
    <row r="273" spans="1:3">
      <c r="A273" s="102" t="s">
        <v>353</v>
      </c>
      <c r="B273" s="103">
        <v>44928</v>
      </c>
      <c r="C273" s="102">
        <v>26460.41</v>
      </c>
    </row>
    <row r="274" spans="1:3">
      <c r="A274" s="102" t="s">
        <v>353</v>
      </c>
      <c r="B274" s="103">
        <v>44925</v>
      </c>
      <c r="C274" s="102">
        <v>26326.37</v>
      </c>
    </row>
    <row r="275" spans="1:3">
      <c r="A275" s="102" t="s">
        <v>353</v>
      </c>
      <c r="B275" s="103">
        <v>44924</v>
      </c>
      <c r="C275" s="102">
        <v>26451.02</v>
      </c>
    </row>
    <row r="276" spans="1:3">
      <c r="A276" s="102" t="s">
        <v>353</v>
      </c>
      <c r="B276" s="103">
        <v>44923</v>
      </c>
      <c r="C276" s="102">
        <v>26351.4</v>
      </c>
    </row>
    <row r="277" spans="1:3">
      <c r="A277" s="102" t="s">
        <v>353</v>
      </c>
      <c r="B277" s="103">
        <v>44922</v>
      </c>
      <c r="C277" s="102">
        <v>26365.65</v>
      </c>
    </row>
    <row r="278" spans="1:3">
      <c r="A278" s="102" t="s">
        <v>353</v>
      </c>
      <c r="B278" s="103">
        <v>44921</v>
      </c>
      <c r="C278" s="102">
        <v>26194.52</v>
      </c>
    </row>
    <row r="279" spans="1:3">
      <c r="A279" s="102" t="s">
        <v>353</v>
      </c>
      <c r="B279" s="103">
        <v>44918</v>
      </c>
      <c r="C279" s="102">
        <v>25892.35</v>
      </c>
    </row>
    <row r="280" spans="1:3">
      <c r="A280" s="102" t="s">
        <v>353</v>
      </c>
      <c r="B280" s="103">
        <v>44917</v>
      </c>
      <c r="C280" s="102">
        <v>26358.44</v>
      </c>
    </row>
    <row r="281" spans="1:3">
      <c r="A281" s="102" t="s">
        <v>353</v>
      </c>
      <c r="B281" s="103">
        <v>44916</v>
      </c>
      <c r="C281" s="102">
        <v>26462.77</v>
      </c>
    </row>
    <row r="282" spans="1:3">
      <c r="A282" s="102" t="s">
        <v>353</v>
      </c>
      <c r="B282" s="103">
        <v>44915</v>
      </c>
      <c r="C282" s="102">
        <v>26733.51</v>
      </c>
    </row>
    <row r="283" spans="1:3">
      <c r="A283" s="102" t="s">
        <v>353</v>
      </c>
      <c r="B283" s="103">
        <v>44914</v>
      </c>
      <c r="C283" s="102">
        <v>26784.68</v>
      </c>
    </row>
    <row r="284" spans="1:3">
      <c r="A284" s="102" t="s">
        <v>353</v>
      </c>
      <c r="B284" s="103">
        <v>44911</v>
      </c>
      <c r="C284" s="102">
        <v>26564.46</v>
      </c>
    </row>
    <row r="285" spans="1:3">
      <c r="A285" s="102" t="s">
        <v>353</v>
      </c>
      <c r="B285" s="103">
        <v>44910</v>
      </c>
      <c r="C285" s="102">
        <v>26776.560000000001</v>
      </c>
    </row>
    <row r="286" spans="1:3">
      <c r="A286" s="102" t="s">
        <v>353</v>
      </c>
      <c r="B286" s="103">
        <v>44909</v>
      </c>
      <c r="C286" s="102">
        <v>27133.4</v>
      </c>
    </row>
    <row r="287" spans="1:3">
      <c r="A287" s="102" t="s">
        <v>353</v>
      </c>
      <c r="B287" s="103">
        <v>44908</v>
      </c>
      <c r="C287" s="102">
        <v>27057.35</v>
      </c>
    </row>
    <row r="288" spans="1:3">
      <c r="A288" s="102" t="s">
        <v>353</v>
      </c>
      <c r="B288" s="103">
        <v>44907</v>
      </c>
      <c r="C288" s="102">
        <v>26896.21</v>
      </c>
    </row>
    <row r="289" spans="1:3">
      <c r="A289" s="102" t="s">
        <v>353</v>
      </c>
      <c r="B289" s="103">
        <v>44904</v>
      </c>
      <c r="C289" s="102">
        <v>26895.35</v>
      </c>
    </row>
    <row r="290" spans="1:3">
      <c r="A290" s="102" t="s">
        <v>353</v>
      </c>
      <c r="B290" s="103">
        <v>44903</v>
      </c>
      <c r="C290" s="102">
        <v>27059.31</v>
      </c>
    </row>
    <row r="291" spans="1:3">
      <c r="A291" s="102" t="s">
        <v>353</v>
      </c>
      <c r="B291" s="103">
        <v>44902</v>
      </c>
      <c r="C291" s="102">
        <v>26988.31</v>
      </c>
    </row>
    <row r="292" spans="1:3">
      <c r="A292" s="102" t="s">
        <v>353</v>
      </c>
      <c r="B292" s="103">
        <v>44901</v>
      </c>
      <c r="C292" s="102">
        <v>27107.87</v>
      </c>
    </row>
    <row r="293" spans="1:3">
      <c r="A293" s="102" t="s">
        <v>353</v>
      </c>
      <c r="B293" s="103">
        <v>44900</v>
      </c>
      <c r="C293" s="102">
        <v>27192.639999999999</v>
      </c>
    </row>
    <row r="294" spans="1:3">
      <c r="A294" s="102" t="s">
        <v>353</v>
      </c>
      <c r="B294" s="103">
        <v>44897</v>
      </c>
      <c r="C294" s="102">
        <v>27185.439999999999</v>
      </c>
    </row>
    <row r="295" spans="1:3">
      <c r="A295" s="102" t="s">
        <v>353</v>
      </c>
      <c r="B295" s="103">
        <v>44896</v>
      </c>
      <c r="C295" s="102">
        <v>27354.74</v>
      </c>
    </row>
    <row r="296" spans="1:3">
      <c r="A296" s="102" t="s">
        <v>353</v>
      </c>
      <c r="B296" s="103">
        <v>44895</v>
      </c>
      <c r="C296" s="102">
        <v>27276.01</v>
      </c>
    </row>
    <row r="297" spans="1:3">
      <c r="A297" s="102" t="s">
        <v>353</v>
      </c>
      <c r="B297" s="103">
        <v>44894</v>
      </c>
      <c r="C297" s="102">
        <v>27071.98</v>
      </c>
    </row>
    <row r="298" spans="1:3">
      <c r="A298" s="102" t="s">
        <v>353</v>
      </c>
      <c r="B298" s="103">
        <v>44893</v>
      </c>
      <c r="C298" s="102">
        <v>26991.599999999999</v>
      </c>
    </row>
    <row r="299" spans="1:3">
      <c r="A299" s="102" t="s">
        <v>353</v>
      </c>
      <c r="B299" s="103">
        <v>44890</v>
      </c>
      <c r="C299" s="102">
        <v>26918.89</v>
      </c>
    </row>
    <row r="300" spans="1:3">
      <c r="A300" s="102" t="s">
        <v>353</v>
      </c>
      <c r="B300" s="103">
        <v>44889</v>
      </c>
      <c r="C300" s="102">
        <v>26877.24</v>
      </c>
    </row>
    <row r="301" spans="1:3">
      <c r="A301" s="102" t="s">
        <v>353</v>
      </c>
      <c r="B301" s="103">
        <v>44888</v>
      </c>
      <c r="C301" s="102">
        <v>26561.89</v>
      </c>
    </row>
    <row r="302" spans="1:3">
      <c r="A302" s="102" t="s">
        <v>353</v>
      </c>
      <c r="B302" s="103">
        <v>44887</v>
      </c>
      <c r="C302" s="102">
        <v>26528.400000000001</v>
      </c>
    </row>
    <row r="303" spans="1:3">
      <c r="A303" s="102" t="s">
        <v>353</v>
      </c>
      <c r="B303" s="103">
        <v>44886</v>
      </c>
      <c r="C303" s="102">
        <v>26405.9</v>
      </c>
    </row>
    <row r="304" spans="1:3">
      <c r="A304" s="102" t="s">
        <v>353</v>
      </c>
      <c r="B304" s="103">
        <v>44883</v>
      </c>
      <c r="C304" s="102">
        <v>26620.61</v>
      </c>
    </row>
    <row r="305" spans="1:3">
      <c r="A305" s="102" t="s">
        <v>353</v>
      </c>
      <c r="B305" s="103">
        <v>44882</v>
      </c>
      <c r="C305" s="102">
        <v>26673.32</v>
      </c>
    </row>
    <row r="306" spans="1:3">
      <c r="A306" s="102" t="s">
        <v>353</v>
      </c>
      <c r="B306" s="103">
        <v>44881</v>
      </c>
      <c r="C306" s="102">
        <v>26768.95</v>
      </c>
    </row>
    <row r="307" spans="1:3">
      <c r="A307" s="102" t="s">
        <v>353</v>
      </c>
      <c r="B307" s="103">
        <v>44880</v>
      </c>
      <c r="C307" s="102">
        <v>26759.85</v>
      </c>
    </row>
    <row r="308" spans="1:3">
      <c r="A308" s="102" t="s">
        <v>353</v>
      </c>
      <c r="B308" s="103">
        <v>44879</v>
      </c>
      <c r="C308" s="102">
        <v>26651.93</v>
      </c>
    </row>
    <row r="309" spans="1:3">
      <c r="A309" s="102" t="s">
        <v>353</v>
      </c>
      <c r="B309" s="103">
        <v>44876</v>
      </c>
      <c r="C309" s="102">
        <v>26681.759999999998</v>
      </c>
    </row>
    <row r="310" spans="1:3">
      <c r="A310" s="102" t="s">
        <v>353</v>
      </c>
      <c r="B310" s="103">
        <v>44875</v>
      </c>
      <c r="C310" s="102">
        <v>26214.31</v>
      </c>
    </row>
    <row r="311" spans="1:3">
      <c r="A311" s="102" t="s">
        <v>353</v>
      </c>
      <c r="B311" s="103">
        <v>44874</v>
      </c>
      <c r="C311" s="102">
        <v>26401.58</v>
      </c>
    </row>
    <row r="312" spans="1:3">
      <c r="A312" s="102" t="s">
        <v>353</v>
      </c>
      <c r="B312" s="103">
        <v>44872</v>
      </c>
      <c r="C312" s="102">
        <v>26464.44</v>
      </c>
    </row>
    <row r="313" spans="1:3">
      <c r="A313" s="102" t="s">
        <v>353</v>
      </c>
      <c r="B313" s="103">
        <v>44869</v>
      </c>
      <c r="C313" s="102">
        <v>26339.9</v>
      </c>
    </row>
    <row r="314" spans="1:3">
      <c r="A314" s="102" t="s">
        <v>353</v>
      </c>
      <c r="B314" s="103">
        <v>44868</v>
      </c>
      <c r="C314" s="102">
        <v>26246.23</v>
      </c>
    </row>
    <row r="315" spans="1:3">
      <c r="A315" s="102" t="s">
        <v>353</v>
      </c>
      <c r="B315" s="103">
        <v>44867</v>
      </c>
      <c r="C315" s="102">
        <v>26290.01</v>
      </c>
    </row>
    <row r="316" spans="1:3">
      <c r="A316" s="102" t="s">
        <v>353</v>
      </c>
      <c r="B316" s="103">
        <v>44866</v>
      </c>
      <c r="C316" s="102">
        <v>26380.97</v>
      </c>
    </row>
    <row r="317" spans="1:3">
      <c r="A317" s="102" t="s">
        <v>353</v>
      </c>
      <c r="B317" s="103">
        <v>44865</v>
      </c>
      <c r="C317" s="102">
        <v>26182.36</v>
      </c>
    </row>
    <row r="318" spans="1:3">
      <c r="A318" s="102" t="s">
        <v>353</v>
      </c>
      <c r="B318" s="103">
        <v>44862</v>
      </c>
      <c r="C318" s="102">
        <v>25852.720000000001</v>
      </c>
    </row>
    <row r="319" spans="1:3">
      <c r="A319" s="102" t="s">
        <v>353</v>
      </c>
      <c r="B319" s="103">
        <v>44861</v>
      </c>
      <c r="C319" s="102">
        <v>25780.23</v>
      </c>
    </row>
    <row r="320" spans="1:3">
      <c r="A320" s="102" t="s">
        <v>353</v>
      </c>
      <c r="B320" s="103">
        <v>44859</v>
      </c>
      <c r="C320" s="102">
        <v>25643.34</v>
      </c>
    </row>
    <row r="321" spans="1:3">
      <c r="A321" s="102" t="s">
        <v>353</v>
      </c>
      <c r="B321" s="103">
        <v>44858</v>
      </c>
      <c r="C321" s="102">
        <v>25751.45</v>
      </c>
    </row>
    <row r="322" spans="1:3">
      <c r="A322" s="102" t="s">
        <v>353</v>
      </c>
      <c r="B322" s="103">
        <v>44855</v>
      </c>
      <c r="C322" s="102">
        <v>25527.09</v>
      </c>
    </row>
    <row r="323" spans="1:3">
      <c r="A323" s="102" t="s">
        <v>353</v>
      </c>
      <c r="B323" s="103">
        <v>44854</v>
      </c>
      <c r="C323" s="102">
        <v>25509.14</v>
      </c>
    </row>
    <row r="324" spans="1:3">
      <c r="A324" s="102" t="s">
        <v>353</v>
      </c>
      <c r="B324" s="103">
        <v>44853</v>
      </c>
      <c r="C324" s="102">
        <v>25434.1</v>
      </c>
    </row>
    <row r="325" spans="1:3">
      <c r="A325" s="102" t="s">
        <v>353</v>
      </c>
      <c r="B325" s="103">
        <v>44852</v>
      </c>
      <c r="C325" s="102">
        <v>25393.89</v>
      </c>
    </row>
    <row r="326" spans="1:3">
      <c r="A326" s="102" t="s">
        <v>353</v>
      </c>
      <c r="B326" s="103">
        <v>44851</v>
      </c>
      <c r="C326" s="102">
        <v>25139.55</v>
      </c>
    </row>
    <row r="327" spans="1:3">
      <c r="A327" s="102" t="s">
        <v>353</v>
      </c>
      <c r="B327" s="103">
        <v>44848</v>
      </c>
      <c r="C327" s="102">
        <v>24953.75</v>
      </c>
    </row>
    <row r="328" spans="1:3">
      <c r="A328" s="102" t="s">
        <v>353</v>
      </c>
      <c r="B328" s="103">
        <v>44847</v>
      </c>
      <c r="C328" s="102">
        <v>24704.95</v>
      </c>
    </row>
    <row r="329" spans="1:3">
      <c r="A329" s="102" t="s">
        <v>353</v>
      </c>
      <c r="B329" s="103">
        <v>44846</v>
      </c>
      <c r="C329" s="102">
        <v>24863.58</v>
      </c>
    </row>
    <row r="330" spans="1:3">
      <c r="A330" s="102" t="s">
        <v>353</v>
      </c>
      <c r="B330" s="103">
        <v>44845</v>
      </c>
      <c r="C330" s="102">
        <v>24660.2</v>
      </c>
    </row>
    <row r="331" spans="1:3">
      <c r="A331" s="102" t="s">
        <v>353</v>
      </c>
      <c r="B331" s="103">
        <v>44844</v>
      </c>
      <c r="C331" s="102">
        <v>25034.02</v>
      </c>
    </row>
    <row r="332" spans="1:3">
      <c r="A332" s="102" t="s">
        <v>353</v>
      </c>
      <c r="B332" s="103">
        <v>44841</v>
      </c>
      <c r="C332" s="102">
        <v>25140.99</v>
      </c>
    </row>
    <row r="333" spans="1:3">
      <c r="A333" s="102" t="s">
        <v>353</v>
      </c>
      <c r="B333" s="103">
        <v>44840</v>
      </c>
      <c r="C333" s="102">
        <v>25165.85</v>
      </c>
    </row>
    <row r="334" spans="1:3">
      <c r="A334" s="102" t="s">
        <v>353</v>
      </c>
      <c r="B334" s="103">
        <v>44838</v>
      </c>
      <c r="C334" s="102">
        <v>25082.39</v>
      </c>
    </row>
    <row r="335" spans="1:3">
      <c r="A335" s="102" t="s">
        <v>353</v>
      </c>
      <c r="B335" s="103">
        <v>44837</v>
      </c>
      <c r="C335" s="102">
        <v>24520.52</v>
      </c>
    </row>
    <row r="336" spans="1:3">
      <c r="A336" s="102" t="s">
        <v>353</v>
      </c>
      <c r="B336" s="103">
        <v>44834</v>
      </c>
      <c r="C336" s="102">
        <v>24821.08</v>
      </c>
    </row>
    <row r="337" spans="1:3">
      <c r="A337" s="102" t="s">
        <v>353</v>
      </c>
      <c r="B337" s="103">
        <v>44833</v>
      </c>
      <c r="C337" s="102">
        <v>24419.98</v>
      </c>
    </row>
    <row r="338" spans="1:3">
      <c r="A338" s="102" t="s">
        <v>353</v>
      </c>
      <c r="B338" s="103">
        <v>44832</v>
      </c>
      <c r="C338" s="102">
        <v>24478.82</v>
      </c>
    </row>
    <row r="339" spans="1:3">
      <c r="A339" s="102" t="s">
        <v>353</v>
      </c>
      <c r="B339" s="103">
        <v>44831</v>
      </c>
      <c r="C339" s="102">
        <v>24694.83</v>
      </c>
    </row>
    <row r="340" spans="1:3">
      <c r="A340" s="102" t="s">
        <v>353</v>
      </c>
      <c r="B340" s="103">
        <v>44830</v>
      </c>
      <c r="C340" s="102">
        <v>24707.77</v>
      </c>
    </row>
    <row r="341" spans="1:3">
      <c r="A341" s="102" t="s">
        <v>353</v>
      </c>
      <c r="B341" s="103">
        <v>44827</v>
      </c>
      <c r="C341" s="102">
        <v>25159.42</v>
      </c>
    </row>
    <row r="342" spans="1:3">
      <c r="A342" s="102" t="s">
        <v>353</v>
      </c>
      <c r="B342" s="103">
        <v>44826</v>
      </c>
      <c r="C342" s="102">
        <v>25598.6</v>
      </c>
    </row>
    <row r="343" spans="1:3">
      <c r="A343" s="102" t="s">
        <v>353</v>
      </c>
      <c r="B343" s="103">
        <v>44825</v>
      </c>
      <c r="C343" s="102">
        <v>25727.13</v>
      </c>
    </row>
    <row r="344" spans="1:3">
      <c r="A344" s="102" t="s">
        <v>353</v>
      </c>
      <c r="B344" s="103">
        <v>44824</v>
      </c>
      <c r="C344" s="102">
        <v>25869.27</v>
      </c>
    </row>
    <row r="345" spans="1:3">
      <c r="A345" s="102" t="s">
        <v>353</v>
      </c>
      <c r="B345" s="103">
        <v>44823</v>
      </c>
      <c r="C345" s="102">
        <v>25587.63</v>
      </c>
    </row>
    <row r="346" spans="1:3">
      <c r="A346" s="102" t="s">
        <v>353</v>
      </c>
      <c r="B346" s="103">
        <v>44820</v>
      </c>
      <c r="C346" s="102">
        <v>25454.93</v>
      </c>
    </row>
    <row r="347" spans="1:3">
      <c r="A347" s="102" t="s">
        <v>353</v>
      </c>
      <c r="B347" s="103">
        <v>44819</v>
      </c>
      <c r="C347" s="102">
        <v>25958.06</v>
      </c>
    </row>
    <row r="348" spans="1:3">
      <c r="A348" s="102" t="s">
        <v>353</v>
      </c>
      <c r="B348" s="103">
        <v>44818</v>
      </c>
      <c r="C348" s="102">
        <v>26141.52</v>
      </c>
    </row>
    <row r="349" spans="1:3">
      <c r="A349" s="102" t="s">
        <v>353</v>
      </c>
      <c r="B349" s="103">
        <v>44817</v>
      </c>
      <c r="C349" s="102">
        <v>26237.81</v>
      </c>
    </row>
    <row r="350" spans="1:3">
      <c r="A350" s="102" t="s">
        <v>353</v>
      </c>
      <c r="B350" s="103">
        <v>44816</v>
      </c>
      <c r="C350" s="102">
        <v>26043.69</v>
      </c>
    </row>
    <row r="351" spans="1:3">
      <c r="A351" s="102" t="s">
        <v>353</v>
      </c>
      <c r="B351" s="103">
        <v>44813</v>
      </c>
      <c r="C351" s="102">
        <v>25894.12</v>
      </c>
    </row>
    <row r="352" spans="1:3">
      <c r="A352" s="102" t="s">
        <v>353</v>
      </c>
      <c r="B352" s="103">
        <v>44812</v>
      </c>
      <c r="C352" s="102">
        <v>25843.86</v>
      </c>
    </row>
    <row r="353" spans="1:3">
      <c r="A353" s="102" t="s">
        <v>353</v>
      </c>
      <c r="B353" s="103">
        <v>44811</v>
      </c>
      <c r="C353" s="102">
        <v>25590.73</v>
      </c>
    </row>
    <row r="354" spans="1:3">
      <c r="A354" s="102" t="s">
        <v>353</v>
      </c>
      <c r="B354" s="103">
        <v>44810</v>
      </c>
      <c r="C354" s="102">
        <v>25636.01</v>
      </c>
    </row>
    <row r="355" spans="1:3">
      <c r="A355" s="102" t="s">
        <v>353</v>
      </c>
      <c r="B355" s="103">
        <v>44809</v>
      </c>
      <c r="C355" s="102">
        <v>25650.83</v>
      </c>
    </row>
    <row r="356" spans="1:3">
      <c r="A356" s="102" t="s">
        <v>353</v>
      </c>
      <c r="B356" s="103">
        <v>44806</v>
      </c>
      <c r="C356" s="102">
        <v>25467.41</v>
      </c>
    </row>
    <row r="357" spans="1:3">
      <c r="A357" s="102" t="s">
        <v>353</v>
      </c>
      <c r="B357" s="103">
        <v>44805</v>
      </c>
      <c r="C357" s="102">
        <v>25472.240000000002</v>
      </c>
    </row>
    <row r="358" spans="1:3">
      <c r="A358" s="102" t="s">
        <v>353</v>
      </c>
      <c r="B358" s="103">
        <v>44803</v>
      </c>
      <c r="C358" s="102">
        <v>25786.59</v>
      </c>
    </row>
    <row r="359" spans="1:3">
      <c r="A359" s="102" t="s">
        <v>353</v>
      </c>
      <c r="B359" s="103">
        <v>44802</v>
      </c>
      <c r="C359" s="102">
        <v>25138.400000000001</v>
      </c>
    </row>
    <row r="360" spans="1:3">
      <c r="A360" s="102" t="s">
        <v>353</v>
      </c>
      <c r="B360" s="103">
        <v>44799</v>
      </c>
      <c r="C360" s="102">
        <v>25495.64</v>
      </c>
    </row>
    <row r="361" spans="1:3">
      <c r="A361" s="102" t="s">
        <v>353</v>
      </c>
      <c r="B361" s="103">
        <v>44798</v>
      </c>
      <c r="C361" s="102">
        <v>25442.67</v>
      </c>
    </row>
    <row r="362" spans="1:3">
      <c r="A362" s="102" t="s">
        <v>353</v>
      </c>
      <c r="B362" s="103">
        <v>44797</v>
      </c>
      <c r="C362" s="102">
        <v>25562.51</v>
      </c>
    </row>
    <row r="363" spans="1:3">
      <c r="A363" s="102" t="s">
        <v>353</v>
      </c>
      <c r="B363" s="103">
        <v>44796</v>
      </c>
      <c r="C363" s="102">
        <v>25522.62</v>
      </c>
    </row>
    <row r="364" spans="1:3">
      <c r="A364" s="102" t="s">
        <v>353</v>
      </c>
      <c r="B364" s="103">
        <v>44795</v>
      </c>
      <c r="C364" s="102">
        <v>25396.57</v>
      </c>
    </row>
    <row r="365" spans="1:3">
      <c r="A365" s="102" t="s">
        <v>353</v>
      </c>
      <c r="B365" s="103">
        <v>44792</v>
      </c>
      <c r="C365" s="102">
        <v>25785.4</v>
      </c>
    </row>
    <row r="366" spans="1:3">
      <c r="A366" s="102" t="s">
        <v>353</v>
      </c>
      <c r="B366" s="103">
        <v>44791</v>
      </c>
      <c r="C366" s="102">
        <v>26067.35</v>
      </c>
    </row>
    <row r="367" spans="1:3">
      <c r="A367" s="102" t="s">
        <v>353</v>
      </c>
      <c r="B367" s="103">
        <v>44790</v>
      </c>
      <c r="C367" s="102">
        <v>26035.87</v>
      </c>
    </row>
    <row r="368" spans="1:3">
      <c r="A368" s="102" t="s">
        <v>353</v>
      </c>
      <c r="B368" s="103">
        <v>44789</v>
      </c>
      <c r="C368" s="102">
        <v>25863.24</v>
      </c>
    </row>
    <row r="369" spans="1:3">
      <c r="A369" s="102" t="s">
        <v>353</v>
      </c>
      <c r="B369" s="103">
        <v>44785</v>
      </c>
      <c r="C369" s="102">
        <v>25678.83</v>
      </c>
    </row>
    <row r="370" spans="1:3">
      <c r="A370" s="102" t="s">
        <v>353</v>
      </c>
      <c r="B370" s="103">
        <v>44784</v>
      </c>
      <c r="C370" s="102">
        <v>25621.06</v>
      </c>
    </row>
    <row r="371" spans="1:3">
      <c r="A371" s="102" t="s">
        <v>353</v>
      </c>
      <c r="B371" s="103">
        <v>44783</v>
      </c>
      <c r="C371" s="102">
        <v>25431.919999999998</v>
      </c>
    </row>
    <row r="372" spans="1:3">
      <c r="A372" s="102" t="s">
        <v>353</v>
      </c>
      <c r="B372" s="103">
        <v>44781</v>
      </c>
      <c r="C372" s="102">
        <v>25413.25</v>
      </c>
    </row>
    <row r="373" spans="1:3">
      <c r="A373" s="102" t="s">
        <v>353</v>
      </c>
      <c r="B373" s="103">
        <v>44778</v>
      </c>
      <c r="C373" s="102">
        <v>25215.93</v>
      </c>
    </row>
    <row r="374" spans="1:3">
      <c r="A374" s="102" t="s">
        <v>353</v>
      </c>
      <c r="B374" s="103">
        <v>44777</v>
      </c>
      <c r="C374" s="102">
        <v>25193.41</v>
      </c>
    </row>
    <row r="375" spans="1:3">
      <c r="A375" s="102" t="s">
        <v>353</v>
      </c>
      <c r="B375" s="103">
        <v>44776</v>
      </c>
      <c r="C375" s="102">
        <v>25202.38</v>
      </c>
    </row>
    <row r="376" spans="1:3">
      <c r="A376" s="102" t="s">
        <v>353</v>
      </c>
      <c r="B376" s="103">
        <v>44775</v>
      </c>
      <c r="C376" s="102">
        <v>25137.82</v>
      </c>
    </row>
    <row r="377" spans="1:3">
      <c r="A377" s="102" t="s">
        <v>353</v>
      </c>
      <c r="B377" s="103">
        <v>44774</v>
      </c>
      <c r="C377" s="102">
        <v>25128.57</v>
      </c>
    </row>
    <row r="378" spans="1:3">
      <c r="A378" s="102" t="s">
        <v>353</v>
      </c>
      <c r="B378" s="103">
        <v>44771</v>
      </c>
      <c r="C378" s="102">
        <v>24862.7</v>
      </c>
    </row>
    <row r="379" spans="1:3">
      <c r="A379" s="102" t="s">
        <v>353</v>
      </c>
      <c r="B379" s="103">
        <v>44770</v>
      </c>
      <c r="C379" s="102">
        <v>24531.38</v>
      </c>
    </row>
    <row r="380" spans="1:3">
      <c r="A380" s="102" t="s">
        <v>353</v>
      </c>
      <c r="B380" s="103">
        <v>44769</v>
      </c>
      <c r="C380" s="102">
        <v>24114.41</v>
      </c>
    </row>
    <row r="381" spans="1:3">
      <c r="A381" s="102" t="s">
        <v>353</v>
      </c>
      <c r="B381" s="103">
        <v>44768</v>
      </c>
      <c r="C381" s="102">
        <v>23882.26</v>
      </c>
    </row>
    <row r="382" spans="1:3">
      <c r="A382" s="102" t="s">
        <v>353</v>
      </c>
      <c r="B382" s="103">
        <v>44767</v>
      </c>
      <c r="C382" s="102">
        <v>24095.46</v>
      </c>
    </row>
    <row r="383" spans="1:3">
      <c r="A383" s="102" t="s">
        <v>353</v>
      </c>
      <c r="B383" s="103">
        <v>44764</v>
      </c>
      <c r="C383" s="102">
        <v>24223.56</v>
      </c>
    </row>
    <row r="384" spans="1:3">
      <c r="A384" s="102" t="s">
        <v>353</v>
      </c>
      <c r="B384" s="103">
        <v>44763</v>
      </c>
      <c r="C384" s="102">
        <v>24058.17</v>
      </c>
    </row>
    <row r="385" spans="1:3">
      <c r="A385" s="102" t="s">
        <v>353</v>
      </c>
      <c r="B385" s="103">
        <v>44762</v>
      </c>
      <c r="C385" s="102">
        <v>23920.880000000001</v>
      </c>
    </row>
    <row r="386" spans="1:3">
      <c r="A386" s="102" t="s">
        <v>353</v>
      </c>
      <c r="B386" s="103">
        <v>44761</v>
      </c>
      <c r="C386" s="102">
        <v>23659.85</v>
      </c>
    </row>
    <row r="387" spans="1:3">
      <c r="A387" s="102" t="s">
        <v>353</v>
      </c>
      <c r="B387" s="103">
        <v>44760</v>
      </c>
      <c r="C387" s="102">
        <v>23566.52</v>
      </c>
    </row>
    <row r="388" spans="1:3">
      <c r="A388" s="102" t="s">
        <v>353</v>
      </c>
      <c r="B388" s="103">
        <v>44757</v>
      </c>
      <c r="C388" s="102">
        <v>23234.52</v>
      </c>
    </row>
    <row r="389" spans="1:3">
      <c r="A389" s="102" t="s">
        <v>353</v>
      </c>
      <c r="B389" s="103">
        <v>44756</v>
      </c>
      <c r="C389" s="102">
        <v>23074.52</v>
      </c>
    </row>
    <row r="390" spans="1:3">
      <c r="A390" s="102" t="s">
        <v>353</v>
      </c>
      <c r="B390" s="103">
        <v>44755</v>
      </c>
      <c r="C390" s="102">
        <v>23107.47</v>
      </c>
    </row>
    <row r="391" spans="1:3">
      <c r="A391" s="102" t="s">
        <v>353</v>
      </c>
      <c r="B391" s="103">
        <v>44754</v>
      </c>
      <c r="C391" s="102">
        <v>23239.9</v>
      </c>
    </row>
    <row r="392" spans="1:3">
      <c r="A392" s="102" t="s">
        <v>353</v>
      </c>
      <c r="B392" s="103">
        <v>44753</v>
      </c>
      <c r="C392" s="102">
        <v>23468.14</v>
      </c>
    </row>
    <row r="393" spans="1:3">
      <c r="A393" s="102" t="s">
        <v>353</v>
      </c>
      <c r="B393" s="103">
        <v>44750</v>
      </c>
      <c r="C393" s="102">
        <v>23473.61</v>
      </c>
    </row>
    <row r="394" spans="1:3">
      <c r="A394" s="102" t="s">
        <v>353</v>
      </c>
      <c r="B394" s="103">
        <v>44749</v>
      </c>
      <c r="C394" s="102">
        <v>23345.61</v>
      </c>
    </row>
    <row r="395" spans="1:3">
      <c r="A395" s="102" t="s">
        <v>353</v>
      </c>
      <c r="B395" s="103">
        <v>44748</v>
      </c>
      <c r="C395" s="102">
        <v>23137.7</v>
      </c>
    </row>
    <row r="396" spans="1:3">
      <c r="A396" s="102" t="s">
        <v>353</v>
      </c>
      <c r="B396" s="103">
        <v>44747</v>
      </c>
      <c r="C396" s="102">
        <v>22878.720000000001</v>
      </c>
    </row>
    <row r="397" spans="1:3">
      <c r="A397" s="102" t="s">
        <v>353</v>
      </c>
      <c r="B397" s="103">
        <v>44746</v>
      </c>
      <c r="C397" s="102">
        <v>22914.2</v>
      </c>
    </row>
    <row r="398" spans="1:3">
      <c r="A398" s="102" t="s">
        <v>353</v>
      </c>
      <c r="B398" s="103">
        <v>44743</v>
      </c>
      <c r="C398" s="102">
        <v>22788.18</v>
      </c>
    </row>
    <row r="399" spans="1:3">
      <c r="A399" s="102" t="s">
        <v>353</v>
      </c>
      <c r="B399" s="103">
        <v>44742</v>
      </c>
      <c r="C399" s="102">
        <v>22828.93</v>
      </c>
    </row>
    <row r="400" spans="1:3">
      <c r="A400" s="102" t="s">
        <v>353</v>
      </c>
      <c r="B400" s="103">
        <v>44741</v>
      </c>
      <c r="C400" s="102">
        <v>22848.35</v>
      </c>
    </row>
    <row r="401" spans="1:3">
      <c r="A401" s="102" t="s">
        <v>353</v>
      </c>
      <c r="B401" s="103">
        <v>44740</v>
      </c>
      <c r="C401" s="102">
        <v>22922.240000000002</v>
      </c>
    </row>
    <row r="402" spans="1:3">
      <c r="A402" s="102" t="s">
        <v>353</v>
      </c>
      <c r="B402" s="103">
        <v>44739</v>
      </c>
      <c r="C402" s="102">
        <v>22896.02</v>
      </c>
    </row>
    <row r="403" spans="1:3">
      <c r="A403" s="102" t="s">
        <v>353</v>
      </c>
      <c r="B403" s="103">
        <v>44736</v>
      </c>
      <c r="C403" s="102">
        <v>22703.95</v>
      </c>
    </row>
    <row r="404" spans="1:3">
      <c r="A404" s="102" t="s">
        <v>353</v>
      </c>
      <c r="B404" s="103">
        <v>44735</v>
      </c>
      <c r="C404" s="102">
        <v>22497.71</v>
      </c>
    </row>
    <row r="405" spans="1:3">
      <c r="A405" s="102" t="s">
        <v>353</v>
      </c>
      <c r="B405" s="103">
        <v>44734</v>
      </c>
      <c r="C405" s="102">
        <v>22290.46</v>
      </c>
    </row>
    <row r="406" spans="1:3">
      <c r="A406" s="102" t="s">
        <v>353</v>
      </c>
      <c r="B406" s="103">
        <v>44733</v>
      </c>
      <c r="C406" s="102">
        <v>22616.52</v>
      </c>
    </row>
    <row r="407" spans="1:3">
      <c r="A407" s="102" t="s">
        <v>353</v>
      </c>
      <c r="B407" s="103">
        <v>44732</v>
      </c>
      <c r="C407" s="102">
        <v>22199.11</v>
      </c>
    </row>
    <row r="408" spans="1:3">
      <c r="A408" s="102" t="s">
        <v>353</v>
      </c>
      <c r="B408" s="103">
        <v>44729</v>
      </c>
      <c r="C408" s="102">
        <v>22114.97</v>
      </c>
    </row>
    <row r="409" spans="1:3">
      <c r="A409" s="102" t="s">
        <v>353</v>
      </c>
      <c r="B409" s="103">
        <v>44728</v>
      </c>
      <c r="C409" s="102">
        <v>22211.98</v>
      </c>
    </row>
    <row r="410" spans="1:3">
      <c r="A410" s="102" t="s">
        <v>353</v>
      </c>
      <c r="B410" s="103">
        <v>44727</v>
      </c>
      <c r="C410" s="102">
        <v>22691.46</v>
      </c>
    </row>
    <row r="411" spans="1:3">
      <c r="A411" s="102" t="s">
        <v>353</v>
      </c>
      <c r="B411" s="103">
        <v>44726</v>
      </c>
      <c r="C411" s="102">
        <v>22729.97</v>
      </c>
    </row>
    <row r="412" spans="1:3">
      <c r="A412" s="102" t="s">
        <v>353</v>
      </c>
      <c r="B412" s="103">
        <v>44725</v>
      </c>
      <c r="C412" s="102">
        <v>22791.119999999999</v>
      </c>
    </row>
    <row r="413" spans="1:3">
      <c r="A413" s="102" t="s">
        <v>353</v>
      </c>
      <c r="B413" s="103">
        <v>44722</v>
      </c>
      <c r="C413" s="102">
        <v>23408.59</v>
      </c>
    </row>
    <row r="414" spans="1:3">
      <c r="A414" s="102" t="s">
        <v>353</v>
      </c>
      <c r="B414" s="103">
        <v>44721</v>
      </c>
      <c r="C414" s="102">
        <v>23807.84</v>
      </c>
    </row>
    <row r="415" spans="1:3">
      <c r="A415" s="102" t="s">
        <v>353</v>
      </c>
      <c r="B415" s="103">
        <v>44720</v>
      </c>
      <c r="C415" s="102">
        <v>23628.32</v>
      </c>
    </row>
    <row r="416" spans="1:3">
      <c r="A416" s="102" t="s">
        <v>353</v>
      </c>
      <c r="B416" s="103">
        <v>44719</v>
      </c>
      <c r="C416" s="102">
        <v>23715.1</v>
      </c>
    </row>
    <row r="417" spans="1:3">
      <c r="A417" s="102" t="s">
        <v>353</v>
      </c>
      <c r="B417" s="103">
        <v>44718</v>
      </c>
      <c r="C417" s="102">
        <v>23936.44</v>
      </c>
    </row>
    <row r="418" spans="1:3">
      <c r="A418" s="102" t="s">
        <v>353</v>
      </c>
      <c r="B418" s="103">
        <v>44715</v>
      </c>
      <c r="C418" s="102">
        <v>23957.71</v>
      </c>
    </row>
    <row r="419" spans="1:3">
      <c r="A419" s="102" t="s">
        <v>353</v>
      </c>
      <c r="B419" s="103">
        <v>44714</v>
      </c>
      <c r="C419" s="102">
        <v>24020.89</v>
      </c>
    </row>
    <row r="420" spans="1:3">
      <c r="A420" s="102" t="s">
        <v>353</v>
      </c>
      <c r="B420" s="103">
        <v>44713</v>
      </c>
      <c r="C420" s="102">
        <v>23868.85</v>
      </c>
    </row>
    <row r="421" spans="1:3">
      <c r="A421" s="102" t="s">
        <v>353</v>
      </c>
      <c r="B421" s="103">
        <v>44712</v>
      </c>
      <c r="C421" s="102">
        <v>23958.1</v>
      </c>
    </row>
    <row r="422" spans="1:3">
      <c r="A422" s="102" t="s">
        <v>353</v>
      </c>
      <c r="B422" s="103">
        <v>44711</v>
      </c>
      <c r="C422" s="102">
        <v>24031.25</v>
      </c>
    </row>
    <row r="423" spans="1:3">
      <c r="A423" s="102" t="s">
        <v>353</v>
      </c>
      <c r="B423" s="103">
        <v>44708</v>
      </c>
      <c r="C423" s="102">
        <v>23585.61</v>
      </c>
    </row>
    <row r="424" spans="1:3">
      <c r="A424" s="102" t="s">
        <v>353</v>
      </c>
      <c r="B424" s="103">
        <v>44707</v>
      </c>
      <c r="C424" s="102">
        <v>23322.66</v>
      </c>
    </row>
    <row r="425" spans="1:3">
      <c r="A425" s="102" t="s">
        <v>353</v>
      </c>
      <c r="B425" s="103">
        <v>44706</v>
      </c>
      <c r="C425" s="102">
        <v>23096.63</v>
      </c>
    </row>
    <row r="426" spans="1:3">
      <c r="A426" s="102" t="s">
        <v>353</v>
      </c>
      <c r="B426" s="103">
        <v>44705</v>
      </c>
      <c r="C426" s="102">
        <v>23223.25</v>
      </c>
    </row>
    <row r="427" spans="1:3">
      <c r="A427" s="102" t="s">
        <v>353</v>
      </c>
      <c r="B427" s="103">
        <v>44704</v>
      </c>
      <c r="C427" s="102">
        <v>23352.22</v>
      </c>
    </row>
    <row r="428" spans="1:3">
      <c r="A428" s="102" t="s">
        <v>353</v>
      </c>
      <c r="B428" s="103">
        <v>44701</v>
      </c>
      <c r="C428" s="102">
        <v>23426.36</v>
      </c>
    </row>
    <row r="429" spans="1:3">
      <c r="A429" s="102" t="s">
        <v>353</v>
      </c>
      <c r="B429" s="103">
        <v>44700</v>
      </c>
      <c r="C429" s="102">
        <v>22768.49</v>
      </c>
    </row>
    <row r="430" spans="1:3">
      <c r="A430" s="102" t="s">
        <v>353</v>
      </c>
      <c r="B430" s="103">
        <v>44699</v>
      </c>
      <c r="C430" s="102">
        <v>23389.07</v>
      </c>
    </row>
    <row r="431" spans="1:3">
      <c r="A431" s="102" t="s">
        <v>353</v>
      </c>
      <c r="B431" s="103">
        <v>44698</v>
      </c>
      <c r="C431" s="102">
        <v>23416.46</v>
      </c>
    </row>
    <row r="432" spans="1:3">
      <c r="A432" s="102" t="s">
        <v>353</v>
      </c>
      <c r="B432" s="103">
        <v>44697</v>
      </c>
      <c r="C432" s="102">
        <v>22815.88</v>
      </c>
    </row>
    <row r="433" spans="1:3">
      <c r="A433" s="102" t="s">
        <v>353</v>
      </c>
      <c r="B433" s="103">
        <v>44694</v>
      </c>
      <c r="C433" s="102">
        <v>22729.279999999999</v>
      </c>
    </row>
    <row r="434" spans="1:3">
      <c r="A434" s="102" t="s">
        <v>353</v>
      </c>
      <c r="B434" s="103">
        <v>44693</v>
      </c>
      <c r="C434" s="102">
        <v>22766.52</v>
      </c>
    </row>
    <row r="435" spans="1:3">
      <c r="A435" s="102" t="s">
        <v>353</v>
      </c>
      <c r="B435" s="103">
        <v>44692</v>
      </c>
      <c r="C435" s="102">
        <v>23260.85</v>
      </c>
    </row>
    <row r="436" spans="1:3">
      <c r="A436" s="102" t="s">
        <v>353</v>
      </c>
      <c r="B436" s="103">
        <v>44691</v>
      </c>
      <c r="C436" s="102">
        <v>23365.81</v>
      </c>
    </row>
    <row r="437" spans="1:3">
      <c r="A437" s="102" t="s">
        <v>353</v>
      </c>
      <c r="B437" s="103">
        <v>44690</v>
      </c>
      <c r="C437" s="102">
        <v>23454.71</v>
      </c>
    </row>
    <row r="438" spans="1:3">
      <c r="A438" s="102" t="s">
        <v>353</v>
      </c>
      <c r="B438" s="103">
        <v>44687</v>
      </c>
      <c r="C438" s="102">
        <v>23612.16</v>
      </c>
    </row>
    <row r="439" spans="1:3">
      <c r="A439" s="102" t="s">
        <v>353</v>
      </c>
      <c r="B439" s="103">
        <v>44686</v>
      </c>
      <c r="C439" s="102">
        <v>24002.58</v>
      </c>
    </row>
    <row r="440" spans="1:3">
      <c r="A440" s="102" t="s">
        <v>353</v>
      </c>
      <c r="B440" s="103">
        <v>44685</v>
      </c>
      <c r="C440" s="102">
        <v>23995.35</v>
      </c>
    </row>
    <row r="441" spans="1:3">
      <c r="A441" s="102" t="s">
        <v>353</v>
      </c>
      <c r="B441" s="103">
        <v>44683</v>
      </c>
      <c r="C441" s="102">
        <v>24558.61</v>
      </c>
    </row>
    <row r="442" spans="1:3">
      <c r="A442" s="102" t="s">
        <v>353</v>
      </c>
      <c r="B442" s="103">
        <v>44680</v>
      </c>
      <c r="C442" s="102">
        <v>24606.78</v>
      </c>
    </row>
    <row r="443" spans="1:3">
      <c r="A443" s="102" t="s">
        <v>353</v>
      </c>
      <c r="B443" s="103">
        <v>44679</v>
      </c>
      <c r="C443" s="102">
        <v>24811.78</v>
      </c>
    </row>
    <row r="444" spans="1:3">
      <c r="A444" s="102" t="s">
        <v>353</v>
      </c>
      <c r="B444" s="103">
        <v>44678</v>
      </c>
      <c r="C444" s="102">
        <v>24508.3</v>
      </c>
    </row>
    <row r="445" spans="1:3">
      <c r="A445" s="102" t="s">
        <v>353</v>
      </c>
      <c r="B445" s="103">
        <v>44677</v>
      </c>
      <c r="C445" s="102">
        <v>24741.88</v>
      </c>
    </row>
    <row r="446" spans="1:3">
      <c r="A446" s="102" t="s">
        <v>353</v>
      </c>
      <c r="B446" s="103">
        <v>44676</v>
      </c>
      <c r="C446" s="102">
        <v>24386.78</v>
      </c>
    </row>
    <row r="447" spans="1:3">
      <c r="A447" s="102" t="s">
        <v>353</v>
      </c>
      <c r="B447" s="103">
        <v>44673</v>
      </c>
      <c r="C447" s="102">
        <v>24700.36</v>
      </c>
    </row>
    <row r="448" spans="1:3">
      <c r="A448" s="102" t="s">
        <v>353</v>
      </c>
      <c r="B448" s="103">
        <v>44672</v>
      </c>
      <c r="C448" s="102">
        <v>25017.73</v>
      </c>
    </row>
    <row r="449" spans="1:3">
      <c r="A449" s="102" t="s">
        <v>353</v>
      </c>
      <c r="B449" s="103">
        <v>44671</v>
      </c>
      <c r="C449" s="102">
        <v>24648.400000000001</v>
      </c>
    </row>
    <row r="450" spans="1:3">
      <c r="A450" s="102" t="s">
        <v>353</v>
      </c>
      <c r="B450" s="103">
        <v>44670</v>
      </c>
      <c r="C450" s="102">
        <v>24392.54</v>
      </c>
    </row>
    <row r="451" spans="1:3">
      <c r="A451" s="102" t="s">
        <v>353</v>
      </c>
      <c r="B451" s="103">
        <v>44669</v>
      </c>
      <c r="C451" s="102">
        <v>24701.75</v>
      </c>
    </row>
    <row r="452" spans="1:3">
      <c r="A452" s="102" t="s">
        <v>353</v>
      </c>
      <c r="B452" s="103">
        <v>44664</v>
      </c>
      <c r="C452" s="102">
        <v>25136.13</v>
      </c>
    </row>
    <row r="453" spans="1:3">
      <c r="A453" s="102" t="s">
        <v>353</v>
      </c>
      <c r="B453" s="103">
        <v>44663</v>
      </c>
      <c r="C453" s="102">
        <v>25214.76</v>
      </c>
    </row>
    <row r="454" spans="1:3">
      <c r="A454" s="102" t="s">
        <v>353</v>
      </c>
      <c r="B454" s="103">
        <v>44662</v>
      </c>
      <c r="C454" s="102">
        <v>25422.81</v>
      </c>
    </row>
    <row r="455" spans="1:3">
      <c r="A455" s="102" t="s">
        <v>353</v>
      </c>
      <c r="B455" s="103">
        <v>44659</v>
      </c>
      <c r="C455" s="102">
        <v>25580.15</v>
      </c>
    </row>
    <row r="456" spans="1:3">
      <c r="A456" s="102" t="s">
        <v>353</v>
      </c>
      <c r="B456" s="103">
        <v>44658</v>
      </c>
      <c r="C456" s="102">
        <v>25371.88</v>
      </c>
    </row>
    <row r="457" spans="1:3">
      <c r="A457" s="102" t="s">
        <v>353</v>
      </c>
      <c r="B457" s="103">
        <v>44657</v>
      </c>
      <c r="C457" s="102">
        <v>25613.71</v>
      </c>
    </row>
    <row r="458" spans="1:3">
      <c r="A458" s="102" t="s">
        <v>353</v>
      </c>
      <c r="B458" s="103">
        <v>44656</v>
      </c>
      <c r="C458" s="102">
        <v>25829.11</v>
      </c>
    </row>
    <row r="459" spans="1:3">
      <c r="A459" s="102" t="s">
        <v>353</v>
      </c>
      <c r="B459" s="103">
        <v>44655</v>
      </c>
      <c r="C459" s="102">
        <v>25964.720000000001</v>
      </c>
    </row>
    <row r="460" spans="1:3">
      <c r="A460" s="102" t="s">
        <v>353</v>
      </c>
      <c r="B460" s="103">
        <v>44652</v>
      </c>
      <c r="C460" s="102">
        <v>25413.94</v>
      </c>
    </row>
    <row r="461" spans="1:3">
      <c r="A461" s="102" t="s">
        <v>353</v>
      </c>
      <c r="B461" s="103">
        <v>44651</v>
      </c>
      <c r="C461" s="102">
        <v>25118.14</v>
      </c>
    </row>
    <row r="462" spans="1:3">
      <c r="A462" s="102" t="s">
        <v>353</v>
      </c>
      <c r="B462" s="103">
        <v>44650</v>
      </c>
      <c r="C462" s="102">
        <v>25166.31</v>
      </c>
    </row>
    <row r="463" spans="1:3">
      <c r="A463" s="102" t="s">
        <v>353</v>
      </c>
      <c r="B463" s="103">
        <v>44649</v>
      </c>
      <c r="C463" s="102">
        <v>24917.57</v>
      </c>
    </row>
    <row r="464" spans="1:3">
      <c r="A464" s="102" t="s">
        <v>353</v>
      </c>
      <c r="B464" s="103">
        <v>44648</v>
      </c>
      <c r="C464" s="102">
        <v>24768.69</v>
      </c>
    </row>
    <row r="465" spans="1:3">
      <c r="A465" s="102" t="s">
        <v>353</v>
      </c>
      <c r="B465" s="103">
        <v>44645</v>
      </c>
      <c r="C465" s="102">
        <v>24669.45</v>
      </c>
    </row>
    <row r="466" spans="1:3">
      <c r="A466" s="102" t="s">
        <v>353</v>
      </c>
      <c r="B466" s="103">
        <v>44644</v>
      </c>
      <c r="C466" s="102">
        <v>24769.75</v>
      </c>
    </row>
    <row r="467" spans="1:3">
      <c r="A467" s="102" t="s">
        <v>353</v>
      </c>
      <c r="B467" s="103">
        <v>44643</v>
      </c>
      <c r="C467" s="102">
        <v>24802.74</v>
      </c>
    </row>
    <row r="468" spans="1:3">
      <c r="A468" s="102" t="s">
        <v>353</v>
      </c>
      <c r="B468" s="103">
        <v>44642</v>
      </c>
      <c r="C468" s="102">
        <v>24903.14</v>
      </c>
    </row>
    <row r="469" spans="1:3">
      <c r="A469" s="102" t="s">
        <v>353</v>
      </c>
      <c r="B469" s="103">
        <v>44641</v>
      </c>
      <c r="C469" s="102">
        <v>24618.52</v>
      </c>
    </row>
    <row r="470" spans="1:3">
      <c r="A470" s="102" t="s">
        <v>353</v>
      </c>
      <c r="B470" s="103">
        <v>44637</v>
      </c>
      <c r="C470" s="102">
        <v>24862.27</v>
      </c>
    </row>
    <row r="471" spans="1:3">
      <c r="A471" s="102" t="s">
        <v>353</v>
      </c>
      <c r="B471" s="103">
        <v>44636</v>
      </c>
      <c r="C471" s="102">
        <v>24414</v>
      </c>
    </row>
    <row r="472" spans="1:3">
      <c r="A472" s="102" t="s">
        <v>353</v>
      </c>
      <c r="B472" s="103">
        <v>44635</v>
      </c>
      <c r="C472" s="102">
        <v>23964.720000000001</v>
      </c>
    </row>
    <row r="473" spans="1:3">
      <c r="A473" s="102" t="s">
        <v>353</v>
      </c>
      <c r="B473" s="103">
        <v>44634</v>
      </c>
      <c r="C473" s="102">
        <v>24264.29</v>
      </c>
    </row>
    <row r="474" spans="1:3">
      <c r="A474" s="102" t="s">
        <v>353</v>
      </c>
      <c r="B474" s="103">
        <v>44631</v>
      </c>
      <c r="C474" s="102">
        <v>23917.96</v>
      </c>
    </row>
    <row r="475" spans="1:3">
      <c r="A475" s="102" t="s">
        <v>353</v>
      </c>
      <c r="B475" s="103">
        <v>44630</v>
      </c>
      <c r="C475" s="102">
        <v>23866.77</v>
      </c>
    </row>
    <row r="476" spans="1:3">
      <c r="A476" s="102" t="s">
        <v>353</v>
      </c>
      <c r="B476" s="103">
        <v>44629</v>
      </c>
      <c r="C476" s="102">
        <v>23507.87</v>
      </c>
    </row>
    <row r="477" spans="1:3">
      <c r="A477" s="102" t="s">
        <v>353</v>
      </c>
      <c r="B477" s="103">
        <v>44628</v>
      </c>
      <c r="C477" s="102">
        <v>23030.560000000001</v>
      </c>
    </row>
    <row r="478" spans="1:3">
      <c r="A478" s="102" t="s">
        <v>353</v>
      </c>
      <c r="B478" s="103">
        <v>44627</v>
      </c>
      <c r="C478" s="102">
        <v>22814.41</v>
      </c>
    </row>
    <row r="479" spans="1:3">
      <c r="A479" s="102" t="s">
        <v>353</v>
      </c>
      <c r="B479" s="103">
        <v>44624</v>
      </c>
      <c r="C479" s="102">
        <v>23364.07</v>
      </c>
    </row>
    <row r="480" spans="1:3">
      <c r="A480" s="102" t="s">
        <v>353</v>
      </c>
      <c r="B480" s="103">
        <v>44623</v>
      </c>
      <c r="C480" s="102">
        <v>23727.54</v>
      </c>
    </row>
    <row r="481" spans="1:3">
      <c r="A481" s="102" t="s">
        <v>353</v>
      </c>
      <c r="B481" s="103">
        <v>44622</v>
      </c>
      <c r="C481" s="102">
        <v>23882.720000000001</v>
      </c>
    </row>
    <row r="482" spans="1:3">
      <c r="A482" s="102" t="s">
        <v>353</v>
      </c>
      <c r="B482" s="103">
        <v>44620</v>
      </c>
      <c r="C482" s="102">
        <v>24153.01</v>
      </c>
    </row>
    <row r="483" spans="1:3">
      <c r="A483" s="102" t="s">
        <v>353</v>
      </c>
      <c r="B483" s="103">
        <v>44617</v>
      </c>
      <c r="C483" s="102">
        <v>23958.1</v>
      </c>
    </row>
    <row r="484" spans="1:3">
      <c r="A484" s="102" t="s">
        <v>353</v>
      </c>
      <c r="B484" s="103">
        <v>44616</v>
      </c>
      <c r="C484" s="102">
        <v>23367.85</v>
      </c>
    </row>
    <row r="485" spans="1:3">
      <c r="A485" s="102" t="s">
        <v>353</v>
      </c>
      <c r="B485" s="103">
        <v>44615</v>
      </c>
      <c r="C485" s="102">
        <v>24540.41</v>
      </c>
    </row>
    <row r="486" spans="1:3">
      <c r="A486" s="102" t="s">
        <v>353</v>
      </c>
      <c r="B486" s="103">
        <v>44614</v>
      </c>
      <c r="C486" s="102">
        <v>24582.05</v>
      </c>
    </row>
    <row r="487" spans="1:3">
      <c r="A487" s="102" t="s">
        <v>353</v>
      </c>
      <c r="B487" s="103">
        <v>44613</v>
      </c>
      <c r="C487" s="102">
        <v>24746.59</v>
      </c>
    </row>
    <row r="488" spans="1:3">
      <c r="A488" s="102" t="s">
        <v>353</v>
      </c>
      <c r="B488" s="103">
        <v>44610</v>
      </c>
      <c r="C488" s="102">
        <v>24838.68</v>
      </c>
    </row>
    <row r="489" spans="1:3">
      <c r="A489" s="102" t="s">
        <v>353</v>
      </c>
      <c r="B489" s="103">
        <v>44609</v>
      </c>
      <c r="C489" s="102">
        <v>24879.32</v>
      </c>
    </row>
    <row r="490" spans="1:3">
      <c r="A490" s="102" t="s">
        <v>353</v>
      </c>
      <c r="B490" s="103">
        <v>44608</v>
      </c>
      <c r="C490" s="102">
        <v>24904.67</v>
      </c>
    </row>
    <row r="491" spans="1:3">
      <c r="A491" s="102" t="s">
        <v>353</v>
      </c>
      <c r="B491" s="103">
        <v>44607</v>
      </c>
      <c r="C491" s="102">
        <v>24941.93</v>
      </c>
    </row>
    <row r="492" spans="1:3">
      <c r="A492" s="102" t="s">
        <v>353</v>
      </c>
      <c r="B492" s="103">
        <v>44606</v>
      </c>
      <c r="C492" s="102">
        <v>24209.38</v>
      </c>
    </row>
    <row r="493" spans="1:3">
      <c r="A493" s="102" t="s">
        <v>353</v>
      </c>
      <c r="B493" s="103">
        <v>44603</v>
      </c>
      <c r="C493" s="102">
        <v>24958.45</v>
      </c>
    </row>
    <row r="494" spans="1:3">
      <c r="A494" s="102" t="s">
        <v>353</v>
      </c>
      <c r="B494" s="103">
        <v>44602</v>
      </c>
      <c r="C494" s="102">
        <v>25290.42</v>
      </c>
    </row>
    <row r="495" spans="1:3">
      <c r="A495" s="102" t="s">
        <v>353</v>
      </c>
      <c r="B495" s="103">
        <v>44601</v>
      </c>
      <c r="C495" s="102">
        <v>25084.6</v>
      </c>
    </row>
    <row r="496" spans="1:3">
      <c r="A496" s="102" t="s">
        <v>353</v>
      </c>
      <c r="B496" s="103">
        <v>44600</v>
      </c>
      <c r="C496" s="102">
        <v>24795.759999999998</v>
      </c>
    </row>
    <row r="497" spans="1:3">
      <c r="A497" s="102" t="s">
        <v>353</v>
      </c>
      <c r="B497" s="103">
        <v>44599</v>
      </c>
      <c r="C497" s="102">
        <v>24719.45</v>
      </c>
    </row>
    <row r="498" spans="1:3">
      <c r="A498" s="102" t="s">
        <v>353</v>
      </c>
      <c r="B498" s="103">
        <v>44596</v>
      </c>
      <c r="C498" s="102">
        <v>25154.14</v>
      </c>
    </row>
    <row r="499" spans="1:3">
      <c r="A499" s="102" t="s">
        <v>353</v>
      </c>
      <c r="B499" s="103">
        <v>44595</v>
      </c>
      <c r="C499" s="102">
        <v>25217.200000000001</v>
      </c>
    </row>
    <row r="500" spans="1:3">
      <c r="A500" s="102" t="s">
        <v>353</v>
      </c>
      <c r="B500" s="103">
        <v>44594</v>
      </c>
      <c r="C500" s="102">
        <v>25526.55</v>
      </c>
    </row>
    <row r="501" spans="1:3">
      <c r="A501" s="102" t="s">
        <v>353</v>
      </c>
      <c r="B501" s="103">
        <v>44593</v>
      </c>
      <c r="C501" s="102">
        <v>25234.89</v>
      </c>
    </row>
    <row r="502" spans="1:3">
      <c r="A502" s="102" t="s">
        <v>353</v>
      </c>
      <c r="B502" s="103">
        <v>44592</v>
      </c>
      <c r="C502" s="102">
        <v>24894.62</v>
      </c>
    </row>
    <row r="503" spans="1:3">
      <c r="A503" s="102" t="s">
        <v>353</v>
      </c>
      <c r="B503" s="103">
        <v>44589</v>
      </c>
      <c r="C503" s="102">
        <v>24553.040000000001</v>
      </c>
    </row>
    <row r="504" spans="1:3">
      <c r="A504" s="102" t="s">
        <v>353</v>
      </c>
      <c r="B504" s="103">
        <v>44588</v>
      </c>
      <c r="C504" s="102">
        <v>24564.81</v>
      </c>
    </row>
    <row r="505" spans="1:3">
      <c r="A505" s="102" t="s">
        <v>353</v>
      </c>
      <c r="B505" s="103">
        <v>44586</v>
      </c>
      <c r="C505" s="102">
        <v>24805.75</v>
      </c>
    </row>
    <row r="506" spans="1:3">
      <c r="A506" s="102" t="s">
        <v>353</v>
      </c>
      <c r="B506" s="103">
        <v>44585</v>
      </c>
      <c r="C506" s="102">
        <v>24620.720000000001</v>
      </c>
    </row>
    <row r="507" spans="1:3">
      <c r="A507" s="102" t="s">
        <v>353</v>
      </c>
      <c r="B507" s="103">
        <v>44582</v>
      </c>
      <c r="C507" s="102">
        <v>25292.720000000001</v>
      </c>
    </row>
    <row r="508" spans="1:3">
      <c r="A508" s="102" t="s">
        <v>353</v>
      </c>
      <c r="B508" s="103">
        <v>44581</v>
      </c>
      <c r="C508" s="102">
        <v>25492.99</v>
      </c>
    </row>
    <row r="509" spans="1:3">
      <c r="A509" s="102" t="s">
        <v>353</v>
      </c>
      <c r="B509" s="103">
        <v>44580</v>
      </c>
      <c r="C509" s="102">
        <v>25749.81</v>
      </c>
    </row>
    <row r="510" spans="1:3">
      <c r="A510" s="102" t="s">
        <v>353</v>
      </c>
      <c r="B510" s="103">
        <v>44579</v>
      </c>
      <c r="C510" s="102">
        <v>25998.14</v>
      </c>
    </row>
    <row r="511" spans="1:3">
      <c r="A511" s="102" t="s">
        <v>353</v>
      </c>
      <c r="B511" s="103">
        <v>44578</v>
      </c>
      <c r="C511" s="102">
        <v>26278.07</v>
      </c>
    </row>
    <row r="512" spans="1:3">
      <c r="A512" s="102" t="s">
        <v>353</v>
      </c>
      <c r="B512" s="103">
        <v>44575</v>
      </c>
      <c r="C512" s="102">
        <v>26202.97</v>
      </c>
    </row>
    <row r="513" spans="1:3">
      <c r="A513" s="102" t="s">
        <v>353</v>
      </c>
      <c r="B513" s="103">
        <v>44574</v>
      </c>
      <c r="C513" s="102">
        <v>26205.87</v>
      </c>
    </row>
    <row r="514" spans="1:3">
      <c r="A514" s="102" t="s">
        <v>353</v>
      </c>
      <c r="B514" s="103">
        <v>44573</v>
      </c>
      <c r="C514" s="102">
        <v>26140.68</v>
      </c>
    </row>
    <row r="515" spans="1:3">
      <c r="A515" s="102" t="s">
        <v>353</v>
      </c>
      <c r="B515" s="103">
        <v>44572</v>
      </c>
      <c r="C515" s="102">
        <v>25915.89</v>
      </c>
    </row>
    <row r="516" spans="1:3">
      <c r="A516" s="102" t="s">
        <v>353</v>
      </c>
      <c r="B516" s="103">
        <v>44571</v>
      </c>
      <c r="C516" s="102">
        <v>25840.62</v>
      </c>
    </row>
    <row r="517" spans="1:3">
      <c r="A517" s="102" t="s">
        <v>353</v>
      </c>
      <c r="B517" s="103">
        <v>44568</v>
      </c>
      <c r="C517" s="102">
        <v>25567.06</v>
      </c>
    </row>
    <row r="518" spans="1:3">
      <c r="A518" s="102" t="s">
        <v>353</v>
      </c>
      <c r="B518" s="103">
        <v>44567</v>
      </c>
      <c r="C518" s="102">
        <v>25471.18</v>
      </c>
    </row>
    <row r="519" spans="1:3">
      <c r="A519" s="102" t="s">
        <v>353</v>
      </c>
      <c r="B519" s="103">
        <v>44566</v>
      </c>
      <c r="C519" s="102">
        <v>25728.58</v>
      </c>
    </row>
    <row r="520" spans="1:3">
      <c r="A520" s="102" t="s">
        <v>353</v>
      </c>
      <c r="B520" s="103">
        <v>44565</v>
      </c>
      <c r="C520" s="102">
        <v>25556.34</v>
      </c>
    </row>
    <row r="521" spans="1:3">
      <c r="A521" s="102" t="s">
        <v>353</v>
      </c>
      <c r="B521" s="103">
        <v>44564</v>
      </c>
      <c r="C521" s="102">
        <v>25298.63</v>
      </c>
    </row>
    <row r="522" spans="1:3">
      <c r="A522" s="102" t="s">
        <v>353</v>
      </c>
      <c r="B522" s="103">
        <v>44561</v>
      </c>
      <c r="C522" s="102">
        <v>24908.71</v>
      </c>
    </row>
    <row r="523" spans="1:3">
      <c r="A523" s="102" t="s">
        <v>353</v>
      </c>
      <c r="B523" s="103">
        <v>44560</v>
      </c>
      <c r="C523" s="102">
        <v>24693.25</v>
      </c>
    </row>
    <row r="524" spans="1:3">
      <c r="A524" s="102" t="s">
        <v>353</v>
      </c>
      <c r="B524" s="103">
        <v>44559</v>
      </c>
      <c r="C524" s="102">
        <v>24707.1</v>
      </c>
    </row>
    <row r="525" spans="1:3">
      <c r="A525" s="102" t="s">
        <v>353</v>
      </c>
      <c r="B525" s="103">
        <v>44558</v>
      </c>
      <c r="C525" s="102">
        <v>24735.32</v>
      </c>
    </row>
    <row r="526" spans="1:3">
      <c r="A526" s="102" t="s">
        <v>353</v>
      </c>
      <c r="B526" s="103">
        <v>44557</v>
      </c>
      <c r="C526" s="102">
        <v>24524.36</v>
      </c>
    </row>
    <row r="527" spans="1:3">
      <c r="A527" s="102" t="s">
        <v>353</v>
      </c>
      <c r="B527" s="103">
        <v>44554</v>
      </c>
      <c r="C527" s="102">
        <v>24405.96</v>
      </c>
    </row>
    <row r="528" spans="1:3">
      <c r="A528" s="102" t="s">
        <v>353</v>
      </c>
      <c r="B528" s="103">
        <v>44553</v>
      </c>
      <c r="C528" s="102">
        <v>24504.75</v>
      </c>
    </row>
    <row r="529" spans="1:3">
      <c r="A529" s="102" t="s">
        <v>353</v>
      </c>
      <c r="B529" s="103">
        <v>44552</v>
      </c>
      <c r="C529" s="102">
        <v>24336.62</v>
      </c>
    </row>
    <row r="530" spans="1:3">
      <c r="A530" s="102" t="s">
        <v>353</v>
      </c>
      <c r="B530" s="103">
        <v>44551</v>
      </c>
      <c r="C530" s="102">
        <v>24063.78</v>
      </c>
    </row>
    <row r="531" spans="1:3">
      <c r="A531" s="102" t="s">
        <v>353</v>
      </c>
      <c r="B531" s="103">
        <v>44550</v>
      </c>
      <c r="C531" s="102">
        <v>23839.01</v>
      </c>
    </row>
    <row r="532" spans="1:3">
      <c r="A532" s="102" t="s">
        <v>353</v>
      </c>
      <c r="B532" s="103">
        <v>44547</v>
      </c>
      <c r="C532" s="102">
        <v>24371.37</v>
      </c>
    </row>
    <row r="533" spans="1:3">
      <c r="A533" s="102" t="s">
        <v>353</v>
      </c>
      <c r="B533" s="103">
        <v>44546</v>
      </c>
      <c r="C533" s="102">
        <v>24749.01</v>
      </c>
    </row>
    <row r="534" spans="1:3">
      <c r="A534" s="102" t="s">
        <v>353</v>
      </c>
      <c r="B534" s="103">
        <v>44545</v>
      </c>
      <c r="C534" s="102">
        <v>24710.3</v>
      </c>
    </row>
    <row r="535" spans="1:3">
      <c r="A535" s="102" t="s">
        <v>353</v>
      </c>
      <c r="B535" s="103">
        <v>44544</v>
      </c>
      <c r="C535" s="102">
        <v>24858.79</v>
      </c>
    </row>
    <row r="536" spans="1:3">
      <c r="A536" s="102" t="s">
        <v>353</v>
      </c>
      <c r="B536" s="103">
        <v>44543</v>
      </c>
      <c r="C536" s="102">
        <v>24921.02</v>
      </c>
    </row>
    <row r="537" spans="1:3">
      <c r="A537" s="102" t="s">
        <v>353</v>
      </c>
      <c r="B537" s="103">
        <v>44540</v>
      </c>
      <c r="C537" s="102">
        <v>25126.240000000002</v>
      </c>
    </row>
    <row r="538" spans="1:3">
      <c r="A538" s="102" t="s">
        <v>353</v>
      </c>
      <c r="B538" s="103">
        <v>44539</v>
      </c>
      <c r="C538" s="102">
        <v>25134.23</v>
      </c>
    </row>
    <row r="539" spans="1:3">
      <c r="A539" s="102" t="s">
        <v>353</v>
      </c>
      <c r="B539" s="103">
        <v>44538</v>
      </c>
      <c r="C539" s="102">
        <v>25066.62</v>
      </c>
    </row>
    <row r="540" spans="1:3">
      <c r="A540" s="102" t="s">
        <v>353</v>
      </c>
      <c r="B540" s="103">
        <v>44537</v>
      </c>
      <c r="C540" s="102">
        <v>24646.18</v>
      </c>
    </row>
    <row r="541" spans="1:3">
      <c r="A541" s="102" t="s">
        <v>353</v>
      </c>
      <c r="B541" s="103">
        <v>44536</v>
      </c>
      <c r="C541" s="102">
        <v>24266.71</v>
      </c>
    </row>
    <row r="542" spans="1:3">
      <c r="A542" s="102" t="s">
        <v>353</v>
      </c>
      <c r="B542" s="103">
        <v>44533</v>
      </c>
      <c r="C542" s="102">
        <v>24674.83</v>
      </c>
    </row>
    <row r="543" spans="1:3">
      <c r="A543" s="102" t="s">
        <v>353</v>
      </c>
      <c r="B543" s="103">
        <v>44532</v>
      </c>
      <c r="C543" s="102">
        <v>24968.91</v>
      </c>
    </row>
    <row r="544" spans="1:3">
      <c r="A544" s="102" t="s">
        <v>353</v>
      </c>
      <c r="B544" s="103">
        <v>44531</v>
      </c>
      <c r="C544" s="102">
        <v>24632.06</v>
      </c>
    </row>
    <row r="545" spans="1:3">
      <c r="A545" s="102" t="s">
        <v>353</v>
      </c>
      <c r="B545" s="103">
        <v>44530</v>
      </c>
      <c r="C545" s="102">
        <v>24368.53</v>
      </c>
    </row>
    <row r="546" spans="1:3">
      <c r="A546" s="102" t="s">
        <v>353</v>
      </c>
      <c r="B546" s="103">
        <v>44529</v>
      </c>
      <c r="C546" s="102">
        <v>24469.99</v>
      </c>
    </row>
    <row r="547" spans="1:3">
      <c r="A547" s="102" t="s">
        <v>353</v>
      </c>
      <c r="B547" s="103">
        <v>44526</v>
      </c>
      <c r="C547" s="102">
        <v>24430.53</v>
      </c>
    </row>
    <row r="548" spans="1:3">
      <c r="A548" s="102" t="s">
        <v>353</v>
      </c>
      <c r="B548" s="103">
        <v>44525</v>
      </c>
      <c r="C548" s="102">
        <v>25162.07</v>
      </c>
    </row>
    <row r="549" spans="1:3">
      <c r="A549" s="102" t="s">
        <v>353</v>
      </c>
      <c r="B549" s="103">
        <v>44524</v>
      </c>
      <c r="C549" s="102">
        <v>24988.18</v>
      </c>
    </row>
    <row r="550" spans="1:3">
      <c r="A550" s="102" t="s">
        <v>353</v>
      </c>
      <c r="B550" s="103">
        <v>44523</v>
      </c>
      <c r="C550" s="102">
        <v>25114.82</v>
      </c>
    </row>
    <row r="551" spans="1:3">
      <c r="A551" s="102" t="s">
        <v>353</v>
      </c>
      <c r="B551" s="103">
        <v>44522</v>
      </c>
      <c r="C551" s="102">
        <v>24990.27</v>
      </c>
    </row>
    <row r="552" spans="1:3">
      <c r="A552" s="102" t="s">
        <v>353</v>
      </c>
      <c r="B552" s="103">
        <v>44518</v>
      </c>
      <c r="C552" s="102">
        <v>25483.23</v>
      </c>
    </row>
    <row r="553" spans="1:3">
      <c r="A553" s="102" t="s">
        <v>353</v>
      </c>
      <c r="B553" s="103">
        <v>44517</v>
      </c>
      <c r="C553" s="102">
        <v>25675.200000000001</v>
      </c>
    </row>
    <row r="554" spans="1:3">
      <c r="A554" s="102" t="s">
        <v>353</v>
      </c>
      <c r="B554" s="103">
        <v>44516</v>
      </c>
      <c r="C554" s="102">
        <v>25819.49</v>
      </c>
    </row>
    <row r="555" spans="1:3">
      <c r="A555" s="102" t="s">
        <v>353</v>
      </c>
      <c r="B555" s="103">
        <v>44515</v>
      </c>
      <c r="C555" s="102">
        <v>25977.61</v>
      </c>
    </row>
    <row r="556" spans="1:3">
      <c r="A556" s="102" t="s">
        <v>353</v>
      </c>
      <c r="B556" s="103">
        <v>44512</v>
      </c>
      <c r="C556" s="102">
        <v>25968.02</v>
      </c>
    </row>
    <row r="557" spans="1:3">
      <c r="A557" s="102" t="s">
        <v>353</v>
      </c>
      <c r="B557" s="103">
        <v>44511</v>
      </c>
      <c r="C557" s="102">
        <v>25639.32</v>
      </c>
    </row>
    <row r="558" spans="1:3">
      <c r="A558" s="102" t="s">
        <v>353</v>
      </c>
      <c r="B558" s="103">
        <v>44510</v>
      </c>
      <c r="C558" s="102">
        <v>25839.47</v>
      </c>
    </row>
    <row r="559" spans="1:3">
      <c r="A559" s="102" t="s">
        <v>353</v>
      </c>
      <c r="B559" s="103">
        <v>44509</v>
      </c>
      <c r="C559" s="102">
        <v>25878.28</v>
      </c>
    </row>
    <row r="560" spans="1:3">
      <c r="A560" s="102" t="s">
        <v>353</v>
      </c>
      <c r="B560" s="103">
        <v>44508</v>
      </c>
      <c r="C560" s="102">
        <v>25913.09</v>
      </c>
    </row>
    <row r="561" spans="1:3">
      <c r="A561" s="102" t="s">
        <v>353</v>
      </c>
      <c r="B561" s="103">
        <v>44504</v>
      </c>
      <c r="C561" s="102">
        <v>25695.5</v>
      </c>
    </row>
    <row r="562" spans="1:3">
      <c r="A562" s="102" t="s">
        <v>353</v>
      </c>
      <c r="B562" s="103">
        <v>44503</v>
      </c>
      <c r="C562" s="102">
        <v>25569.86</v>
      </c>
    </row>
    <row r="563" spans="1:3">
      <c r="A563" s="102" t="s">
        <v>353</v>
      </c>
      <c r="B563" s="103">
        <v>44502</v>
      </c>
      <c r="C563" s="102">
        <v>25655.51</v>
      </c>
    </row>
    <row r="564" spans="1:3">
      <c r="A564" s="102" t="s">
        <v>353</v>
      </c>
      <c r="B564" s="103">
        <v>44501</v>
      </c>
      <c r="C564" s="102">
        <v>25710.799999999999</v>
      </c>
    </row>
    <row r="565" spans="1:3">
      <c r="A565" s="102" t="s">
        <v>353</v>
      </c>
      <c r="B565" s="103">
        <v>44498</v>
      </c>
      <c r="C565" s="102">
        <v>25340.83</v>
      </c>
    </row>
    <row r="566" spans="1:3">
      <c r="A566" s="102" t="s">
        <v>353</v>
      </c>
      <c r="B566" s="103">
        <v>44497</v>
      </c>
      <c r="C566" s="102">
        <v>25606.99</v>
      </c>
    </row>
    <row r="567" spans="1:3">
      <c r="A567" s="102" t="s">
        <v>353</v>
      </c>
      <c r="B567" s="103">
        <v>44496</v>
      </c>
      <c r="C567" s="102">
        <v>26113.62</v>
      </c>
    </row>
    <row r="568" spans="1:3">
      <c r="A568" s="102" t="s">
        <v>353</v>
      </c>
      <c r="B568" s="103">
        <v>44495</v>
      </c>
      <c r="C568" s="102">
        <v>26196.05</v>
      </c>
    </row>
    <row r="569" spans="1:3">
      <c r="A569" s="102" t="s">
        <v>353</v>
      </c>
      <c r="B569" s="103">
        <v>44494</v>
      </c>
      <c r="C569" s="102">
        <v>25967.040000000001</v>
      </c>
    </row>
    <row r="570" spans="1:3">
      <c r="A570" s="102" t="s">
        <v>353</v>
      </c>
      <c r="B570" s="103">
        <v>44491</v>
      </c>
      <c r="C570" s="102">
        <v>25952.01</v>
      </c>
    </row>
    <row r="571" spans="1:3">
      <c r="A571" s="102" t="s">
        <v>353</v>
      </c>
      <c r="B571" s="103">
        <v>44490</v>
      </c>
      <c r="C571" s="102">
        <v>26042.59</v>
      </c>
    </row>
    <row r="572" spans="1:3">
      <c r="A572" s="102" t="s">
        <v>353</v>
      </c>
      <c r="B572" s="103">
        <v>44489</v>
      </c>
      <c r="C572" s="102">
        <v>26165.78</v>
      </c>
    </row>
    <row r="573" spans="1:3">
      <c r="A573" s="102" t="s">
        <v>353</v>
      </c>
      <c r="B573" s="103">
        <v>44488</v>
      </c>
      <c r="C573" s="102">
        <v>26383.71</v>
      </c>
    </row>
    <row r="574" spans="1:3">
      <c r="A574" s="102" t="s">
        <v>353</v>
      </c>
      <c r="B574" s="103">
        <v>44487</v>
      </c>
      <c r="C574" s="102">
        <v>26467.21</v>
      </c>
    </row>
    <row r="575" spans="1:3">
      <c r="A575" s="102" t="s">
        <v>353</v>
      </c>
      <c r="B575" s="103">
        <v>44483</v>
      </c>
      <c r="C575" s="102">
        <v>26268.83</v>
      </c>
    </row>
    <row r="576" spans="1:3">
      <c r="A576" s="102" t="s">
        <v>353</v>
      </c>
      <c r="B576" s="103">
        <v>44482</v>
      </c>
      <c r="C576" s="102">
        <v>26013.19</v>
      </c>
    </row>
    <row r="577" spans="1:3">
      <c r="A577" s="102" t="s">
        <v>353</v>
      </c>
      <c r="B577" s="103">
        <v>44481</v>
      </c>
      <c r="C577" s="102">
        <v>25770.01</v>
      </c>
    </row>
    <row r="578" spans="1:3">
      <c r="A578" s="102" t="s">
        <v>353</v>
      </c>
      <c r="B578" s="103">
        <v>44480</v>
      </c>
      <c r="C578" s="102">
        <v>25704.1</v>
      </c>
    </row>
    <row r="579" spans="1:3">
      <c r="A579" s="102" t="s">
        <v>353</v>
      </c>
      <c r="B579" s="103">
        <v>44477</v>
      </c>
      <c r="C579" s="102">
        <v>25631.38</v>
      </c>
    </row>
    <row r="580" spans="1:3">
      <c r="A580" s="102" t="s">
        <v>353</v>
      </c>
      <c r="B580" s="103">
        <v>44476</v>
      </c>
      <c r="C580" s="102">
        <v>25481.26</v>
      </c>
    </row>
    <row r="581" spans="1:3">
      <c r="A581" s="102" t="s">
        <v>353</v>
      </c>
      <c r="B581" s="103">
        <v>44475</v>
      </c>
      <c r="C581" s="102">
        <v>25274.48</v>
      </c>
    </row>
    <row r="582" spans="1:3">
      <c r="A582" s="102" t="s">
        <v>353</v>
      </c>
      <c r="B582" s="103">
        <v>44474</v>
      </c>
      <c r="C582" s="102">
        <v>25526.98</v>
      </c>
    </row>
    <row r="583" spans="1:3">
      <c r="A583" s="102" t="s">
        <v>353</v>
      </c>
      <c r="B583" s="103">
        <v>44473</v>
      </c>
      <c r="C583" s="102">
        <v>25339.32</v>
      </c>
    </row>
    <row r="584" spans="1:3">
      <c r="A584" s="102" t="s">
        <v>353</v>
      </c>
      <c r="B584" s="103">
        <v>44470</v>
      </c>
      <c r="C584" s="102">
        <v>25111.25</v>
      </c>
    </row>
    <row r="585" spans="1:3">
      <c r="A585" s="102" t="s">
        <v>353</v>
      </c>
      <c r="B585" s="103">
        <v>44469</v>
      </c>
      <c r="C585" s="102">
        <v>25234.57</v>
      </c>
    </row>
    <row r="586" spans="1:3">
      <c r="A586" s="102" t="s">
        <v>353</v>
      </c>
      <c r="B586" s="103">
        <v>44468</v>
      </c>
      <c r="C586" s="102">
        <v>25367.99</v>
      </c>
    </row>
    <row r="587" spans="1:3">
      <c r="A587" s="102" t="s">
        <v>353</v>
      </c>
      <c r="B587" s="103">
        <v>44467</v>
      </c>
      <c r="C587" s="102">
        <v>25421.46</v>
      </c>
    </row>
    <row r="588" spans="1:3">
      <c r="A588" s="102" t="s">
        <v>353</v>
      </c>
      <c r="B588" s="103">
        <v>44466</v>
      </c>
      <c r="C588" s="102">
        <v>25573.99</v>
      </c>
    </row>
    <row r="589" spans="1:3">
      <c r="A589" s="102" t="s">
        <v>353</v>
      </c>
      <c r="B589" s="103">
        <v>44463</v>
      </c>
      <c r="C589" s="102">
        <v>25571.24</v>
      </c>
    </row>
    <row r="590" spans="1:3">
      <c r="A590" s="102" t="s">
        <v>353</v>
      </c>
      <c r="B590" s="103">
        <v>44462</v>
      </c>
      <c r="C590" s="102">
        <v>25527.919999999998</v>
      </c>
    </row>
    <row r="591" spans="1:3">
      <c r="A591" s="102" t="s">
        <v>353</v>
      </c>
      <c r="B591" s="103">
        <v>44461</v>
      </c>
      <c r="C591" s="102">
        <v>25132.15</v>
      </c>
    </row>
    <row r="592" spans="1:3">
      <c r="A592" s="102" t="s">
        <v>353</v>
      </c>
      <c r="B592" s="103">
        <v>44460</v>
      </c>
      <c r="C592" s="102">
        <v>25154.16</v>
      </c>
    </row>
    <row r="593" spans="1:3">
      <c r="A593" s="102" t="s">
        <v>353</v>
      </c>
      <c r="B593" s="103">
        <v>44459</v>
      </c>
      <c r="C593" s="102">
        <v>24917.72</v>
      </c>
    </row>
    <row r="594" spans="1:3">
      <c r="A594" s="102" t="s">
        <v>353</v>
      </c>
      <c r="B594" s="103">
        <v>44456</v>
      </c>
      <c r="C594" s="102">
        <v>25187.34</v>
      </c>
    </row>
    <row r="595" spans="1:3">
      <c r="A595" s="102" t="s">
        <v>353</v>
      </c>
      <c r="B595" s="103">
        <v>44455</v>
      </c>
      <c r="C595" s="102">
        <v>25250.87</v>
      </c>
    </row>
    <row r="596" spans="1:3">
      <c r="A596" s="102" t="s">
        <v>353</v>
      </c>
      <c r="B596" s="103">
        <v>44454</v>
      </c>
      <c r="C596" s="102">
        <v>25093.22</v>
      </c>
    </row>
    <row r="597" spans="1:3">
      <c r="A597" s="102" t="s">
        <v>353</v>
      </c>
      <c r="B597" s="103">
        <v>44453</v>
      </c>
      <c r="C597" s="102">
        <v>24893.51</v>
      </c>
    </row>
    <row r="598" spans="1:3">
      <c r="A598" s="102" t="s">
        <v>353</v>
      </c>
      <c r="B598" s="103">
        <v>44452</v>
      </c>
      <c r="C598" s="102">
        <v>24858.12</v>
      </c>
    </row>
    <row r="599" spans="1:3">
      <c r="A599" s="102" t="s">
        <v>353</v>
      </c>
      <c r="B599" s="103">
        <v>44448</v>
      </c>
      <c r="C599" s="102">
        <v>24878.09</v>
      </c>
    </row>
    <row r="600" spans="1:3">
      <c r="A600" s="102" t="s">
        <v>353</v>
      </c>
      <c r="B600" s="103">
        <v>44447</v>
      </c>
      <c r="C600" s="102">
        <v>24855.5</v>
      </c>
    </row>
    <row r="601" spans="1:3">
      <c r="A601" s="102" t="s">
        <v>353</v>
      </c>
      <c r="B601" s="103">
        <v>44446</v>
      </c>
      <c r="C601" s="102">
        <v>24857.27</v>
      </c>
    </row>
    <row r="602" spans="1:3">
      <c r="A602" s="102" t="s">
        <v>353</v>
      </c>
      <c r="B602" s="103">
        <v>44445</v>
      </c>
      <c r="C602" s="102">
        <v>24879.79</v>
      </c>
    </row>
    <row r="603" spans="1:3">
      <c r="A603" s="102" t="s">
        <v>353</v>
      </c>
      <c r="B603" s="103">
        <v>44442</v>
      </c>
      <c r="C603" s="102">
        <v>24802.17</v>
      </c>
    </row>
    <row r="604" spans="1:3">
      <c r="A604" s="102" t="s">
        <v>353</v>
      </c>
      <c r="B604" s="103">
        <v>44441</v>
      </c>
      <c r="C604" s="102">
        <v>24674.11</v>
      </c>
    </row>
    <row r="605" spans="1:3">
      <c r="A605" s="102" t="s">
        <v>353</v>
      </c>
      <c r="B605" s="103">
        <v>44440</v>
      </c>
      <c r="C605" s="102">
        <v>24445.62</v>
      </c>
    </row>
    <row r="606" spans="1:3">
      <c r="A606" s="102" t="s">
        <v>353</v>
      </c>
      <c r="B606" s="103">
        <v>44439</v>
      </c>
      <c r="C606" s="102">
        <v>24525.71</v>
      </c>
    </row>
    <row r="607" spans="1:3">
      <c r="A607" s="102" t="s">
        <v>353</v>
      </c>
      <c r="B607" s="103">
        <v>44438</v>
      </c>
      <c r="C607" s="102">
        <v>24237.8</v>
      </c>
    </row>
    <row r="608" spans="1:3">
      <c r="A608" s="102" t="s">
        <v>353</v>
      </c>
      <c r="B608" s="103">
        <v>44435</v>
      </c>
      <c r="C608" s="102">
        <v>23914.48</v>
      </c>
    </row>
    <row r="609" spans="1:3">
      <c r="A609" s="102" t="s">
        <v>353</v>
      </c>
      <c r="B609" s="103">
        <v>44434</v>
      </c>
      <c r="C609" s="102">
        <v>23816.68</v>
      </c>
    </row>
    <row r="610" spans="1:3">
      <c r="A610" s="102" t="s">
        <v>353</v>
      </c>
      <c r="B610" s="103">
        <v>44433</v>
      </c>
      <c r="C610" s="102">
        <v>23813.43</v>
      </c>
    </row>
    <row r="611" spans="1:3">
      <c r="A611" s="102" t="s">
        <v>353</v>
      </c>
      <c r="B611" s="103">
        <v>44432</v>
      </c>
      <c r="C611" s="102">
        <v>23799.1</v>
      </c>
    </row>
    <row r="612" spans="1:3">
      <c r="A612" s="102" t="s">
        <v>353</v>
      </c>
      <c r="B612" s="103">
        <v>44431</v>
      </c>
      <c r="C612" s="102">
        <v>23615.61</v>
      </c>
    </row>
    <row r="613" spans="1:3">
      <c r="A613" s="102" t="s">
        <v>353</v>
      </c>
      <c r="B613" s="103">
        <v>44428</v>
      </c>
      <c r="C613" s="102">
        <v>23549.09</v>
      </c>
    </row>
    <row r="614" spans="1:3">
      <c r="A614" s="102" t="s">
        <v>353</v>
      </c>
      <c r="B614" s="103">
        <v>44426</v>
      </c>
      <c r="C614" s="102">
        <v>23718.57</v>
      </c>
    </row>
    <row r="615" spans="1:3">
      <c r="A615" s="102" t="s">
        <v>353</v>
      </c>
      <c r="B615" s="103">
        <v>44425</v>
      </c>
      <c r="C615" s="102">
        <v>23784.05</v>
      </c>
    </row>
    <row r="616" spans="1:3">
      <c r="A616" s="102" t="s">
        <v>353</v>
      </c>
      <c r="B616" s="103">
        <v>44424</v>
      </c>
      <c r="C616" s="102">
        <v>23708.38</v>
      </c>
    </row>
    <row r="617" spans="1:3">
      <c r="A617" s="102" t="s">
        <v>353</v>
      </c>
      <c r="B617" s="103">
        <v>44421</v>
      </c>
      <c r="C617" s="102">
        <v>23659.78</v>
      </c>
    </row>
    <row r="618" spans="1:3">
      <c r="A618" s="102" t="s">
        <v>353</v>
      </c>
      <c r="B618" s="103">
        <v>44420</v>
      </c>
      <c r="C618" s="102">
        <v>23424.04</v>
      </c>
    </row>
    <row r="619" spans="1:3">
      <c r="A619" s="102" t="s">
        <v>353</v>
      </c>
      <c r="B619" s="103">
        <v>44419</v>
      </c>
      <c r="C619" s="102">
        <v>23303.89</v>
      </c>
    </row>
    <row r="620" spans="1:3">
      <c r="A620" s="102" t="s">
        <v>353</v>
      </c>
      <c r="B620" s="103">
        <v>44418</v>
      </c>
      <c r="C620" s="102">
        <v>23300.36</v>
      </c>
    </row>
    <row r="621" spans="1:3">
      <c r="A621" s="102" t="s">
        <v>353</v>
      </c>
      <c r="B621" s="103">
        <v>44417</v>
      </c>
      <c r="C621" s="102">
        <v>23269.119999999999</v>
      </c>
    </row>
    <row r="622" spans="1:3">
      <c r="A622" s="102" t="s">
        <v>353</v>
      </c>
      <c r="B622" s="103">
        <v>44414</v>
      </c>
      <c r="C622" s="102">
        <v>23238.83</v>
      </c>
    </row>
    <row r="623" spans="1:3">
      <c r="A623" s="102" t="s">
        <v>353</v>
      </c>
      <c r="B623" s="103">
        <v>44413</v>
      </c>
      <c r="C623" s="102">
        <v>23319.53</v>
      </c>
    </row>
    <row r="624" spans="1:3">
      <c r="A624" s="102" t="s">
        <v>353</v>
      </c>
      <c r="B624" s="103">
        <v>44412</v>
      </c>
      <c r="C624" s="102">
        <v>23265.07</v>
      </c>
    </row>
    <row r="625" spans="1:3">
      <c r="A625" s="102" t="s">
        <v>353</v>
      </c>
      <c r="B625" s="103">
        <v>44411</v>
      </c>
      <c r="C625" s="102">
        <v>23081.86</v>
      </c>
    </row>
    <row r="626" spans="1:3">
      <c r="A626" s="102" t="s">
        <v>353</v>
      </c>
      <c r="B626" s="103">
        <v>44410</v>
      </c>
      <c r="C626" s="102">
        <v>22730.42</v>
      </c>
    </row>
    <row r="627" spans="1:3">
      <c r="A627" s="102" t="s">
        <v>353</v>
      </c>
      <c r="B627" s="103">
        <v>44407</v>
      </c>
      <c r="C627" s="102">
        <v>22554.26</v>
      </c>
    </row>
    <row r="628" spans="1:3">
      <c r="A628" s="102" t="s">
        <v>353</v>
      </c>
      <c r="B628" s="103">
        <v>44406</v>
      </c>
      <c r="C628" s="102">
        <v>22576.34</v>
      </c>
    </row>
    <row r="629" spans="1:3">
      <c r="A629" s="102" t="s">
        <v>353</v>
      </c>
      <c r="B629" s="103">
        <v>44405</v>
      </c>
      <c r="C629" s="102">
        <v>22472.95</v>
      </c>
    </row>
    <row r="630" spans="1:3">
      <c r="A630" s="102" t="s">
        <v>353</v>
      </c>
      <c r="B630" s="103">
        <v>44404</v>
      </c>
      <c r="C630" s="102">
        <v>22518.799999999999</v>
      </c>
    </row>
    <row r="631" spans="1:3">
      <c r="A631" s="102" t="s">
        <v>353</v>
      </c>
      <c r="B631" s="103">
        <v>44403</v>
      </c>
      <c r="C631" s="102">
        <v>22628.19</v>
      </c>
    </row>
    <row r="632" spans="1:3">
      <c r="A632" s="102" t="s">
        <v>353</v>
      </c>
      <c r="B632" s="103">
        <v>44400</v>
      </c>
      <c r="C632" s="102">
        <v>22673.35</v>
      </c>
    </row>
    <row r="633" spans="1:3">
      <c r="A633" s="102" t="s">
        <v>353</v>
      </c>
      <c r="B633" s="103">
        <v>44399</v>
      </c>
      <c r="C633" s="102">
        <v>22621.45</v>
      </c>
    </row>
    <row r="634" spans="1:3">
      <c r="A634" s="102" t="s">
        <v>353</v>
      </c>
      <c r="B634" s="103">
        <v>44397</v>
      </c>
      <c r="C634" s="102">
        <v>22344.81</v>
      </c>
    </row>
    <row r="635" spans="1:3">
      <c r="A635" s="102" t="s">
        <v>353</v>
      </c>
      <c r="B635" s="103">
        <v>44396</v>
      </c>
      <c r="C635" s="102">
        <v>22516.71</v>
      </c>
    </row>
    <row r="636" spans="1:3">
      <c r="A636" s="102" t="s">
        <v>353</v>
      </c>
      <c r="B636" s="103">
        <v>44393</v>
      </c>
      <c r="C636" s="102">
        <v>22761.200000000001</v>
      </c>
    </row>
    <row r="637" spans="1:3">
      <c r="A637" s="102" t="s">
        <v>353</v>
      </c>
      <c r="B637" s="103">
        <v>44392</v>
      </c>
      <c r="C637" s="102">
        <v>22762.34</v>
      </c>
    </row>
    <row r="638" spans="1:3">
      <c r="A638" s="102" t="s">
        <v>353</v>
      </c>
      <c r="B638" s="103">
        <v>44391</v>
      </c>
      <c r="C638" s="102">
        <v>22656.78</v>
      </c>
    </row>
    <row r="639" spans="1:3">
      <c r="A639" s="102" t="s">
        <v>353</v>
      </c>
      <c r="B639" s="103">
        <v>44390</v>
      </c>
      <c r="C639" s="102">
        <v>22595.49</v>
      </c>
    </row>
    <row r="640" spans="1:3">
      <c r="A640" s="102" t="s">
        <v>353</v>
      </c>
      <c r="B640" s="103">
        <v>44389</v>
      </c>
      <c r="C640" s="102">
        <v>22424.39</v>
      </c>
    </row>
    <row r="641" spans="1:3">
      <c r="A641" s="102" t="s">
        <v>353</v>
      </c>
      <c r="B641" s="103">
        <v>44386</v>
      </c>
      <c r="C641" s="102">
        <v>22420.36</v>
      </c>
    </row>
    <row r="642" spans="1:3">
      <c r="A642" s="102" t="s">
        <v>353</v>
      </c>
      <c r="B642" s="103">
        <v>44385</v>
      </c>
      <c r="C642" s="102">
        <v>22473.81</v>
      </c>
    </row>
    <row r="643" spans="1:3">
      <c r="A643" s="102" t="s">
        <v>353</v>
      </c>
      <c r="B643" s="103">
        <v>44384</v>
      </c>
      <c r="C643" s="102">
        <v>22683.66</v>
      </c>
    </row>
    <row r="644" spans="1:3">
      <c r="A644" s="102" t="s">
        <v>353</v>
      </c>
      <c r="B644" s="103">
        <v>44383</v>
      </c>
      <c r="C644" s="102">
        <v>22595.93</v>
      </c>
    </row>
    <row r="645" spans="1:3">
      <c r="A645" s="102" t="s">
        <v>353</v>
      </c>
      <c r="B645" s="103">
        <v>44382</v>
      </c>
      <c r="C645" s="102">
        <v>22618.97</v>
      </c>
    </row>
    <row r="646" spans="1:3">
      <c r="A646" s="102" t="s">
        <v>353</v>
      </c>
      <c r="B646" s="103">
        <v>44379</v>
      </c>
      <c r="C646" s="102">
        <v>22456.66</v>
      </c>
    </row>
    <row r="647" spans="1:3">
      <c r="A647" s="102" t="s">
        <v>353</v>
      </c>
      <c r="B647" s="103">
        <v>44378</v>
      </c>
      <c r="C647" s="102">
        <v>22396.400000000001</v>
      </c>
    </row>
    <row r="648" spans="1:3">
      <c r="A648" s="102" t="s">
        <v>353</v>
      </c>
      <c r="B648" s="103">
        <v>44377</v>
      </c>
      <c r="C648" s="102">
        <v>22455.7</v>
      </c>
    </row>
    <row r="649" spans="1:3">
      <c r="A649" s="102" t="s">
        <v>353</v>
      </c>
      <c r="B649" s="103">
        <v>44376</v>
      </c>
      <c r="C649" s="102">
        <v>22493.599999999999</v>
      </c>
    </row>
    <row r="650" spans="1:3">
      <c r="A650" s="102" t="s">
        <v>353</v>
      </c>
      <c r="B650" s="103">
        <v>44375</v>
      </c>
      <c r="C650" s="102">
        <v>22578.86</v>
      </c>
    </row>
    <row r="651" spans="1:3">
      <c r="A651" s="102" t="s">
        <v>353</v>
      </c>
      <c r="B651" s="103">
        <v>44372</v>
      </c>
      <c r="C651" s="102">
        <v>22644.06</v>
      </c>
    </row>
    <row r="652" spans="1:3">
      <c r="A652" s="102" t="s">
        <v>353</v>
      </c>
      <c r="B652" s="103">
        <v>44371</v>
      </c>
      <c r="C652" s="102">
        <v>22544.26</v>
      </c>
    </row>
    <row r="653" spans="1:3">
      <c r="A653" s="102" t="s">
        <v>353</v>
      </c>
      <c r="B653" s="103">
        <v>44370</v>
      </c>
      <c r="C653" s="102">
        <v>22395.25</v>
      </c>
    </row>
    <row r="654" spans="1:3">
      <c r="A654" s="102" t="s">
        <v>353</v>
      </c>
      <c r="B654" s="103">
        <v>44369</v>
      </c>
      <c r="C654" s="102">
        <v>22517.74</v>
      </c>
    </row>
    <row r="655" spans="1:3">
      <c r="A655" s="102" t="s">
        <v>353</v>
      </c>
      <c r="B655" s="103">
        <v>44368</v>
      </c>
      <c r="C655" s="102">
        <v>22480.3</v>
      </c>
    </row>
    <row r="656" spans="1:3">
      <c r="A656" s="102" t="s">
        <v>353</v>
      </c>
      <c r="B656" s="103">
        <v>44365</v>
      </c>
      <c r="C656" s="102">
        <v>22390.11</v>
      </c>
    </row>
    <row r="657" spans="1:3">
      <c r="A657" s="102" t="s">
        <v>353</v>
      </c>
      <c r="B657" s="103">
        <v>44364</v>
      </c>
      <c r="C657" s="102">
        <v>22401.65</v>
      </c>
    </row>
    <row r="658" spans="1:3">
      <c r="A658" s="102" t="s">
        <v>353</v>
      </c>
      <c r="B658" s="103">
        <v>44363</v>
      </c>
      <c r="C658" s="102">
        <v>22503.9</v>
      </c>
    </row>
    <row r="659" spans="1:3">
      <c r="A659" s="102" t="s">
        <v>353</v>
      </c>
      <c r="B659" s="103">
        <v>44362</v>
      </c>
      <c r="C659" s="102">
        <v>22649.05</v>
      </c>
    </row>
    <row r="660" spans="1:3">
      <c r="A660" s="102" t="s">
        <v>353</v>
      </c>
      <c r="B660" s="103">
        <v>44361</v>
      </c>
      <c r="C660" s="102">
        <v>22567.11</v>
      </c>
    </row>
    <row r="661" spans="1:3">
      <c r="A661" s="102" t="s">
        <v>353</v>
      </c>
      <c r="B661" s="103">
        <v>44358</v>
      </c>
      <c r="C661" s="102">
        <v>22544.26</v>
      </c>
    </row>
    <row r="662" spans="1:3">
      <c r="A662" s="102" t="s">
        <v>353</v>
      </c>
      <c r="B662" s="103">
        <v>44357</v>
      </c>
      <c r="C662" s="102">
        <v>22448.94</v>
      </c>
    </row>
    <row r="663" spans="1:3">
      <c r="A663" s="102" t="s">
        <v>353</v>
      </c>
      <c r="B663" s="103">
        <v>44356</v>
      </c>
      <c r="C663" s="102">
        <v>22283.52</v>
      </c>
    </row>
    <row r="664" spans="1:3">
      <c r="A664" s="102" t="s">
        <v>353</v>
      </c>
      <c r="B664" s="103">
        <v>44355</v>
      </c>
      <c r="C664" s="102">
        <v>22432.77</v>
      </c>
    </row>
    <row r="665" spans="1:3">
      <c r="A665" s="102" t="s">
        <v>353</v>
      </c>
      <c r="B665" s="103">
        <v>44354</v>
      </c>
      <c r="C665" s="102">
        <v>22449.24</v>
      </c>
    </row>
    <row r="666" spans="1:3">
      <c r="A666" s="102" t="s">
        <v>353</v>
      </c>
      <c r="B666" s="103">
        <v>44351</v>
      </c>
      <c r="C666" s="102">
        <v>22333.23</v>
      </c>
    </row>
    <row r="667" spans="1:3">
      <c r="A667" s="102" t="s">
        <v>353</v>
      </c>
      <c r="B667" s="103">
        <v>44350</v>
      </c>
      <c r="C667" s="102">
        <v>22361.86</v>
      </c>
    </row>
    <row r="668" spans="1:3">
      <c r="A668" s="102" t="s">
        <v>353</v>
      </c>
      <c r="B668" s="103">
        <v>44349</v>
      </c>
      <c r="C668" s="102">
        <v>22194.18</v>
      </c>
    </row>
    <row r="669" spans="1:3">
      <c r="A669" s="102" t="s">
        <v>353</v>
      </c>
      <c r="B669" s="103">
        <v>44348</v>
      </c>
      <c r="C669" s="102">
        <v>22192.25</v>
      </c>
    </row>
    <row r="670" spans="1:3">
      <c r="A670" s="102" t="s">
        <v>353</v>
      </c>
      <c r="B670" s="103">
        <v>44347</v>
      </c>
      <c r="C670" s="102">
        <v>22203.59</v>
      </c>
    </row>
    <row r="671" spans="1:3">
      <c r="A671" s="102" t="s">
        <v>353</v>
      </c>
      <c r="B671" s="103">
        <v>44344</v>
      </c>
      <c r="C671" s="102">
        <v>21962.31</v>
      </c>
    </row>
    <row r="672" spans="1:3">
      <c r="A672" s="102" t="s">
        <v>353</v>
      </c>
      <c r="B672" s="103">
        <v>44343</v>
      </c>
      <c r="C672" s="102">
        <v>21823.14</v>
      </c>
    </row>
    <row r="673" spans="1:3">
      <c r="A673" s="102" t="s">
        <v>353</v>
      </c>
      <c r="B673" s="103">
        <v>44342</v>
      </c>
      <c r="C673" s="102">
        <v>21771.35</v>
      </c>
    </row>
    <row r="674" spans="1:3">
      <c r="A674" s="102" t="s">
        <v>353</v>
      </c>
      <c r="B674" s="103">
        <v>44341</v>
      </c>
      <c r="C674" s="102">
        <v>21639.040000000001</v>
      </c>
    </row>
    <row r="675" spans="1:3">
      <c r="A675" s="102" t="s">
        <v>353</v>
      </c>
      <c r="B675" s="103">
        <v>44340</v>
      </c>
      <c r="C675" s="102">
        <v>21617.03</v>
      </c>
    </row>
    <row r="676" spans="1:3">
      <c r="A676" s="102" t="s">
        <v>353</v>
      </c>
      <c r="B676" s="103">
        <v>44337</v>
      </c>
      <c r="C676" s="102">
        <v>21585.18</v>
      </c>
    </row>
    <row r="677" spans="1:3">
      <c r="A677" s="102" t="s">
        <v>353</v>
      </c>
      <c r="B677" s="103">
        <v>44336</v>
      </c>
      <c r="C677" s="102">
        <v>21202.21</v>
      </c>
    </row>
    <row r="678" spans="1:3">
      <c r="A678" s="102" t="s">
        <v>353</v>
      </c>
      <c r="B678" s="103">
        <v>44335</v>
      </c>
      <c r="C678" s="102">
        <v>21378.71</v>
      </c>
    </row>
    <row r="679" spans="1:3">
      <c r="A679" s="102" t="s">
        <v>353</v>
      </c>
      <c r="B679" s="103">
        <v>44334</v>
      </c>
      <c r="C679" s="102">
        <v>21489.56</v>
      </c>
    </row>
    <row r="680" spans="1:3">
      <c r="A680" s="102" t="s">
        <v>353</v>
      </c>
      <c r="B680" s="103">
        <v>44333</v>
      </c>
      <c r="C680" s="102">
        <v>21226.53</v>
      </c>
    </row>
    <row r="681" spans="1:3">
      <c r="A681" s="102" t="s">
        <v>353</v>
      </c>
      <c r="B681" s="103">
        <v>44330</v>
      </c>
      <c r="C681" s="102">
        <v>20877.560000000001</v>
      </c>
    </row>
    <row r="682" spans="1:3">
      <c r="A682" s="102" t="s">
        <v>353</v>
      </c>
      <c r="B682" s="103">
        <v>44328</v>
      </c>
      <c r="C682" s="102">
        <v>20904.13</v>
      </c>
    </row>
    <row r="683" spans="1:3">
      <c r="A683" s="102" t="s">
        <v>353</v>
      </c>
      <c r="B683" s="103">
        <v>44327</v>
      </c>
      <c r="C683" s="102">
        <v>21123.53</v>
      </c>
    </row>
    <row r="684" spans="1:3">
      <c r="A684" s="102" t="s">
        <v>353</v>
      </c>
      <c r="B684" s="103">
        <v>44326</v>
      </c>
      <c r="C684" s="102">
        <v>21253.8</v>
      </c>
    </row>
    <row r="685" spans="1:3">
      <c r="A685" s="102" t="s">
        <v>353</v>
      </c>
      <c r="B685" s="103">
        <v>44323</v>
      </c>
      <c r="C685" s="102">
        <v>21084.26</v>
      </c>
    </row>
    <row r="686" spans="1:3">
      <c r="A686" s="102" t="s">
        <v>353</v>
      </c>
      <c r="B686" s="103">
        <v>44322</v>
      </c>
      <c r="C686" s="102">
        <v>20944.41</v>
      </c>
    </row>
    <row r="687" spans="1:3">
      <c r="A687" s="102" t="s">
        <v>353</v>
      </c>
      <c r="B687" s="103">
        <v>44321</v>
      </c>
      <c r="C687" s="102">
        <v>20792.240000000002</v>
      </c>
    </row>
    <row r="688" spans="1:3">
      <c r="A688" s="102" t="s">
        <v>353</v>
      </c>
      <c r="B688" s="103">
        <v>44320</v>
      </c>
      <c r="C688" s="102">
        <v>20619.62</v>
      </c>
    </row>
    <row r="689" spans="1:3">
      <c r="A689" s="102" t="s">
        <v>353</v>
      </c>
      <c r="B689" s="103">
        <v>44319</v>
      </c>
      <c r="C689" s="102">
        <v>20815.43</v>
      </c>
    </row>
    <row r="690" spans="1:3">
      <c r="A690" s="102" t="s">
        <v>353</v>
      </c>
      <c r="B690" s="103">
        <v>44316</v>
      </c>
      <c r="C690" s="102">
        <v>20811.13</v>
      </c>
    </row>
    <row r="691" spans="1:3">
      <c r="A691" s="102" t="s">
        <v>353</v>
      </c>
      <c r="B691" s="103">
        <v>44315</v>
      </c>
      <c r="C691" s="102">
        <v>21186.3</v>
      </c>
    </row>
    <row r="692" spans="1:3">
      <c r="A692" s="102" t="s">
        <v>353</v>
      </c>
      <c r="B692" s="103">
        <v>44314</v>
      </c>
      <c r="C692" s="102">
        <v>21136.41</v>
      </c>
    </row>
    <row r="693" spans="1:3">
      <c r="A693" s="102" t="s">
        <v>353</v>
      </c>
      <c r="B693" s="103">
        <v>44313</v>
      </c>
      <c r="C693" s="102">
        <v>20835.669999999998</v>
      </c>
    </row>
    <row r="694" spans="1:3">
      <c r="A694" s="102" t="s">
        <v>353</v>
      </c>
      <c r="B694" s="103">
        <v>44312</v>
      </c>
      <c r="C694" s="102">
        <v>20596.72</v>
      </c>
    </row>
    <row r="695" spans="1:3">
      <c r="A695" s="102" t="s">
        <v>353</v>
      </c>
      <c r="B695" s="103">
        <v>44309</v>
      </c>
      <c r="C695" s="102">
        <v>20392.439999999999</v>
      </c>
    </row>
    <row r="696" spans="1:3">
      <c r="A696" s="102" t="s">
        <v>353</v>
      </c>
      <c r="B696" s="103">
        <v>44308</v>
      </c>
      <c r="C696" s="102">
        <v>20484.63</v>
      </c>
    </row>
    <row r="697" spans="1:3">
      <c r="A697" s="102" t="s">
        <v>353</v>
      </c>
      <c r="B697" s="103">
        <v>44306</v>
      </c>
      <c r="C697" s="102">
        <v>20328.55</v>
      </c>
    </row>
    <row r="698" spans="1:3">
      <c r="A698" s="102" t="s">
        <v>353</v>
      </c>
      <c r="B698" s="103">
        <v>44305</v>
      </c>
      <c r="C698" s="102">
        <v>20418.16</v>
      </c>
    </row>
    <row r="699" spans="1:3">
      <c r="A699" s="102" t="s">
        <v>353</v>
      </c>
      <c r="B699" s="103">
        <v>44302</v>
      </c>
      <c r="C699" s="102">
        <v>20785.61</v>
      </c>
    </row>
    <row r="700" spans="1:3">
      <c r="A700" s="102" t="s">
        <v>353</v>
      </c>
      <c r="B700" s="103">
        <v>44301</v>
      </c>
      <c r="C700" s="102">
        <v>20733.88</v>
      </c>
    </row>
    <row r="701" spans="1:3">
      <c r="A701" s="102" t="s">
        <v>353</v>
      </c>
      <c r="B701" s="103">
        <v>44299</v>
      </c>
      <c r="C701" s="102">
        <v>20624.86</v>
      </c>
    </row>
    <row r="702" spans="1:3">
      <c r="A702" s="102" t="s">
        <v>353</v>
      </c>
      <c r="B702" s="103">
        <v>44298</v>
      </c>
      <c r="C702" s="102">
        <v>20348.990000000002</v>
      </c>
    </row>
    <row r="703" spans="1:3">
      <c r="A703" s="102" t="s">
        <v>353</v>
      </c>
      <c r="B703" s="103">
        <v>44295</v>
      </c>
      <c r="C703" s="102">
        <v>21094.17</v>
      </c>
    </row>
    <row r="704" spans="1:3">
      <c r="A704" s="102" t="s">
        <v>353</v>
      </c>
      <c r="B704" s="103">
        <v>44294</v>
      </c>
      <c r="C704" s="102">
        <v>21149.59</v>
      </c>
    </row>
    <row r="705" spans="1:3">
      <c r="A705" s="102" t="s">
        <v>353</v>
      </c>
      <c r="B705" s="103">
        <v>44293</v>
      </c>
      <c r="C705" s="102">
        <v>21069.32</v>
      </c>
    </row>
    <row r="706" spans="1:3">
      <c r="A706" s="102" t="s">
        <v>353</v>
      </c>
      <c r="B706" s="103">
        <v>44292</v>
      </c>
      <c r="C706" s="102">
        <v>20876.57</v>
      </c>
    </row>
    <row r="707" spans="1:3">
      <c r="A707" s="102" t="s">
        <v>353</v>
      </c>
      <c r="B707" s="103">
        <v>44291</v>
      </c>
      <c r="C707" s="102">
        <v>20811.61</v>
      </c>
    </row>
    <row r="708" spans="1:3">
      <c r="A708" s="102" t="s">
        <v>353</v>
      </c>
      <c r="B708" s="103">
        <v>44287</v>
      </c>
      <c r="C708" s="102">
        <v>21137.69</v>
      </c>
    </row>
    <row r="709" spans="1:3">
      <c r="A709" s="102" t="s">
        <v>353</v>
      </c>
      <c r="B709" s="103">
        <v>44286</v>
      </c>
      <c r="C709" s="102">
        <v>20886.52</v>
      </c>
    </row>
    <row r="710" spans="1:3">
      <c r="A710" s="102" t="s">
        <v>353</v>
      </c>
      <c r="B710" s="103">
        <v>44285</v>
      </c>
      <c r="C710" s="102">
        <v>21106.06</v>
      </c>
    </row>
    <row r="711" spans="1:3">
      <c r="A711" s="102" t="s">
        <v>353</v>
      </c>
      <c r="B711" s="103">
        <v>44281</v>
      </c>
      <c r="C711" s="102">
        <v>20625.79</v>
      </c>
    </row>
    <row r="712" spans="1:3">
      <c r="A712" s="102" t="s">
        <v>353</v>
      </c>
      <c r="B712" s="103">
        <v>44280</v>
      </c>
      <c r="C712" s="102">
        <v>20366.419999999998</v>
      </c>
    </row>
    <row r="713" spans="1:3">
      <c r="A713" s="102" t="s">
        <v>353</v>
      </c>
      <c r="B713" s="103">
        <v>44279</v>
      </c>
      <c r="C713" s="102">
        <v>20684.27</v>
      </c>
    </row>
    <row r="714" spans="1:3">
      <c r="A714" s="102" t="s">
        <v>353</v>
      </c>
      <c r="B714" s="103">
        <v>44278</v>
      </c>
      <c r="C714" s="102">
        <v>21061.52</v>
      </c>
    </row>
    <row r="715" spans="1:3">
      <c r="A715" s="102" t="s">
        <v>353</v>
      </c>
      <c r="B715" s="103">
        <v>44277</v>
      </c>
      <c r="C715" s="102">
        <v>20947.650000000001</v>
      </c>
    </row>
    <row r="716" spans="1:3">
      <c r="A716" s="102" t="s">
        <v>353</v>
      </c>
      <c r="B716" s="103">
        <v>44274</v>
      </c>
      <c r="C716" s="102">
        <v>20956.87</v>
      </c>
    </row>
    <row r="717" spans="1:3">
      <c r="A717" s="102" t="s">
        <v>353</v>
      </c>
      <c r="B717" s="103">
        <v>44273</v>
      </c>
      <c r="C717" s="102">
        <v>20692.34</v>
      </c>
    </row>
    <row r="718" spans="1:3">
      <c r="A718" s="102" t="s">
        <v>353</v>
      </c>
      <c r="B718" s="103">
        <v>44272</v>
      </c>
      <c r="C718" s="102">
        <v>20924.61</v>
      </c>
    </row>
    <row r="719" spans="1:3">
      <c r="A719" s="102" t="s">
        <v>353</v>
      </c>
      <c r="B719" s="103">
        <v>44271</v>
      </c>
      <c r="C719" s="102">
        <v>21193.46</v>
      </c>
    </row>
    <row r="720" spans="1:3">
      <c r="A720" s="102" t="s">
        <v>353</v>
      </c>
      <c r="B720" s="103">
        <v>44270</v>
      </c>
      <c r="C720" s="102">
        <v>21220.59</v>
      </c>
    </row>
    <row r="721" spans="1:3">
      <c r="A721" s="102" t="s">
        <v>353</v>
      </c>
      <c r="B721" s="103">
        <v>44267</v>
      </c>
      <c r="C721" s="102">
        <v>21361.29</v>
      </c>
    </row>
    <row r="722" spans="1:3">
      <c r="A722" s="102" t="s">
        <v>353</v>
      </c>
      <c r="B722" s="103">
        <v>44265</v>
      </c>
      <c r="C722" s="102">
        <v>21565.72</v>
      </c>
    </row>
    <row r="723" spans="1:3">
      <c r="A723" s="102" t="s">
        <v>353</v>
      </c>
      <c r="B723" s="103">
        <v>44264</v>
      </c>
      <c r="C723" s="102">
        <v>21457.17</v>
      </c>
    </row>
    <row r="724" spans="1:3">
      <c r="A724" s="102" t="s">
        <v>353</v>
      </c>
      <c r="B724" s="103">
        <v>44263</v>
      </c>
      <c r="C724" s="102">
        <v>21255.06</v>
      </c>
    </row>
    <row r="725" spans="1:3">
      <c r="A725" s="102" t="s">
        <v>353</v>
      </c>
      <c r="B725" s="103">
        <v>44260</v>
      </c>
      <c r="C725" s="102">
        <v>21225.94</v>
      </c>
    </row>
    <row r="726" spans="1:3">
      <c r="A726" s="102" t="s">
        <v>353</v>
      </c>
      <c r="B726" s="103">
        <v>44259</v>
      </c>
      <c r="C726" s="102">
        <v>21428.63</v>
      </c>
    </row>
    <row r="727" spans="1:3">
      <c r="A727" s="102" t="s">
        <v>353</v>
      </c>
      <c r="B727" s="103">
        <v>44258</v>
      </c>
      <c r="C727" s="102">
        <v>21662.92</v>
      </c>
    </row>
    <row r="728" spans="1:3">
      <c r="A728" s="102" t="s">
        <v>353</v>
      </c>
      <c r="B728" s="103">
        <v>44257</v>
      </c>
      <c r="C728" s="102">
        <v>21198.93</v>
      </c>
    </row>
    <row r="729" spans="1:3">
      <c r="A729" s="102" t="s">
        <v>353</v>
      </c>
      <c r="B729" s="103">
        <v>44256</v>
      </c>
      <c r="C729" s="102">
        <v>20975.08</v>
      </c>
    </row>
    <row r="730" spans="1:3">
      <c r="A730" s="102" t="s">
        <v>353</v>
      </c>
      <c r="B730" s="103">
        <v>44253</v>
      </c>
      <c r="C730" s="102">
        <v>20644.88</v>
      </c>
    </row>
    <row r="731" spans="1:3">
      <c r="A731" s="102" t="s">
        <v>353</v>
      </c>
      <c r="B731" s="103">
        <v>44252</v>
      </c>
      <c r="C731" s="102">
        <v>21452.240000000002</v>
      </c>
    </row>
    <row r="732" spans="1:3">
      <c r="A732" s="102" t="s">
        <v>353</v>
      </c>
      <c r="B732" s="103">
        <v>44251</v>
      </c>
      <c r="C732" s="102">
        <v>21288.35</v>
      </c>
    </row>
    <row r="733" spans="1:3">
      <c r="A733" s="102" t="s">
        <v>353</v>
      </c>
      <c r="B733" s="103">
        <v>44250</v>
      </c>
      <c r="C733" s="102">
        <v>20898.75</v>
      </c>
    </row>
    <row r="734" spans="1:3">
      <c r="A734" s="102" t="s">
        <v>353</v>
      </c>
      <c r="B734" s="103">
        <v>44249</v>
      </c>
      <c r="C734" s="102">
        <v>20853.12</v>
      </c>
    </row>
    <row r="735" spans="1:3">
      <c r="A735" s="102" t="s">
        <v>353</v>
      </c>
      <c r="B735" s="103">
        <v>44246</v>
      </c>
      <c r="C735" s="102">
        <v>21273.279999999999</v>
      </c>
    </row>
    <row r="736" spans="1:3">
      <c r="A736" s="102" t="s">
        <v>353</v>
      </c>
      <c r="B736" s="103">
        <v>44245</v>
      </c>
      <c r="C736" s="102">
        <v>21468.11</v>
      </c>
    </row>
    <row r="737" spans="1:3">
      <c r="A737" s="102" t="s">
        <v>353</v>
      </c>
      <c r="B737" s="103">
        <v>44244</v>
      </c>
      <c r="C737" s="102">
        <v>21595.82</v>
      </c>
    </row>
    <row r="738" spans="1:3">
      <c r="A738" s="102" t="s">
        <v>353</v>
      </c>
      <c r="B738" s="103">
        <v>44243</v>
      </c>
      <c r="C738" s="102">
        <v>21737.9</v>
      </c>
    </row>
    <row r="739" spans="1:3">
      <c r="A739" s="102" t="s">
        <v>353</v>
      </c>
      <c r="B739" s="103">
        <v>44242</v>
      </c>
      <c r="C739" s="102">
        <v>21739.69</v>
      </c>
    </row>
    <row r="740" spans="1:3">
      <c r="A740" s="102" t="s">
        <v>353</v>
      </c>
      <c r="B740" s="103">
        <v>44239</v>
      </c>
      <c r="C740" s="102">
        <v>21521.82</v>
      </c>
    </row>
    <row r="741" spans="1:3">
      <c r="A741" s="102" t="s">
        <v>353</v>
      </c>
      <c r="B741" s="103">
        <v>44238</v>
      </c>
      <c r="C741" s="102">
        <v>21536</v>
      </c>
    </row>
    <row r="742" spans="1:3">
      <c r="A742" s="102" t="s">
        <v>353</v>
      </c>
      <c r="B742" s="103">
        <v>44237</v>
      </c>
      <c r="C742" s="102">
        <v>21436.44</v>
      </c>
    </row>
    <row r="743" spans="1:3">
      <c r="A743" s="102" t="s">
        <v>353</v>
      </c>
      <c r="B743" s="103">
        <v>44236</v>
      </c>
      <c r="C743" s="102">
        <v>21440.42</v>
      </c>
    </row>
    <row r="744" spans="1:3">
      <c r="A744" s="102" t="s">
        <v>353</v>
      </c>
      <c r="B744" s="103">
        <v>44235</v>
      </c>
      <c r="C744" s="102">
        <v>21447.64</v>
      </c>
    </row>
    <row r="745" spans="1:3">
      <c r="A745" s="102" t="s">
        <v>353</v>
      </c>
      <c r="B745" s="103">
        <v>44232</v>
      </c>
      <c r="C745" s="102">
        <v>21175.89</v>
      </c>
    </row>
    <row r="746" spans="1:3">
      <c r="A746" s="102" t="s">
        <v>353</v>
      </c>
      <c r="B746" s="103">
        <v>44231</v>
      </c>
      <c r="C746" s="102">
        <v>21135.31</v>
      </c>
    </row>
    <row r="747" spans="1:3">
      <c r="A747" s="102" t="s">
        <v>353</v>
      </c>
      <c r="B747" s="103">
        <v>44230</v>
      </c>
      <c r="C747" s="102">
        <v>20985.32</v>
      </c>
    </row>
    <row r="748" spans="1:3">
      <c r="A748" s="102" t="s">
        <v>353</v>
      </c>
      <c r="B748" s="103">
        <v>44229</v>
      </c>
      <c r="C748" s="102">
        <v>20783.689999999999</v>
      </c>
    </row>
    <row r="749" spans="1:3">
      <c r="A749" s="102" t="s">
        <v>353</v>
      </c>
      <c r="B749" s="103">
        <v>44228</v>
      </c>
      <c r="C749" s="102">
        <v>20263.439999999999</v>
      </c>
    </row>
    <row r="750" spans="1:3">
      <c r="A750" s="102" t="s">
        <v>353</v>
      </c>
      <c r="B750" s="103">
        <v>44225</v>
      </c>
      <c r="C750" s="102">
        <v>19346.03</v>
      </c>
    </row>
    <row r="751" spans="1:3">
      <c r="A751" s="102" t="s">
        <v>353</v>
      </c>
      <c r="B751" s="103">
        <v>44224</v>
      </c>
      <c r="C751" s="102">
        <v>19605.59</v>
      </c>
    </row>
    <row r="752" spans="1:3">
      <c r="A752" s="102" t="s">
        <v>353</v>
      </c>
      <c r="B752" s="103">
        <v>44223</v>
      </c>
      <c r="C752" s="102">
        <v>19818.34</v>
      </c>
    </row>
    <row r="753" spans="1:3">
      <c r="A753" s="102" t="s">
        <v>353</v>
      </c>
      <c r="B753" s="103">
        <v>44221</v>
      </c>
      <c r="C753" s="102">
        <v>20201.900000000001</v>
      </c>
    </row>
    <row r="754" spans="1:3">
      <c r="A754" s="102" t="s">
        <v>353</v>
      </c>
      <c r="B754" s="103">
        <v>44218</v>
      </c>
      <c r="C754" s="102">
        <v>20390.57</v>
      </c>
    </row>
    <row r="755" spans="1:3">
      <c r="A755" s="102" t="s">
        <v>353</v>
      </c>
      <c r="B755" s="103">
        <v>44217</v>
      </c>
      <c r="C755" s="102">
        <v>20700.02</v>
      </c>
    </row>
    <row r="756" spans="1:3">
      <c r="A756" s="102" t="s">
        <v>353</v>
      </c>
      <c r="B756" s="103">
        <v>44216</v>
      </c>
      <c r="C756" s="102">
        <v>20775.669999999998</v>
      </c>
    </row>
    <row r="757" spans="1:3">
      <c r="A757" s="102" t="s">
        <v>353</v>
      </c>
      <c r="B757" s="103">
        <v>44215</v>
      </c>
      <c r="C757" s="102">
        <v>20600.41</v>
      </c>
    </row>
    <row r="758" spans="1:3">
      <c r="A758" s="102" t="s">
        <v>353</v>
      </c>
      <c r="B758" s="103">
        <v>44214</v>
      </c>
      <c r="C758" s="102">
        <v>20260.18</v>
      </c>
    </row>
    <row r="759" spans="1:3">
      <c r="A759" s="102" t="s">
        <v>353</v>
      </c>
      <c r="B759" s="103">
        <v>44211</v>
      </c>
      <c r="C759" s="102">
        <v>20476.38</v>
      </c>
    </row>
    <row r="760" spans="1:3">
      <c r="A760" s="102" t="s">
        <v>353</v>
      </c>
      <c r="B760" s="103">
        <v>44210</v>
      </c>
      <c r="C760" s="102">
        <v>20706.07</v>
      </c>
    </row>
    <row r="761" spans="1:3">
      <c r="A761" s="102" t="s">
        <v>353</v>
      </c>
      <c r="B761" s="103">
        <v>44209</v>
      </c>
      <c r="C761" s="102">
        <v>20660.349999999999</v>
      </c>
    </row>
    <row r="762" spans="1:3">
      <c r="A762" s="102" t="s">
        <v>353</v>
      </c>
      <c r="B762" s="103">
        <v>44208</v>
      </c>
      <c r="C762" s="102">
        <v>20658.34</v>
      </c>
    </row>
    <row r="763" spans="1:3">
      <c r="A763" s="102" t="s">
        <v>353</v>
      </c>
      <c r="B763" s="103">
        <v>44207</v>
      </c>
      <c r="C763" s="102">
        <v>20546.740000000002</v>
      </c>
    </row>
    <row r="764" spans="1:3">
      <c r="A764" s="102" t="s">
        <v>353</v>
      </c>
      <c r="B764" s="103">
        <v>44204</v>
      </c>
      <c r="C764" s="102">
        <v>20351.669999999998</v>
      </c>
    </row>
    <row r="765" spans="1:3">
      <c r="A765" s="102" t="s">
        <v>353</v>
      </c>
      <c r="B765" s="103">
        <v>44203</v>
      </c>
      <c r="C765" s="102">
        <v>20053.97</v>
      </c>
    </row>
    <row r="766" spans="1:3">
      <c r="A766" s="102" t="s">
        <v>353</v>
      </c>
      <c r="B766" s="103">
        <v>44202</v>
      </c>
      <c r="C766" s="102">
        <v>20066.560000000001</v>
      </c>
    </row>
    <row r="767" spans="1:3">
      <c r="A767" s="102" t="s">
        <v>353</v>
      </c>
      <c r="B767" s="103">
        <v>44201</v>
      </c>
      <c r="C767" s="102">
        <v>20142.13</v>
      </c>
    </row>
    <row r="768" spans="1:3">
      <c r="A768" s="102" t="s">
        <v>353</v>
      </c>
      <c r="B768" s="103">
        <v>44200</v>
      </c>
      <c r="C768" s="102">
        <v>20047.61</v>
      </c>
    </row>
    <row r="769" spans="1:3">
      <c r="A769" s="102" t="s">
        <v>353</v>
      </c>
      <c r="B769" s="103">
        <v>44197</v>
      </c>
      <c r="C769" s="102">
        <v>19885.36</v>
      </c>
    </row>
    <row r="770" spans="1:3">
      <c r="A770" s="102" t="s">
        <v>353</v>
      </c>
      <c r="B770" s="103">
        <v>44196</v>
      </c>
      <c r="C770" s="102">
        <v>19833.189999999999</v>
      </c>
    </row>
    <row r="771" spans="1:3">
      <c r="A771" s="102" t="s">
        <v>353</v>
      </c>
      <c r="B771" s="103">
        <v>44195</v>
      </c>
      <c r="C771" s="102">
        <v>19833.53</v>
      </c>
    </row>
    <row r="772" spans="1:3">
      <c r="A772" s="102" t="s">
        <v>353</v>
      </c>
      <c r="B772" s="103">
        <v>44194</v>
      </c>
      <c r="C772" s="102">
        <v>19763.509999999998</v>
      </c>
    </row>
    <row r="773" spans="1:3">
      <c r="A773" s="102" t="s">
        <v>353</v>
      </c>
      <c r="B773" s="103">
        <v>44193</v>
      </c>
      <c r="C773" s="102">
        <v>19679.240000000002</v>
      </c>
    </row>
    <row r="774" spans="1:3">
      <c r="A774" s="102" t="s">
        <v>353</v>
      </c>
      <c r="B774" s="103">
        <v>44189</v>
      </c>
      <c r="C774" s="102">
        <v>19503.400000000001</v>
      </c>
    </row>
    <row r="775" spans="1:3">
      <c r="A775" s="102" t="s">
        <v>353</v>
      </c>
      <c r="B775" s="103">
        <v>44188</v>
      </c>
      <c r="C775" s="102">
        <v>19293.259999999998</v>
      </c>
    </row>
    <row r="776" spans="1:3">
      <c r="A776" s="102" t="s">
        <v>353</v>
      </c>
      <c r="B776" s="103">
        <v>44187</v>
      </c>
      <c r="C776" s="102">
        <v>19102.060000000001</v>
      </c>
    </row>
    <row r="777" spans="1:3">
      <c r="A777" s="102" t="s">
        <v>353</v>
      </c>
      <c r="B777" s="103">
        <v>44186</v>
      </c>
      <c r="C777" s="102">
        <v>18906.45</v>
      </c>
    </row>
    <row r="778" spans="1:3">
      <c r="A778" s="102" t="s">
        <v>353</v>
      </c>
      <c r="B778" s="103">
        <v>44183</v>
      </c>
      <c r="C778" s="102">
        <v>19519.419999999998</v>
      </c>
    </row>
    <row r="779" spans="1:3">
      <c r="A779" s="102" t="s">
        <v>353</v>
      </c>
      <c r="B779" s="103">
        <v>44182</v>
      </c>
      <c r="C779" s="102">
        <v>19491.3</v>
      </c>
    </row>
    <row r="780" spans="1:3">
      <c r="A780" s="102" t="s">
        <v>353</v>
      </c>
      <c r="B780" s="103">
        <v>44181</v>
      </c>
      <c r="C780" s="102">
        <v>19404.8</v>
      </c>
    </row>
    <row r="781" spans="1:3">
      <c r="A781" s="102" t="s">
        <v>353</v>
      </c>
      <c r="B781" s="103">
        <v>44180</v>
      </c>
      <c r="C781" s="102">
        <v>19241.900000000001</v>
      </c>
    </row>
    <row r="782" spans="1:3">
      <c r="A782" s="102" t="s">
        <v>353</v>
      </c>
      <c r="B782" s="103">
        <v>44179</v>
      </c>
      <c r="C782" s="102">
        <v>19228.16</v>
      </c>
    </row>
    <row r="783" spans="1:3">
      <c r="A783" s="102" t="s">
        <v>353</v>
      </c>
      <c r="B783" s="103">
        <v>44176</v>
      </c>
      <c r="C783" s="102">
        <v>19165.330000000002</v>
      </c>
    </row>
    <row r="784" spans="1:3">
      <c r="A784" s="102" t="s">
        <v>353</v>
      </c>
      <c r="B784" s="103">
        <v>44175</v>
      </c>
      <c r="C784" s="102">
        <v>19114.96</v>
      </c>
    </row>
    <row r="785" spans="1:3">
      <c r="A785" s="102" t="s">
        <v>353</v>
      </c>
      <c r="B785" s="103">
        <v>44174</v>
      </c>
      <c r="C785" s="102">
        <v>19186.95</v>
      </c>
    </row>
    <row r="786" spans="1:3">
      <c r="A786" s="102" t="s">
        <v>353</v>
      </c>
      <c r="B786" s="103">
        <v>44173</v>
      </c>
      <c r="C786" s="102">
        <v>18993.86</v>
      </c>
    </row>
    <row r="787" spans="1:3">
      <c r="A787" s="102" t="s">
        <v>353</v>
      </c>
      <c r="B787" s="103">
        <v>44172</v>
      </c>
      <c r="C787" s="102">
        <v>18941.150000000001</v>
      </c>
    </row>
    <row r="788" spans="1:3">
      <c r="A788" s="102" t="s">
        <v>353</v>
      </c>
      <c r="B788" s="103">
        <v>44169</v>
      </c>
      <c r="C788" s="102">
        <v>18803.27</v>
      </c>
    </row>
    <row r="789" spans="1:3">
      <c r="A789" s="102" t="s">
        <v>353</v>
      </c>
      <c r="B789" s="103">
        <v>44168</v>
      </c>
      <c r="C789" s="102">
        <v>18626.53</v>
      </c>
    </row>
    <row r="790" spans="1:3">
      <c r="A790" s="102" t="s">
        <v>353</v>
      </c>
      <c r="B790" s="103">
        <v>44167</v>
      </c>
      <c r="C790" s="102">
        <v>18597.900000000001</v>
      </c>
    </row>
    <row r="791" spans="1:3">
      <c r="A791" s="102" t="s">
        <v>353</v>
      </c>
      <c r="B791" s="103">
        <v>44166</v>
      </c>
      <c r="C791" s="102">
        <v>18591.25</v>
      </c>
    </row>
    <row r="792" spans="1:3">
      <c r="A792" s="102" t="s">
        <v>353</v>
      </c>
      <c r="B792" s="103">
        <v>44162</v>
      </c>
      <c r="C792" s="102">
        <v>18392.54</v>
      </c>
    </row>
    <row r="793" spans="1:3">
      <c r="A793" s="102" t="s">
        <v>353</v>
      </c>
      <c r="B793" s="103">
        <v>44161</v>
      </c>
      <c r="C793" s="102">
        <v>18418.16</v>
      </c>
    </row>
    <row r="794" spans="1:3">
      <c r="A794" s="102" t="s">
        <v>353</v>
      </c>
      <c r="B794" s="103">
        <v>44160</v>
      </c>
      <c r="C794" s="102">
        <v>18235.759999999998</v>
      </c>
    </row>
    <row r="795" spans="1:3">
      <c r="A795" s="102" t="s">
        <v>353</v>
      </c>
      <c r="B795" s="103">
        <v>44159</v>
      </c>
      <c r="C795" s="102">
        <v>18514.82</v>
      </c>
    </row>
    <row r="796" spans="1:3">
      <c r="A796" s="102" t="s">
        <v>353</v>
      </c>
      <c r="B796" s="103">
        <v>44158</v>
      </c>
      <c r="C796" s="102">
        <v>18332.330000000002</v>
      </c>
    </row>
    <row r="797" spans="1:3">
      <c r="A797" s="102" t="s">
        <v>353</v>
      </c>
      <c r="B797" s="103">
        <v>44155</v>
      </c>
      <c r="C797" s="102">
        <v>18236.68</v>
      </c>
    </row>
    <row r="798" spans="1:3">
      <c r="A798" s="102" t="s">
        <v>353</v>
      </c>
      <c r="B798" s="103">
        <v>44154</v>
      </c>
      <c r="C798" s="102">
        <v>18112.830000000002</v>
      </c>
    </row>
    <row r="799" spans="1:3">
      <c r="A799" s="102" t="s">
        <v>353</v>
      </c>
      <c r="B799" s="103">
        <v>44153</v>
      </c>
      <c r="C799" s="102">
        <v>18349.02</v>
      </c>
    </row>
    <row r="800" spans="1:3">
      <c r="A800" s="102" t="s">
        <v>353</v>
      </c>
      <c r="B800" s="103">
        <v>44152</v>
      </c>
      <c r="C800" s="102">
        <v>18258.23</v>
      </c>
    </row>
    <row r="801" spans="1:3">
      <c r="A801" s="102" t="s">
        <v>353</v>
      </c>
      <c r="B801" s="103">
        <v>44149</v>
      </c>
      <c r="C801" s="102">
        <v>18124.93</v>
      </c>
    </row>
    <row r="802" spans="1:3">
      <c r="A802" s="102" t="s">
        <v>353</v>
      </c>
      <c r="B802" s="103">
        <v>44148</v>
      </c>
      <c r="C802" s="102">
        <v>18039.439999999999</v>
      </c>
    </row>
    <row r="803" spans="1:3">
      <c r="A803" s="102" t="s">
        <v>353</v>
      </c>
      <c r="B803" s="103">
        <v>44147</v>
      </c>
      <c r="C803" s="102">
        <v>17998.11</v>
      </c>
    </row>
    <row r="804" spans="1:3">
      <c r="A804" s="102" t="s">
        <v>353</v>
      </c>
      <c r="B804" s="103">
        <v>44146</v>
      </c>
      <c r="C804" s="102">
        <v>18080.84</v>
      </c>
    </row>
    <row r="805" spans="1:3">
      <c r="A805" s="102" t="s">
        <v>353</v>
      </c>
      <c r="B805" s="103">
        <v>44145</v>
      </c>
      <c r="C805" s="102">
        <v>17913.400000000001</v>
      </c>
    </row>
    <row r="806" spans="1:3">
      <c r="A806" s="102" t="s">
        <v>353</v>
      </c>
      <c r="B806" s="103">
        <v>44144</v>
      </c>
      <c r="C806" s="102">
        <v>17672.25</v>
      </c>
    </row>
    <row r="807" spans="1:3">
      <c r="A807" s="102" t="s">
        <v>353</v>
      </c>
      <c r="B807" s="103">
        <v>44141</v>
      </c>
      <c r="C807" s="102">
        <v>17392.14</v>
      </c>
    </row>
    <row r="808" spans="1:3">
      <c r="A808" s="102" t="s">
        <v>353</v>
      </c>
      <c r="B808" s="103">
        <v>44140</v>
      </c>
      <c r="C808" s="102">
        <v>17189.03</v>
      </c>
    </row>
    <row r="809" spans="1:3">
      <c r="A809" s="102" t="s">
        <v>353</v>
      </c>
      <c r="B809" s="103">
        <v>44139</v>
      </c>
      <c r="C809" s="102">
        <v>16888.650000000001</v>
      </c>
    </row>
    <row r="810" spans="1:3">
      <c r="A810" s="102" t="s">
        <v>353</v>
      </c>
      <c r="B810" s="103">
        <v>44138</v>
      </c>
      <c r="C810" s="102">
        <v>16746.75</v>
      </c>
    </row>
    <row r="811" spans="1:3">
      <c r="A811" s="102" t="s">
        <v>353</v>
      </c>
      <c r="B811" s="103">
        <v>44137</v>
      </c>
      <c r="C811" s="102">
        <v>16542.080000000002</v>
      </c>
    </row>
    <row r="812" spans="1:3">
      <c r="A812" s="102" t="s">
        <v>353</v>
      </c>
      <c r="B812" s="103">
        <v>44134</v>
      </c>
      <c r="C812" s="102">
        <v>16504.16</v>
      </c>
    </row>
    <row r="813" spans="1:3">
      <c r="A813" s="102" t="s">
        <v>353</v>
      </c>
      <c r="B813" s="103">
        <v>44133</v>
      </c>
      <c r="C813" s="102">
        <v>16544.45</v>
      </c>
    </row>
    <row r="814" spans="1:3">
      <c r="A814" s="102" t="s">
        <v>353</v>
      </c>
      <c r="B814" s="103">
        <v>44132</v>
      </c>
      <c r="C814" s="102">
        <v>16623.13</v>
      </c>
    </row>
    <row r="815" spans="1:3">
      <c r="A815" s="102" t="s">
        <v>353</v>
      </c>
      <c r="B815" s="103">
        <v>44131</v>
      </c>
      <c r="C815" s="102">
        <v>16844.96</v>
      </c>
    </row>
    <row r="816" spans="1:3">
      <c r="A816" s="102" t="s">
        <v>353</v>
      </c>
      <c r="B816" s="103">
        <v>44130</v>
      </c>
      <c r="C816" s="102">
        <v>16672.62</v>
      </c>
    </row>
    <row r="817" spans="1:3">
      <c r="A817" s="102" t="s">
        <v>353</v>
      </c>
      <c r="B817" s="103">
        <v>44127</v>
      </c>
      <c r="C817" s="102">
        <v>16902.96</v>
      </c>
    </row>
    <row r="818" spans="1:3">
      <c r="A818" s="102" t="s">
        <v>353</v>
      </c>
      <c r="B818" s="103">
        <v>44126</v>
      </c>
      <c r="C818" s="102">
        <v>16840.52</v>
      </c>
    </row>
    <row r="819" spans="1:3">
      <c r="A819" s="102" t="s">
        <v>353</v>
      </c>
      <c r="B819" s="103">
        <v>44125</v>
      </c>
      <c r="C819" s="102">
        <v>16897.43</v>
      </c>
    </row>
    <row r="820" spans="1:3">
      <c r="A820" s="102" t="s">
        <v>353</v>
      </c>
      <c r="B820" s="103">
        <v>44124</v>
      </c>
      <c r="C820" s="102">
        <v>16839.599999999999</v>
      </c>
    </row>
    <row r="821" spans="1:3">
      <c r="A821" s="102" t="s">
        <v>353</v>
      </c>
      <c r="B821" s="103">
        <v>44123</v>
      </c>
      <c r="C821" s="102">
        <v>16805.97</v>
      </c>
    </row>
    <row r="822" spans="1:3">
      <c r="A822" s="102" t="s">
        <v>353</v>
      </c>
      <c r="B822" s="103">
        <v>44120</v>
      </c>
      <c r="C822" s="102">
        <v>16649.46</v>
      </c>
    </row>
    <row r="823" spans="1:3">
      <c r="A823" s="102" t="s">
        <v>353</v>
      </c>
      <c r="B823" s="103">
        <v>44119</v>
      </c>
      <c r="C823" s="102">
        <v>16533.240000000002</v>
      </c>
    </row>
    <row r="824" spans="1:3">
      <c r="A824" s="102" t="s">
        <v>353</v>
      </c>
      <c r="B824" s="103">
        <v>44118</v>
      </c>
      <c r="C824" s="102">
        <v>16944.73</v>
      </c>
    </row>
    <row r="825" spans="1:3">
      <c r="A825" s="102" t="s">
        <v>353</v>
      </c>
      <c r="B825" s="103">
        <v>44117</v>
      </c>
      <c r="C825" s="102">
        <v>16888.87</v>
      </c>
    </row>
    <row r="826" spans="1:3">
      <c r="A826" s="102" t="s">
        <v>353</v>
      </c>
      <c r="B826" s="103">
        <v>44116</v>
      </c>
      <c r="C826" s="102">
        <v>16883.84</v>
      </c>
    </row>
    <row r="827" spans="1:3">
      <c r="A827" s="102" t="s">
        <v>353</v>
      </c>
      <c r="B827" s="103">
        <v>44113</v>
      </c>
      <c r="C827" s="102">
        <v>16860.11</v>
      </c>
    </row>
    <row r="828" spans="1:3">
      <c r="A828" s="102" t="s">
        <v>353</v>
      </c>
      <c r="B828" s="103">
        <v>44112</v>
      </c>
      <c r="C828" s="102">
        <v>16747.48</v>
      </c>
    </row>
    <row r="829" spans="1:3">
      <c r="A829" s="102" t="s">
        <v>353</v>
      </c>
      <c r="B829" s="103">
        <v>44111</v>
      </c>
      <c r="C829" s="102">
        <v>16611.96</v>
      </c>
    </row>
    <row r="830" spans="1:3">
      <c r="A830" s="102" t="s">
        <v>353</v>
      </c>
      <c r="B830" s="103">
        <v>44110</v>
      </c>
      <c r="C830" s="102">
        <v>16503.77</v>
      </c>
    </row>
    <row r="831" spans="1:3">
      <c r="A831" s="102" t="s">
        <v>353</v>
      </c>
      <c r="B831" s="103">
        <v>44109</v>
      </c>
      <c r="C831" s="102">
        <v>16278.72</v>
      </c>
    </row>
    <row r="832" spans="1:3">
      <c r="A832" s="102" t="s">
        <v>353</v>
      </c>
      <c r="B832" s="103">
        <v>44105</v>
      </c>
      <c r="C832" s="102">
        <v>16156.44</v>
      </c>
    </row>
    <row r="833" spans="1:3">
      <c r="A833" s="102" t="s">
        <v>353</v>
      </c>
      <c r="B833" s="103">
        <v>44104</v>
      </c>
      <c r="C833" s="102">
        <v>15916.72</v>
      </c>
    </row>
    <row r="834" spans="1:3">
      <c r="A834" s="102" t="s">
        <v>353</v>
      </c>
      <c r="B834" s="103">
        <v>44103</v>
      </c>
      <c r="C834" s="102">
        <v>15881.16</v>
      </c>
    </row>
    <row r="835" spans="1:3">
      <c r="A835" s="102" t="s">
        <v>353</v>
      </c>
      <c r="B835" s="103">
        <v>44102</v>
      </c>
      <c r="C835" s="102">
        <v>15888.44</v>
      </c>
    </row>
    <row r="836" spans="1:3">
      <c r="A836" s="102" t="s">
        <v>353</v>
      </c>
      <c r="B836" s="103">
        <v>44099</v>
      </c>
      <c r="C836" s="102">
        <v>15637.53</v>
      </c>
    </row>
    <row r="837" spans="1:3">
      <c r="A837" s="102" t="s">
        <v>353</v>
      </c>
      <c r="B837" s="103">
        <v>44098</v>
      </c>
      <c r="C837" s="102">
        <v>15291.25</v>
      </c>
    </row>
    <row r="838" spans="1:3">
      <c r="A838" s="102" t="s">
        <v>353</v>
      </c>
      <c r="B838" s="103">
        <v>44097</v>
      </c>
      <c r="C838" s="102">
        <v>15752.97</v>
      </c>
    </row>
    <row r="839" spans="1:3">
      <c r="A839" s="102" t="s">
        <v>353</v>
      </c>
      <c r="B839" s="103">
        <v>44096</v>
      </c>
      <c r="C839" s="102">
        <v>15783.87</v>
      </c>
    </row>
    <row r="840" spans="1:3">
      <c r="A840" s="102" t="s">
        <v>353</v>
      </c>
      <c r="B840" s="103">
        <v>44095</v>
      </c>
      <c r="C840" s="102">
        <v>15920.99</v>
      </c>
    </row>
    <row r="841" spans="1:3">
      <c r="A841" s="102" t="s">
        <v>353</v>
      </c>
      <c r="B841" s="103">
        <v>44092</v>
      </c>
      <c r="C841" s="102">
        <v>16281</v>
      </c>
    </row>
    <row r="842" spans="1:3">
      <c r="A842" s="102" t="s">
        <v>353</v>
      </c>
      <c r="B842" s="103">
        <v>44091</v>
      </c>
      <c r="C842" s="102">
        <v>16296.78</v>
      </c>
    </row>
    <row r="843" spans="1:3">
      <c r="A843" s="102" t="s">
        <v>353</v>
      </c>
      <c r="B843" s="103">
        <v>44090</v>
      </c>
      <c r="C843" s="102">
        <v>16421.95</v>
      </c>
    </row>
    <row r="844" spans="1:3">
      <c r="A844" s="102" t="s">
        <v>353</v>
      </c>
      <c r="B844" s="103">
        <v>44089</v>
      </c>
      <c r="C844" s="102">
        <v>16304.84</v>
      </c>
    </row>
    <row r="845" spans="1:3">
      <c r="A845" s="102" t="s">
        <v>353</v>
      </c>
      <c r="B845" s="103">
        <v>44088</v>
      </c>
      <c r="C845" s="102">
        <v>16189.14</v>
      </c>
    </row>
    <row r="846" spans="1:3">
      <c r="A846" s="102" t="s">
        <v>353</v>
      </c>
      <c r="B846" s="103">
        <v>44085</v>
      </c>
      <c r="C846" s="102">
        <v>16222.92</v>
      </c>
    </row>
    <row r="847" spans="1:3">
      <c r="A847" s="102" t="s">
        <v>353</v>
      </c>
      <c r="B847" s="103">
        <v>44084</v>
      </c>
      <c r="C847" s="102">
        <v>16201.44</v>
      </c>
    </row>
    <row r="848" spans="1:3">
      <c r="A848" s="102" t="s">
        <v>353</v>
      </c>
      <c r="B848" s="103">
        <v>44083</v>
      </c>
      <c r="C848" s="102">
        <v>15958.99</v>
      </c>
    </row>
    <row r="849" spans="1:3">
      <c r="A849" s="102" t="s">
        <v>353</v>
      </c>
      <c r="B849" s="103">
        <v>44082</v>
      </c>
      <c r="C849" s="102">
        <v>16014.67</v>
      </c>
    </row>
    <row r="850" spans="1:3">
      <c r="A850" s="102" t="s">
        <v>353</v>
      </c>
      <c r="B850" s="103">
        <v>44081</v>
      </c>
      <c r="C850" s="102">
        <v>16068.06</v>
      </c>
    </row>
    <row r="851" spans="1:3">
      <c r="A851" s="102" t="s">
        <v>353</v>
      </c>
      <c r="B851" s="103">
        <v>44078</v>
      </c>
      <c r="C851" s="102">
        <v>16038.07</v>
      </c>
    </row>
    <row r="852" spans="1:3">
      <c r="A852" s="102" t="s">
        <v>353</v>
      </c>
      <c r="B852" s="103">
        <v>44077</v>
      </c>
      <c r="C852" s="102">
        <v>16311.99</v>
      </c>
    </row>
    <row r="853" spans="1:3">
      <c r="A853" s="102" t="s">
        <v>353</v>
      </c>
      <c r="B853" s="103">
        <v>44076</v>
      </c>
      <c r="C853" s="102">
        <v>16322.17</v>
      </c>
    </row>
    <row r="854" spans="1:3">
      <c r="A854" s="102" t="s">
        <v>353</v>
      </c>
      <c r="B854" s="103">
        <v>44075</v>
      </c>
      <c r="C854" s="102">
        <v>16227.14</v>
      </c>
    </row>
    <row r="855" spans="1:3">
      <c r="A855" s="102" t="s">
        <v>353</v>
      </c>
      <c r="B855" s="103">
        <v>44074</v>
      </c>
      <c r="C855" s="102">
        <v>16110.07</v>
      </c>
    </row>
    <row r="856" spans="1:3">
      <c r="A856" s="102" t="s">
        <v>353</v>
      </c>
      <c r="B856" s="103">
        <v>44071</v>
      </c>
      <c r="C856" s="102">
        <v>16478.009999999998</v>
      </c>
    </row>
    <row r="857" spans="1:3">
      <c r="A857" s="102" t="s">
        <v>353</v>
      </c>
      <c r="B857" s="103">
        <v>44070</v>
      </c>
      <c r="C857" s="102">
        <v>16353.08</v>
      </c>
    </row>
    <row r="858" spans="1:3">
      <c r="A858" s="102" t="s">
        <v>353</v>
      </c>
      <c r="B858" s="103">
        <v>44069</v>
      </c>
      <c r="C858" s="102">
        <v>16339.41</v>
      </c>
    </row>
    <row r="859" spans="1:3">
      <c r="A859" s="102" t="s">
        <v>353</v>
      </c>
      <c r="B859" s="103">
        <v>44068</v>
      </c>
      <c r="C859" s="102">
        <v>16226.2</v>
      </c>
    </row>
    <row r="860" spans="1:3">
      <c r="A860" s="102" t="s">
        <v>353</v>
      </c>
      <c r="B860" s="103">
        <v>44067</v>
      </c>
      <c r="C860" s="102">
        <v>16218.02</v>
      </c>
    </row>
    <row r="861" spans="1:3">
      <c r="A861" s="102" t="s">
        <v>353</v>
      </c>
      <c r="B861" s="103">
        <v>44064</v>
      </c>
      <c r="C861" s="102">
        <v>16083.84</v>
      </c>
    </row>
    <row r="862" spans="1:3">
      <c r="A862" s="102" t="s">
        <v>353</v>
      </c>
      <c r="B862" s="103">
        <v>44063</v>
      </c>
      <c r="C862" s="102">
        <v>15999.86</v>
      </c>
    </row>
    <row r="863" spans="1:3">
      <c r="A863" s="102" t="s">
        <v>353</v>
      </c>
      <c r="B863" s="103">
        <v>44062</v>
      </c>
      <c r="C863" s="102">
        <v>16135.89</v>
      </c>
    </row>
    <row r="864" spans="1:3">
      <c r="A864" s="102" t="s">
        <v>353</v>
      </c>
      <c r="B864" s="103">
        <v>44061</v>
      </c>
      <c r="C864" s="102">
        <v>16101.86</v>
      </c>
    </row>
    <row r="865" spans="1:3">
      <c r="A865" s="102" t="s">
        <v>353</v>
      </c>
      <c r="B865" s="103">
        <v>44060</v>
      </c>
      <c r="C865" s="102">
        <v>15906.29</v>
      </c>
    </row>
    <row r="866" spans="1:3">
      <c r="A866" s="102" t="s">
        <v>353</v>
      </c>
      <c r="B866" s="103">
        <v>44057</v>
      </c>
      <c r="C866" s="102">
        <v>15809.17</v>
      </c>
    </row>
    <row r="867" spans="1:3">
      <c r="A867" s="102" t="s">
        <v>353</v>
      </c>
      <c r="B867" s="103">
        <v>44056</v>
      </c>
      <c r="C867" s="102">
        <v>15981.73</v>
      </c>
    </row>
    <row r="868" spans="1:3">
      <c r="A868" s="102" t="s">
        <v>353</v>
      </c>
      <c r="B868" s="103">
        <v>44055</v>
      </c>
      <c r="C868" s="102">
        <v>15986.03</v>
      </c>
    </row>
    <row r="869" spans="1:3">
      <c r="A869" s="102" t="s">
        <v>353</v>
      </c>
      <c r="B869" s="103">
        <v>44054</v>
      </c>
      <c r="C869" s="102">
        <v>16005.99</v>
      </c>
    </row>
    <row r="870" spans="1:3">
      <c r="A870" s="102" t="s">
        <v>353</v>
      </c>
      <c r="B870" s="103">
        <v>44053</v>
      </c>
      <c r="C870" s="102">
        <v>15931.97</v>
      </c>
    </row>
    <row r="871" spans="1:3">
      <c r="A871" s="102" t="s">
        <v>353</v>
      </c>
      <c r="B871" s="103">
        <v>44050</v>
      </c>
      <c r="C871" s="102">
        <v>15852.65</v>
      </c>
    </row>
    <row r="872" spans="1:3">
      <c r="A872" s="102" t="s">
        <v>353</v>
      </c>
      <c r="B872" s="103">
        <v>44049</v>
      </c>
      <c r="C872" s="102">
        <v>15833.02</v>
      </c>
    </row>
    <row r="873" spans="1:3">
      <c r="A873" s="102" t="s">
        <v>353</v>
      </c>
      <c r="B873" s="103">
        <v>44048</v>
      </c>
      <c r="C873" s="102">
        <v>15689.69</v>
      </c>
    </row>
    <row r="874" spans="1:3">
      <c r="A874" s="102" t="s">
        <v>353</v>
      </c>
      <c r="B874" s="103">
        <v>44047</v>
      </c>
      <c r="C874" s="102">
        <v>15676.74</v>
      </c>
    </row>
    <row r="875" spans="1:3">
      <c r="A875" s="102" t="s">
        <v>353</v>
      </c>
      <c r="B875" s="103">
        <v>44046</v>
      </c>
      <c r="C875" s="102">
        <v>15388.98</v>
      </c>
    </row>
    <row r="876" spans="1:3">
      <c r="A876" s="102" t="s">
        <v>353</v>
      </c>
      <c r="B876" s="103">
        <v>44043</v>
      </c>
      <c r="C876" s="102">
        <v>15645.34</v>
      </c>
    </row>
    <row r="877" spans="1:3">
      <c r="A877" s="102" t="s">
        <v>353</v>
      </c>
      <c r="B877" s="103">
        <v>44042</v>
      </c>
      <c r="C877" s="102">
        <v>15685.92</v>
      </c>
    </row>
    <row r="878" spans="1:3">
      <c r="A878" s="102" t="s">
        <v>353</v>
      </c>
      <c r="B878" s="103">
        <v>44041</v>
      </c>
      <c r="C878" s="102">
        <v>15824.19</v>
      </c>
    </row>
    <row r="879" spans="1:3">
      <c r="A879" s="102" t="s">
        <v>353</v>
      </c>
      <c r="B879" s="103">
        <v>44040</v>
      </c>
      <c r="C879" s="102">
        <v>15961.7</v>
      </c>
    </row>
    <row r="880" spans="1:3">
      <c r="A880" s="102" t="s">
        <v>353</v>
      </c>
      <c r="B880" s="103">
        <v>44039</v>
      </c>
      <c r="C880" s="102">
        <v>15723.39</v>
      </c>
    </row>
    <row r="881" spans="1:3">
      <c r="A881" s="102" t="s">
        <v>353</v>
      </c>
      <c r="B881" s="103">
        <v>44036</v>
      </c>
      <c r="C881" s="102">
        <v>15811.4</v>
      </c>
    </row>
    <row r="882" spans="1:3">
      <c r="A882" s="102" t="s">
        <v>353</v>
      </c>
      <c r="B882" s="103">
        <v>44035</v>
      </c>
      <c r="C882" s="102">
        <v>15841.48</v>
      </c>
    </row>
    <row r="883" spans="1:3">
      <c r="A883" s="102" t="s">
        <v>353</v>
      </c>
      <c r="B883" s="103">
        <v>44034</v>
      </c>
      <c r="C883" s="102">
        <v>15722.51</v>
      </c>
    </row>
    <row r="884" spans="1:3">
      <c r="A884" s="102" t="s">
        <v>353</v>
      </c>
      <c r="B884" s="103">
        <v>44033</v>
      </c>
      <c r="C884" s="102">
        <v>15764.41</v>
      </c>
    </row>
    <row r="885" spans="1:3">
      <c r="A885" s="102" t="s">
        <v>353</v>
      </c>
      <c r="B885" s="103">
        <v>44032</v>
      </c>
      <c r="C885" s="102">
        <v>15566.56</v>
      </c>
    </row>
    <row r="886" spans="1:3">
      <c r="A886" s="102" t="s">
        <v>353</v>
      </c>
      <c r="B886" s="103">
        <v>44029</v>
      </c>
      <c r="C886" s="102">
        <v>15396.44</v>
      </c>
    </row>
    <row r="887" spans="1:3">
      <c r="A887" s="102" t="s">
        <v>353</v>
      </c>
      <c r="B887" s="103">
        <v>44028</v>
      </c>
      <c r="C887" s="102">
        <v>15167.99</v>
      </c>
    </row>
    <row r="888" spans="1:3">
      <c r="A888" s="102" t="s">
        <v>353</v>
      </c>
      <c r="B888" s="103">
        <v>44027</v>
      </c>
      <c r="C888" s="102">
        <v>14993.52</v>
      </c>
    </row>
    <row r="889" spans="1:3">
      <c r="A889" s="102" t="s">
        <v>353</v>
      </c>
      <c r="B889" s="103">
        <v>44026</v>
      </c>
      <c r="C889" s="102">
        <v>14978.23</v>
      </c>
    </row>
    <row r="890" spans="1:3">
      <c r="A890" s="102" t="s">
        <v>353</v>
      </c>
      <c r="B890" s="103">
        <v>44025</v>
      </c>
      <c r="C890" s="102">
        <v>15254.09</v>
      </c>
    </row>
    <row r="891" spans="1:3">
      <c r="A891" s="102" t="s">
        <v>353</v>
      </c>
      <c r="B891" s="103">
        <v>44022</v>
      </c>
      <c r="C891" s="102">
        <v>15204.13</v>
      </c>
    </row>
    <row r="892" spans="1:3">
      <c r="A892" s="102" t="s">
        <v>353</v>
      </c>
      <c r="B892" s="103">
        <v>44021</v>
      </c>
      <c r="C892" s="102">
        <v>15268.19</v>
      </c>
    </row>
    <row r="893" spans="1:3">
      <c r="A893" s="102" t="s">
        <v>353</v>
      </c>
      <c r="B893" s="103">
        <v>44020</v>
      </c>
      <c r="C893" s="102">
        <v>15104.09</v>
      </c>
    </row>
    <row r="894" spans="1:3">
      <c r="A894" s="102" t="s">
        <v>353</v>
      </c>
      <c r="B894" s="103">
        <v>44019</v>
      </c>
      <c r="C894" s="102">
        <v>15236.58</v>
      </c>
    </row>
    <row r="895" spans="1:3">
      <c r="A895" s="102" t="s">
        <v>353</v>
      </c>
      <c r="B895" s="103">
        <v>44018</v>
      </c>
      <c r="C895" s="102">
        <v>15185.78</v>
      </c>
    </row>
    <row r="896" spans="1:3">
      <c r="A896" s="102" t="s">
        <v>353</v>
      </c>
      <c r="B896" s="103">
        <v>44015</v>
      </c>
      <c r="C896" s="102">
        <v>14964.59</v>
      </c>
    </row>
    <row r="897" spans="1:3">
      <c r="A897" s="102" t="s">
        <v>353</v>
      </c>
      <c r="B897" s="103">
        <v>44014</v>
      </c>
      <c r="C897" s="102">
        <v>14886.06</v>
      </c>
    </row>
    <row r="898" spans="1:3">
      <c r="A898" s="102" t="s">
        <v>353</v>
      </c>
      <c r="B898" s="103">
        <v>44013</v>
      </c>
      <c r="C898" s="102">
        <v>14707.64</v>
      </c>
    </row>
    <row r="899" spans="1:3">
      <c r="A899" s="102" t="s">
        <v>353</v>
      </c>
      <c r="B899" s="103">
        <v>44012</v>
      </c>
      <c r="C899" s="102">
        <v>14527.18</v>
      </c>
    </row>
    <row r="900" spans="1:3">
      <c r="A900" s="102" t="s">
        <v>353</v>
      </c>
      <c r="B900" s="103">
        <v>44011</v>
      </c>
      <c r="C900" s="102">
        <v>14541.76</v>
      </c>
    </row>
    <row r="901" spans="1:3">
      <c r="A901" s="102" t="s">
        <v>353</v>
      </c>
      <c r="B901" s="103">
        <v>44008</v>
      </c>
      <c r="C901" s="102">
        <v>14641.26</v>
      </c>
    </row>
    <row r="902" spans="1:3">
      <c r="A902" s="102" t="s">
        <v>353</v>
      </c>
      <c r="B902" s="103">
        <v>44007</v>
      </c>
      <c r="C902" s="102">
        <v>14508.61</v>
      </c>
    </row>
    <row r="903" spans="1:3">
      <c r="A903" s="102" t="s">
        <v>353</v>
      </c>
      <c r="B903" s="103">
        <v>44006</v>
      </c>
      <c r="C903" s="102">
        <v>14531.72</v>
      </c>
    </row>
    <row r="904" spans="1:3">
      <c r="A904" s="102" t="s">
        <v>353</v>
      </c>
      <c r="B904" s="103">
        <v>44005</v>
      </c>
      <c r="C904" s="102">
        <v>14765.36</v>
      </c>
    </row>
    <row r="905" spans="1:3">
      <c r="A905" s="102" t="s">
        <v>353</v>
      </c>
      <c r="B905" s="103">
        <v>44004</v>
      </c>
      <c r="C905" s="102">
        <v>14540.07</v>
      </c>
    </row>
    <row r="906" spans="1:3">
      <c r="A906" s="102" t="s">
        <v>353</v>
      </c>
      <c r="B906" s="103">
        <v>44001</v>
      </c>
      <c r="C906" s="102">
        <v>14445.87</v>
      </c>
    </row>
    <row r="907" spans="1:3">
      <c r="A907" s="102" t="s">
        <v>353</v>
      </c>
      <c r="B907" s="103">
        <v>44000</v>
      </c>
      <c r="C907" s="102">
        <v>14227.14</v>
      </c>
    </row>
    <row r="908" spans="1:3">
      <c r="A908" s="102" t="s">
        <v>353</v>
      </c>
      <c r="B908" s="103">
        <v>43999</v>
      </c>
      <c r="C908" s="102">
        <v>13930.35</v>
      </c>
    </row>
    <row r="909" spans="1:3">
      <c r="A909" s="102" t="s">
        <v>353</v>
      </c>
      <c r="B909" s="103">
        <v>43998</v>
      </c>
      <c r="C909" s="102">
        <v>13976.63</v>
      </c>
    </row>
    <row r="910" spans="1:3">
      <c r="A910" s="102" t="s">
        <v>353</v>
      </c>
      <c r="B910" s="103">
        <v>43997</v>
      </c>
      <c r="C910" s="102">
        <v>13835.27</v>
      </c>
    </row>
    <row r="911" spans="1:3">
      <c r="A911" s="102" t="s">
        <v>353</v>
      </c>
      <c r="B911" s="103">
        <v>43994</v>
      </c>
      <c r="C911" s="102">
        <v>14059.69</v>
      </c>
    </row>
    <row r="912" spans="1:3">
      <c r="A912" s="102" t="s">
        <v>353</v>
      </c>
      <c r="B912" s="103">
        <v>43993</v>
      </c>
      <c r="C912" s="102">
        <v>13959.73</v>
      </c>
    </row>
    <row r="913" spans="1:3">
      <c r="A913" s="102" t="s">
        <v>353</v>
      </c>
      <c r="B913" s="103">
        <v>43992</v>
      </c>
      <c r="C913" s="102">
        <v>14260.91</v>
      </c>
    </row>
    <row r="914" spans="1:3">
      <c r="A914" s="102" t="s">
        <v>353</v>
      </c>
      <c r="B914" s="103">
        <v>43991</v>
      </c>
      <c r="C914" s="102">
        <v>14162.9</v>
      </c>
    </row>
    <row r="915" spans="1:3">
      <c r="A915" s="102" t="s">
        <v>353</v>
      </c>
      <c r="B915" s="103">
        <v>43990</v>
      </c>
      <c r="C915" s="102">
        <v>14333.2</v>
      </c>
    </row>
    <row r="916" spans="1:3">
      <c r="A916" s="102" t="s">
        <v>353</v>
      </c>
      <c r="B916" s="103">
        <v>43987</v>
      </c>
      <c r="C916" s="102">
        <v>14297.55</v>
      </c>
    </row>
    <row r="917" spans="1:3">
      <c r="A917" s="102" t="s">
        <v>353</v>
      </c>
      <c r="B917" s="103">
        <v>43986</v>
      </c>
      <c r="C917" s="102">
        <v>14138.19</v>
      </c>
    </row>
    <row r="918" spans="1:3">
      <c r="A918" s="102" t="s">
        <v>353</v>
      </c>
      <c r="B918" s="103">
        <v>43985</v>
      </c>
      <c r="C918" s="102">
        <v>14183.95</v>
      </c>
    </row>
    <row r="919" spans="1:3">
      <c r="A919" s="102" t="s">
        <v>353</v>
      </c>
      <c r="B919" s="103">
        <v>43984</v>
      </c>
      <c r="C919" s="102">
        <v>14065.56</v>
      </c>
    </row>
    <row r="920" spans="1:3">
      <c r="A920" s="102" t="s">
        <v>353</v>
      </c>
      <c r="B920" s="103">
        <v>43983</v>
      </c>
      <c r="C920" s="102">
        <v>13850</v>
      </c>
    </row>
    <row r="921" spans="1:3">
      <c r="A921" s="102" t="s">
        <v>353</v>
      </c>
      <c r="B921" s="103">
        <v>43980</v>
      </c>
      <c r="C921" s="102">
        <v>13503.45</v>
      </c>
    </row>
    <row r="922" spans="1:3">
      <c r="A922" s="102" t="s">
        <v>353</v>
      </c>
      <c r="B922" s="103">
        <v>43979</v>
      </c>
      <c r="C922" s="102">
        <v>13364.65</v>
      </c>
    </row>
    <row r="923" spans="1:3">
      <c r="A923" s="102" t="s">
        <v>353</v>
      </c>
      <c r="B923" s="103">
        <v>43978</v>
      </c>
      <c r="C923" s="102">
        <v>13117.99</v>
      </c>
    </row>
    <row r="924" spans="1:3">
      <c r="A924" s="102" t="s">
        <v>353</v>
      </c>
      <c r="B924" s="103">
        <v>43977</v>
      </c>
      <c r="C924" s="102">
        <v>12715.39</v>
      </c>
    </row>
    <row r="925" spans="1:3">
      <c r="A925" s="102" t="s">
        <v>353</v>
      </c>
      <c r="B925" s="103">
        <v>43973</v>
      </c>
      <c r="C925" s="102">
        <v>12729.74</v>
      </c>
    </row>
    <row r="926" spans="1:3">
      <c r="A926" s="102" t="s">
        <v>353</v>
      </c>
      <c r="B926" s="103">
        <v>43972</v>
      </c>
      <c r="C926" s="102">
        <v>12824.12</v>
      </c>
    </row>
    <row r="927" spans="1:3">
      <c r="A927" s="102" t="s">
        <v>353</v>
      </c>
      <c r="B927" s="103">
        <v>43971</v>
      </c>
      <c r="C927" s="102">
        <v>12768.2</v>
      </c>
    </row>
    <row r="928" spans="1:3">
      <c r="A928" s="102" t="s">
        <v>353</v>
      </c>
      <c r="B928" s="103">
        <v>43970</v>
      </c>
      <c r="C928" s="102">
        <v>12504.22</v>
      </c>
    </row>
    <row r="929" spans="1:3">
      <c r="A929" s="102" t="s">
        <v>353</v>
      </c>
      <c r="B929" s="103">
        <v>43969</v>
      </c>
      <c r="C929" s="102">
        <v>12425.57</v>
      </c>
    </row>
    <row r="930" spans="1:3">
      <c r="A930" s="102" t="s">
        <v>353</v>
      </c>
      <c r="B930" s="103">
        <v>43966</v>
      </c>
      <c r="C930" s="102">
        <v>12867.16</v>
      </c>
    </row>
    <row r="931" spans="1:3">
      <c r="A931" s="102" t="s">
        <v>353</v>
      </c>
      <c r="B931" s="103">
        <v>43965</v>
      </c>
      <c r="C931" s="102">
        <v>12875.51</v>
      </c>
    </row>
    <row r="932" spans="1:3">
      <c r="A932" s="102" t="s">
        <v>353</v>
      </c>
      <c r="B932" s="103">
        <v>43964</v>
      </c>
      <c r="C932" s="102">
        <v>13214.58</v>
      </c>
    </row>
    <row r="933" spans="1:3">
      <c r="A933" s="102" t="s">
        <v>353</v>
      </c>
      <c r="B933" s="103">
        <v>43963</v>
      </c>
      <c r="C933" s="102">
        <v>12951.29</v>
      </c>
    </row>
    <row r="934" spans="1:3">
      <c r="A934" s="102" t="s">
        <v>353</v>
      </c>
      <c r="B934" s="103">
        <v>43962</v>
      </c>
      <c r="C934" s="102">
        <v>13011.35</v>
      </c>
    </row>
    <row r="935" spans="1:3">
      <c r="A935" s="102" t="s">
        <v>353</v>
      </c>
      <c r="B935" s="103">
        <v>43959</v>
      </c>
      <c r="C935" s="102">
        <v>13028.62</v>
      </c>
    </row>
    <row r="936" spans="1:3">
      <c r="A936" s="102" t="s">
        <v>353</v>
      </c>
      <c r="B936" s="103">
        <v>43958</v>
      </c>
      <c r="C936" s="102">
        <v>12954.81</v>
      </c>
    </row>
    <row r="937" spans="1:3">
      <c r="A937" s="102" t="s">
        <v>353</v>
      </c>
      <c r="B937" s="103">
        <v>43957</v>
      </c>
      <c r="C937" s="102">
        <v>13055.99</v>
      </c>
    </row>
    <row r="938" spans="1:3">
      <c r="A938" s="102" t="s">
        <v>353</v>
      </c>
      <c r="B938" s="103">
        <v>43956</v>
      </c>
      <c r="C938" s="102">
        <v>12963.99</v>
      </c>
    </row>
    <row r="939" spans="1:3">
      <c r="A939" s="102" t="s">
        <v>353</v>
      </c>
      <c r="B939" s="103">
        <v>43955</v>
      </c>
      <c r="C939" s="102">
        <v>13086.63</v>
      </c>
    </row>
    <row r="940" spans="1:3">
      <c r="A940" s="102" t="s">
        <v>353</v>
      </c>
      <c r="B940" s="103">
        <v>43951</v>
      </c>
      <c r="C940" s="102">
        <v>13884.18</v>
      </c>
    </row>
    <row r="941" spans="1:3">
      <c r="A941" s="102" t="s">
        <v>353</v>
      </c>
      <c r="B941" s="103">
        <v>43950</v>
      </c>
      <c r="C941" s="102">
        <v>13452.51</v>
      </c>
    </row>
    <row r="942" spans="1:3">
      <c r="A942" s="102" t="s">
        <v>353</v>
      </c>
      <c r="B942" s="103">
        <v>43949</v>
      </c>
      <c r="C942" s="102">
        <v>13208.29</v>
      </c>
    </row>
    <row r="943" spans="1:3">
      <c r="A943" s="102" t="s">
        <v>353</v>
      </c>
      <c r="B943" s="103">
        <v>43948</v>
      </c>
      <c r="C943" s="102">
        <v>13069.49</v>
      </c>
    </row>
    <row r="944" spans="1:3">
      <c r="A944" s="102" t="s">
        <v>353</v>
      </c>
      <c r="B944" s="103">
        <v>43945</v>
      </c>
      <c r="C944" s="102">
        <v>12889.39</v>
      </c>
    </row>
    <row r="945" spans="1:3">
      <c r="A945" s="102" t="s">
        <v>353</v>
      </c>
      <c r="B945" s="103">
        <v>43944</v>
      </c>
      <c r="C945" s="102">
        <v>13113.97</v>
      </c>
    </row>
    <row r="946" spans="1:3">
      <c r="A946" s="102" t="s">
        <v>353</v>
      </c>
      <c r="B946" s="103">
        <v>43943</v>
      </c>
      <c r="C946" s="102">
        <v>12935.73</v>
      </c>
    </row>
    <row r="947" spans="1:3">
      <c r="A947" s="102" t="s">
        <v>353</v>
      </c>
      <c r="B947" s="103">
        <v>43942</v>
      </c>
      <c r="C947" s="102">
        <v>12645.91</v>
      </c>
    </row>
    <row r="948" spans="1:3">
      <c r="A948" s="102" t="s">
        <v>353</v>
      </c>
      <c r="B948" s="103">
        <v>43941</v>
      </c>
      <c r="C948" s="102">
        <v>13040.65</v>
      </c>
    </row>
    <row r="949" spans="1:3">
      <c r="A949" s="102" t="s">
        <v>353</v>
      </c>
      <c r="B949" s="103">
        <v>43938</v>
      </c>
      <c r="C949" s="102">
        <v>13047.57</v>
      </c>
    </row>
    <row r="950" spans="1:3">
      <c r="A950" s="102" t="s">
        <v>353</v>
      </c>
      <c r="B950" s="103">
        <v>43937</v>
      </c>
      <c r="C950" s="102">
        <v>12661.83</v>
      </c>
    </row>
    <row r="951" spans="1:3">
      <c r="A951" s="102" t="s">
        <v>353</v>
      </c>
      <c r="B951" s="103">
        <v>43936</v>
      </c>
      <c r="C951" s="102">
        <v>12566.85</v>
      </c>
    </row>
    <row r="952" spans="1:3">
      <c r="A952" s="102" t="s">
        <v>353</v>
      </c>
      <c r="B952" s="103">
        <v>43934</v>
      </c>
      <c r="C952" s="102">
        <v>12663.31</v>
      </c>
    </row>
    <row r="953" spans="1:3">
      <c r="A953" s="102" t="s">
        <v>353</v>
      </c>
      <c r="B953" s="103">
        <v>43930</v>
      </c>
      <c r="C953" s="102">
        <v>12829.57</v>
      </c>
    </row>
    <row r="954" spans="1:3">
      <c r="A954" s="102" t="s">
        <v>353</v>
      </c>
      <c r="B954" s="103">
        <v>43929</v>
      </c>
      <c r="C954" s="102">
        <v>12318.25</v>
      </c>
    </row>
    <row r="955" spans="1:3">
      <c r="A955" s="102" t="s">
        <v>353</v>
      </c>
      <c r="B955" s="103">
        <v>43928</v>
      </c>
      <c r="C955" s="102">
        <v>12379.42</v>
      </c>
    </row>
    <row r="956" spans="1:3">
      <c r="A956" s="102" t="s">
        <v>353</v>
      </c>
      <c r="B956" s="103">
        <v>43924</v>
      </c>
      <c r="C956" s="102">
        <v>11382.02</v>
      </c>
    </row>
    <row r="957" spans="1:3">
      <c r="A957" s="102" t="s">
        <v>353</v>
      </c>
      <c r="B957" s="103">
        <v>43922</v>
      </c>
      <c r="C957" s="102">
        <v>11621.35</v>
      </c>
    </row>
    <row r="958" spans="1:3">
      <c r="A958" s="102" t="s">
        <v>353</v>
      </c>
      <c r="B958" s="103">
        <v>43921</v>
      </c>
      <c r="C958" s="102">
        <v>12105.66</v>
      </c>
    </row>
    <row r="959" spans="1:3">
      <c r="A959" s="102" t="s">
        <v>353</v>
      </c>
      <c r="B959" s="103">
        <v>43920</v>
      </c>
      <c r="C959" s="102">
        <v>11659.76</v>
      </c>
    </row>
    <row r="960" spans="1:3">
      <c r="A960" s="102" t="s">
        <v>353</v>
      </c>
      <c r="B960" s="103">
        <v>43917</v>
      </c>
      <c r="C960" s="102">
        <v>12193.62</v>
      </c>
    </row>
    <row r="961" spans="1:3">
      <c r="A961" s="102" t="s">
        <v>353</v>
      </c>
      <c r="B961" s="103">
        <v>43916</v>
      </c>
      <c r="C961" s="102">
        <v>12167.15</v>
      </c>
    </row>
    <row r="962" spans="1:3">
      <c r="A962" s="102" t="s">
        <v>353</v>
      </c>
      <c r="B962" s="103">
        <v>43915</v>
      </c>
      <c r="C962" s="102">
        <v>11710.71</v>
      </c>
    </row>
    <row r="963" spans="1:3">
      <c r="A963" s="102" t="s">
        <v>353</v>
      </c>
      <c r="B963" s="103">
        <v>43914</v>
      </c>
      <c r="C963" s="102">
        <v>10983.15</v>
      </c>
    </row>
    <row r="964" spans="1:3">
      <c r="A964" s="102" t="s">
        <v>353</v>
      </c>
      <c r="B964" s="103">
        <v>43913</v>
      </c>
      <c r="C964" s="102">
        <v>10710.41</v>
      </c>
    </row>
    <row r="965" spans="1:3">
      <c r="A965" s="102" t="s">
        <v>353</v>
      </c>
      <c r="B965" s="103">
        <v>43910</v>
      </c>
      <c r="C965" s="102">
        <v>12298.74</v>
      </c>
    </row>
    <row r="966" spans="1:3">
      <c r="A966" s="102" t="s">
        <v>353</v>
      </c>
      <c r="B966" s="103">
        <v>43909</v>
      </c>
      <c r="C966" s="102">
        <v>11620.92</v>
      </c>
    </row>
    <row r="967" spans="1:3">
      <c r="A967" s="102" t="s">
        <v>353</v>
      </c>
      <c r="B967" s="103">
        <v>43908</v>
      </c>
      <c r="C967" s="102">
        <v>11904.02</v>
      </c>
    </row>
    <row r="968" spans="1:3">
      <c r="A968" s="102" t="s">
        <v>353</v>
      </c>
      <c r="B968" s="103">
        <v>43907</v>
      </c>
      <c r="C968" s="102">
        <v>12604.41</v>
      </c>
    </row>
    <row r="969" spans="1:3">
      <c r="A969" s="102" t="s">
        <v>353</v>
      </c>
      <c r="B969" s="103">
        <v>43906</v>
      </c>
      <c r="C969" s="102">
        <v>12928.18</v>
      </c>
    </row>
    <row r="970" spans="1:3">
      <c r="A970" s="102" t="s">
        <v>353</v>
      </c>
      <c r="B970" s="103">
        <v>43903</v>
      </c>
      <c r="C970" s="102">
        <v>13987.31</v>
      </c>
    </row>
    <row r="971" spans="1:3">
      <c r="A971" s="102" t="s">
        <v>353</v>
      </c>
      <c r="B971" s="103">
        <v>43902</v>
      </c>
      <c r="C971" s="102">
        <v>13474.38</v>
      </c>
    </row>
    <row r="972" spans="1:3">
      <c r="A972" s="102" t="s">
        <v>353</v>
      </c>
      <c r="B972" s="103">
        <v>43901</v>
      </c>
      <c r="C972" s="102">
        <v>14694.31</v>
      </c>
    </row>
    <row r="973" spans="1:3">
      <c r="A973" s="102" t="s">
        <v>353</v>
      </c>
      <c r="B973" s="103">
        <v>43899</v>
      </c>
      <c r="C973" s="102">
        <v>14684.56</v>
      </c>
    </row>
    <row r="974" spans="1:3">
      <c r="A974" s="102" t="s">
        <v>353</v>
      </c>
      <c r="B974" s="103">
        <v>43896</v>
      </c>
      <c r="C974" s="102">
        <v>15440.48</v>
      </c>
    </row>
    <row r="975" spans="1:3">
      <c r="A975" s="102" t="s">
        <v>353</v>
      </c>
      <c r="B975" s="103">
        <v>43895</v>
      </c>
      <c r="C975" s="102">
        <v>15833.21</v>
      </c>
    </row>
    <row r="976" spans="1:3">
      <c r="A976" s="102" t="s">
        <v>353</v>
      </c>
      <c r="B976" s="103">
        <v>43894</v>
      </c>
      <c r="C976" s="102">
        <v>15805.53</v>
      </c>
    </row>
    <row r="977" spans="1:3">
      <c r="A977" s="102" t="s">
        <v>353</v>
      </c>
      <c r="B977" s="103">
        <v>43893</v>
      </c>
      <c r="C977" s="102">
        <v>15878.98</v>
      </c>
    </row>
    <row r="978" spans="1:3">
      <c r="A978" s="102" t="s">
        <v>353</v>
      </c>
      <c r="B978" s="103">
        <v>43892</v>
      </c>
      <c r="C978" s="102">
        <v>15632.14</v>
      </c>
    </row>
    <row r="979" spans="1:3">
      <c r="A979" s="102" t="s">
        <v>353</v>
      </c>
      <c r="B979" s="103">
        <v>43889</v>
      </c>
      <c r="C979" s="102">
        <v>15726.92</v>
      </c>
    </row>
    <row r="980" spans="1:3">
      <c r="A980" s="102" t="s">
        <v>353</v>
      </c>
      <c r="B980" s="103">
        <v>43888</v>
      </c>
      <c r="C980" s="102">
        <v>16332.81</v>
      </c>
    </row>
    <row r="981" spans="1:3">
      <c r="A981" s="102" t="s">
        <v>353</v>
      </c>
      <c r="B981" s="103">
        <v>43887</v>
      </c>
      <c r="C981" s="102">
        <v>16396.23</v>
      </c>
    </row>
    <row r="982" spans="1:3">
      <c r="A982" s="102" t="s">
        <v>353</v>
      </c>
      <c r="B982" s="103">
        <v>43886</v>
      </c>
      <c r="C982" s="102">
        <v>16563.91</v>
      </c>
    </row>
    <row r="983" spans="1:3">
      <c r="A983" s="102" t="s">
        <v>353</v>
      </c>
      <c r="B983" s="103">
        <v>43885</v>
      </c>
      <c r="C983" s="102">
        <v>16608.12</v>
      </c>
    </row>
    <row r="984" spans="1:3">
      <c r="A984" s="102" t="s">
        <v>353</v>
      </c>
      <c r="B984" s="103">
        <v>43881</v>
      </c>
      <c r="C984" s="102">
        <v>16961.16</v>
      </c>
    </row>
    <row r="985" spans="1:3">
      <c r="A985" s="102" t="s">
        <v>353</v>
      </c>
      <c r="B985" s="103">
        <v>43880</v>
      </c>
      <c r="C985" s="102">
        <v>17024.41</v>
      </c>
    </row>
    <row r="986" spans="1:3">
      <c r="A986" s="102" t="s">
        <v>353</v>
      </c>
      <c r="B986" s="103">
        <v>43879</v>
      </c>
      <c r="C986" s="102">
        <v>16837.080000000002</v>
      </c>
    </row>
    <row r="987" spans="1:3">
      <c r="A987" s="102" t="s">
        <v>353</v>
      </c>
      <c r="B987" s="103">
        <v>43878</v>
      </c>
      <c r="C987" s="102">
        <v>16911.919999999998</v>
      </c>
    </row>
    <row r="988" spans="1:3">
      <c r="A988" s="102" t="s">
        <v>353</v>
      </c>
      <c r="B988" s="103">
        <v>43875</v>
      </c>
      <c r="C988" s="102">
        <v>17002.89</v>
      </c>
    </row>
    <row r="989" spans="1:3">
      <c r="A989" s="102" t="s">
        <v>353</v>
      </c>
      <c r="B989" s="103">
        <v>43874</v>
      </c>
      <c r="C989" s="102">
        <v>17088.84</v>
      </c>
    </row>
    <row r="990" spans="1:3">
      <c r="A990" s="102" t="s">
        <v>353</v>
      </c>
      <c r="B990" s="103">
        <v>43873</v>
      </c>
      <c r="C990" s="102">
        <v>17126.07</v>
      </c>
    </row>
    <row r="991" spans="1:3">
      <c r="A991" s="102" t="s">
        <v>353</v>
      </c>
      <c r="B991" s="103">
        <v>43872</v>
      </c>
      <c r="C991" s="102">
        <v>16995.099999999999</v>
      </c>
    </row>
    <row r="992" spans="1:3">
      <c r="A992" s="102" t="s">
        <v>353</v>
      </c>
      <c r="B992" s="103">
        <v>43871</v>
      </c>
      <c r="C992" s="102">
        <v>16887.86</v>
      </c>
    </row>
    <row r="993" spans="1:3">
      <c r="A993" s="102" t="s">
        <v>353</v>
      </c>
      <c r="B993" s="103">
        <v>43868</v>
      </c>
      <c r="C993" s="102">
        <v>16981.75</v>
      </c>
    </row>
    <row r="994" spans="1:3">
      <c r="A994" s="102" t="s">
        <v>353</v>
      </c>
      <c r="B994" s="103">
        <v>43867</v>
      </c>
      <c r="C994" s="102">
        <v>17037.28</v>
      </c>
    </row>
    <row r="995" spans="1:3">
      <c r="A995" s="102" t="s">
        <v>353</v>
      </c>
      <c r="B995" s="103">
        <v>43866</v>
      </c>
      <c r="C995" s="102">
        <v>16968.830000000002</v>
      </c>
    </row>
    <row r="996" spans="1:3">
      <c r="A996" s="102" t="s">
        <v>353</v>
      </c>
      <c r="B996" s="103">
        <v>43865</v>
      </c>
      <c r="C996" s="102">
        <v>16815.12</v>
      </c>
    </row>
    <row r="997" spans="1:3">
      <c r="A997" s="102" t="s">
        <v>353</v>
      </c>
      <c r="B997" s="103">
        <v>43864</v>
      </c>
      <c r="C997" s="102">
        <v>16433.650000000001</v>
      </c>
    </row>
    <row r="998" spans="1:3">
      <c r="A998" s="102" t="s">
        <v>353</v>
      </c>
      <c r="B998" s="103">
        <v>43862</v>
      </c>
      <c r="C998" s="102">
        <v>16369</v>
      </c>
    </row>
    <row r="999" spans="1:3">
      <c r="A999" s="102" t="s">
        <v>353</v>
      </c>
      <c r="B999" s="103">
        <v>43861</v>
      </c>
      <c r="C999" s="102">
        <v>16790.45</v>
      </c>
    </row>
    <row r="1000" spans="1:3">
      <c r="A1000" s="102" t="s">
        <v>353</v>
      </c>
      <c r="B1000" s="103">
        <v>43860</v>
      </c>
      <c r="C1000" s="102">
        <v>16893.91</v>
      </c>
    </row>
    <row r="1001" spans="1:3">
      <c r="A1001" s="102" t="s">
        <v>353</v>
      </c>
      <c r="B1001" s="103">
        <v>43859</v>
      </c>
      <c r="C1001" s="102">
        <v>17025.46</v>
      </c>
    </row>
    <row r="1002" spans="1:3">
      <c r="A1002" s="102" t="s">
        <v>353</v>
      </c>
      <c r="B1002" s="103">
        <v>43858</v>
      </c>
      <c r="C1002" s="102">
        <v>16922.009999999998</v>
      </c>
    </row>
    <row r="1003" spans="1:3">
      <c r="A1003" s="102" t="s">
        <v>353</v>
      </c>
      <c r="B1003" s="103">
        <v>43857</v>
      </c>
      <c r="C1003" s="102">
        <v>17010.7</v>
      </c>
    </row>
    <row r="1004" spans="1:3">
      <c r="A1004" s="102" t="s">
        <v>353</v>
      </c>
      <c r="B1004" s="103">
        <v>43854</v>
      </c>
      <c r="C1004" s="102">
        <v>17192.150000000001</v>
      </c>
    </row>
    <row r="1005" spans="1:3">
      <c r="A1005" s="102" t="s">
        <v>353</v>
      </c>
      <c r="B1005" s="103">
        <v>43853</v>
      </c>
      <c r="C1005" s="102">
        <v>17095.61</v>
      </c>
    </row>
    <row r="1006" spans="1:3">
      <c r="A1006" s="102" t="s">
        <v>353</v>
      </c>
      <c r="B1006" s="103">
        <v>43852</v>
      </c>
      <c r="C1006" s="102">
        <v>16990.68</v>
      </c>
    </row>
    <row r="1007" spans="1:3">
      <c r="A1007" s="102" t="s">
        <v>353</v>
      </c>
      <c r="B1007" s="103">
        <v>43851</v>
      </c>
      <c r="C1007" s="102">
        <v>17079.07</v>
      </c>
    </row>
    <row r="1008" spans="1:3">
      <c r="A1008" s="102" t="s">
        <v>353</v>
      </c>
      <c r="B1008" s="103">
        <v>43850</v>
      </c>
      <c r="C1008" s="102">
        <v>17155.830000000002</v>
      </c>
    </row>
    <row r="1009" spans="1:3">
      <c r="A1009" s="102" t="s">
        <v>353</v>
      </c>
      <c r="B1009" s="103">
        <v>43847</v>
      </c>
      <c r="C1009" s="102">
        <v>17335.2</v>
      </c>
    </row>
    <row r="1010" spans="1:3">
      <c r="A1010" s="102" t="s">
        <v>353</v>
      </c>
      <c r="B1010" s="103">
        <v>43846</v>
      </c>
      <c r="C1010" s="102">
        <v>17339.57</v>
      </c>
    </row>
    <row r="1011" spans="1:3">
      <c r="A1011" s="102" t="s">
        <v>353</v>
      </c>
      <c r="B1011" s="103">
        <v>43845</v>
      </c>
      <c r="C1011" s="102">
        <v>17322.5</v>
      </c>
    </row>
    <row r="1012" spans="1:3">
      <c r="A1012" s="102" t="s">
        <v>353</v>
      </c>
      <c r="B1012" s="103">
        <v>43844</v>
      </c>
      <c r="C1012" s="102">
        <v>17349.12</v>
      </c>
    </row>
    <row r="1013" spans="1:3">
      <c r="A1013" s="102" t="s">
        <v>353</v>
      </c>
      <c r="B1013" s="103">
        <v>43843</v>
      </c>
      <c r="C1013" s="102">
        <v>17303.2</v>
      </c>
    </row>
    <row r="1014" spans="1:3">
      <c r="A1014" s="102" t="s">
        <v>353</v>
      </c>
      <c r="B1014" s="103">
        <v>43840</v>
      </c>
      <c r="C1014" s="102">
        <v>17201.080000000002</v>
      </c>
    </row>
    <row r="1015" spans="1:3">
      <c r="A1015" s="102" t="s">
        <v>353</v>
      </c>
      <c r="B1015" s="103">
        <v>43839</v>
      </c>
      <c r="C1015" s="102">
        <v>17143.650000000001</v>
      </c>
    </row>
    <row r="1016" spans="1:3">
      <c r="A1016" s="102" t="s">
        <v>353</v>
      </c>
      <c r="B1016" s="103">
        <v>43838</v>
      </c>
      <c r="C1016" s="102">
        <v>16876.240000000002</v>
      </c>
    </row>
    <row r="1017" spans="1:3">
      <c r="A1017" s="102" t="s">
        <v>353</v>
      </c>
      <c r="B1017" s="103">
        <v>43837</v>
      </c>
      <c r="C1017" s="102">
        <v>16915.03</v>
      </c>
    </row>
    <row r="1018" spans="1:3">
      <c r="A1018" s="102" t="s">
        <v>353</v>
      </c>
      <c r="B1018" s="103">
        <v>43836</v>
      </c>
      <c r="C1018" s="102">
        <v>16830.93</v>
      </c>
    </row>
    <row r="1019" spans="1:3">
      <c r="A1019" s="102" t="s">
        <v>353</v>
      </c>
      <c r="B1019" s="103">
        <v>43833</v>
      </c>
      <c r="C1019" s="102">
        <v>17158.75</v>
      </c>
    </row>
    <row r="1020" spans="1:3">
      <c r="A1020" s="102" t="s">
        <v>353</v>
      </c>
      <c r="B1020" s="103">
        <v>43832</v>
      </c>
      <c r="C1020" s="102">
        <v>17236.7</v>
      </c>
    </row>
    <row r="1021" spans="1:3">
      <c r="A1021" s="102" t="s">
        <v>353</v>
      </c>
      <c r="B1021" s="103">
        <v>43831</v>
      </c>
      <c r="C1021" s="102">
        <v>17096.830000000002</v>
      </c>
    </row>
    <row r="1022" spans="1:3">
      <c r="A1022" s="102" t="s">
        <v>353</v>
      </c>
      <c r="B1022" s="103">
        <v>43830</v>
      </c>
      <c r="C1022" s="102">
        <v>17077.060000000001</v>
      </c>
    </row>
    <row r="1023" spans="1:3">
      <c r="A1023" s="102" t="s">
        <v>353</v>
      </c>
      <c r="B1023" s="103">
        <v>43829</v>
      </c>
      <c r="C1023" s="102">
        <v>17199.73</v>
      </c>
    </row>
    <row r="1024" spans="1:3">
      <c r="A1024" s="102" t="s">
        <v>353</v>
      </c>
      <c r="B1024" s="103">
        <v>43826</v>
      </c>
      <c r="C1024" s="102">
        <v>17185.66</v>
      </c>
    </row>
    <row r="1025" spans="1:3">
      <c r="A1025" s="102" t="s">
        <v>353</v>
      </c>
      <c r="B1025" s="103">
        <v>43825</v>
      </c>
      <c r="C1025" s="102">
        <v>17018.259999999998</v>
      </c>
    </row>
    <row r="1026" spans="1:3">
      <c r="A1026" s="102" t="s">
        <v>353</v>
      </c>
      <c r="B1026" s="103">
        <v>43823</v>
      </c>
      <c r="C1026" s="102">
        <v>17141.8</v>
      </c>
    </row>
    <row r="1027" spans="1:3">
      <c r="A1027" s="102" t="s">
        <v>353</v>
      </c>
      <c r="B1027" s="103">
        <v>43822</v>
      </c>
      <c r="C1027" s="102">
        <v>17209.400000000001</v>
      </c>
    </row>
    <row r="1028" spans="1:3">
      <c r="A1028" s="102" t="s">
        <v>353</v>
      </c>
      <c r="B1028" s="103">
        <v>43819</v>
      </c>
      <c r="C1028" s="102">
        <v>17222.14</v>
      </c>
    </row>
    <row r="1029" spans="1:3">
      <c r="A1029" s="102" t="s">
        <v>353</v>
      </c>
      <c r="B1029" s="103">
        <v>43818</v>
      </c>
      <c r="C1029" s="102">
        <v>17205.12</v>
      </c>
    </row>
    <row r="1030" spans="1:3">
      <c r="A1030" s="102" t="s">
        <v>353</v>
      </c>
      <c r="B1030" s="103">
        <v>43817</v>
      </c>
      <c r="C1030" s="102">
        <v>17150.93</v>
      </c>
    </row>
    <row r="1031" spans="1:3">
      <c r="A1031" s="102" t="s">
        <v>353</v>
      </c>
      <c r="B1031" s="103">
        <v>43816</v>
      </c>
      <c r="C1031" s="102">
        <v>17071.490000000002</v>
      </c>
    </row>
    <row r="1032" spans="1:3">
      <c r="A1032" s="102" t="s">
        <v>353</v>
      </c>
      <c r="B1032" s="103">
        <v>43815</v>
      </c>
      <c r="C1032" s="102">
        <v>16915.650000000001</v>
      </c>
    </row>
    <row r="1033" spans="1:3">
      <c r="A1033" s="102" t="s">
        <v>353</v>
      </c>
      <c r="B1033" s="103">
        <v>43812</v>
      </c>
      <c r="C1033" s="102">
        <v>16961.560000000001</v>
      </c>
    </row>
    <row r="1034" spans="1:3">
      <c r="A1034" s="102" t="s">
        <v>353</v>
      </c>
      <c r="B1034" s="103">
        <v>43811</v>
      </c>
      <c r="C1034" s="102">
        <v>16800.36</v>
      </c>
    </row>
    <row r="1035" spans="1:3">
      <c r="A1035" s="102" t="s">
        <v>353</v>
      </c>
      <c r="B1035" s="103">
        <v>43810</v>
      </c>
      <c r="C1035" s="102">
        <v>16713.79</v>
      </c>
    </row>
    <row r="1036" spans="1:3">
      <c r="A1036" s="102" t="s">
        <v>353</v>
      </c>
      <c r="B1036" s="103">
        <v>43809</v>
      </c>
      <c r="C1036" s="102">
        <v>16638.939999999999</v>
      </c>
    </row>
    <row r="1037" spans="1:3">
      <c r="A1037" s="102" t="s">
        <v>353</v>
      </c>
      <c r="B1037" s="103">
        <v>43808</v>
      </c>
      <c r="C1037" s="102">
        <v>16751.53</v>
      </c>
    </row>
    <row r="1038" spans="1:3">
      <c r="A1038" s="102" t="s">
        <v>353</v>
      </c>
      <c r="B1038" s="103">
        <v>43805</v>
      </c>
      <c r="C1038" s="102">
        <v>16729.080000000002</v>
      </c>
    </row>
    <row r="1039" spans="1:3">
      <c r="A1039" s="102" t="s">
        <v>353</v>
      </c>
      <c r="B1039" s="103">
        <v>43804</v>
      </c>
      <c r="C1039" s="102">
        <v>16865.04</v>
      </c>
    </row>
    <row r="1040" spans="1:3">
      <c r="A1040" s="102" t="s">
        <v>353</v>
      </c>
      <c r="B1040" s="103">
        <v>43803</v>
      </c>
      <c r="C1040" s="102">
        <v>16899.88</v>
      </c>
    </row>
    <row r="1041" spans="1:3">
      <c r="A1041" s="102" t="s">
        <v>353</v>
      </c>
      <c r="B1041" s="103">
        <v>43802</v>
      </c>
      <c r="C1041" s="102">
        <v>16831.11</v>
      </c>
    </row>
    <row r="1042" spans="1:3">
      <c r="A1042" s="102" t="s">
        <v>353</v>
      </c>
      <c r="B1042" s="103">
        <v>43801</v>
      </c>
      <c r="C1042" s="102">
        <v>16906.88</v>
      </c>
    </row>
    <row r="1043" spans="1:3">
      <c r="A1043" s="102" t="s">
        <v>353</v>
      </c>
      <c r="B1043" s="103">
        <v>43798</v>
      </c>
      <c r="C1043" s="102">
        <v>16917.89</v>
      </c>
    </row>
    <row r="1044" spans="1:3">
      <c r="A1044" s="102" t="s">
        <v>353</v>
      </c>
      <c r="B1044" s="103">
        <v>43797</v>
      </c>
      <c r="C1044" s="102">
        <v>17051.310000000001</v>
      </c>
    </row>
    <row r="1045" spans="1:3">
      <c r="A1045" s="102" t="s">
        <v>353</v>
      </c>
      <c r="B1045" s="103">
        <v>43796</v>
      </c>
      <c r="C1045" s="102">
        <v>16980.54</v>
      </c>
    </row>
    <row r="1046" spans="1:3">
      <c r="A1046" s="102" t="s">
        <v>353</v>
      </c>
      <c r="B1046" s="103">
        <v>43795</v>
      </c>
      <c r="C1046" s="102">
        <v>16892.150000000001</v>
      </c>
    </row>
    <row r="1047" spans="1:3">
      <c r="A1047" s="102" t="s">
        <v>353</v>
      </c>
      <c r="B1047" s="103">
        <v>43794</v>
      </c>
      <c r="C1047" s="102">
        <v>16942.7</v>
      </c>
    </row>
    <row r="1048" spans="1:3">
      <c r="A1048" s="102" t="s">
        <v>353</v>
      </c>
      <c r="B1048" s="103">
        <v>43791</v>
      </c>
      <c r="C1048" s="102">
        <v>16719.11</v>
      </c>
    </row>
    <row r="1049" spans="1:3">
      <c r="A1049" s="102" t="s">
        <v>353</v>
      </c>
      <c r="B1049" s="103">
        <v>43790</v>
      </c>
      <c r="C1049" s="102">
        <v>16794.86</v>
      </c>
    </row>
    <row r="1050" spans="1:3">
      <c r="A1050" s="102" t="s">
        <v>353</v>
      </c>
      <c r="B1050" s="103">
        <v>43789</v>
      </c>
      <c r="C1050" s="102">
        <v>16837.96</v>
      </c>
    </row>
    <row r="1051" spans="1:3">
      <c r="A1051" s="102" t="s">
        <v>353</v>
      </c>
      <c r="B1051" s="103">
        <v>43788</v>
      </c>
      <c r="C1051" s="102">
        <v>16755.150000000001</v>
      </c>
    </row>
    <row r="1052" spans="1:3">
      <c r="A1052" s="102" t="s">
        <v>353</v>
      </c>
      <c r="B1052" s="103">
        <v>43787</v>
      </c>
      <c r="C1052" s="102">
        <v>16677.14</v>
      </c>
    </row>
    <row r="1053" spans="1:3">
      <c r="A1053" s="102" t="s">
        <v>353</v>
      </c>
      <c r="B1053" s="103">
        <v>43784</v>
      </c>
      <c r="C1053" s="102">
        <v>16692.52</v>
      </c>
    </row>
    <row r="1054" spans="1:3">
      <c r="A1054" s="102" t="s">
        <v>353</v>
      </c>
      <c r="B1054" s="103">
        <v>43783</v>
      </c>
      <c r="C1054" s="102">
        <v>16659.78</v>
      </c>
    </row>
    <row r="1055" spans="1:3">
      <c r="A1055" s="102" t="s">
        <v>353</v>
      </c>
      <c r="B1055" s="103">
        <v>43782</v>
      </c>
      <c r="C1055" s="102">
        <v>16615.37</v>
      </c>
    </row>
    <row r="1056" spans="1:3">
      <c r="A1056" s="102" t="s">
        <v>353</v>
      </c>
      <c r="B1056" s="103">
        <v>43780</v>
      </c>
      <c r="C1056" s="102">
        <v>16717.75</v>
      </c>
    </row>
    <row r="1057" spans="1:3">
      <c r="A1057" s="102" t="s">
        <v>353</v>
      </c>
      <c r="B1057" s="103">
        <v>43777</v>
      </c>
      <c r="C1057" s="102">
        <v>16710.37</v>
      </c>
    </row>
    <row r="1058" spans="1:3">
      <c r="A1058" s="102" t="s">
        <v>353</v>
      </c>
      <c r="B1058" s="103">
        <v>43776</v>
      </c>
      <c r="C1058" s="102">
        <v>16856.169999999998</v>
      </c>
    </row>
    <row r="1059" spans="1:3">
      <c r="A1059" s="102" t="s">
        <v>353</v>
      </c>
      <c r="B1059" s="103">
        <v>43775</v>
      </c>
      <c r="C1059" s="102">
        <v>16791.61</v>
      </c>
    </row>
    <row r="1060" spans="1:3">
      <c r="A1060" s="102" t="s">
        <v>353</v>
      </c>
      <c r="B1060" s="103">
        <v>43774</v>
      </c>
      <c r="C1060" s="102">
        <v>16723.060000000001</v>
      </c>
    </row>
    <row r="1061" spans="1:3">
      <c r="A1061" s="102" t="s">
        <v>353</v>
      </c>
      <c r="B1061" s="103">
        <v>43773</v>
      </c>
      <c r="C1061" s="102">
        <v>16756.87</v>
      </c>
    </row>
    <row r="1062" spans="1:3">
      <c r="A1062" s="102" t="s">
        <v>353</v>
      </c>
      <c r="B1062" s="103">
        <v>43770</v>
      </c>
      <c r="C1062" s="102">
        <v>16685.73</v>
      </c>
    </row>
    <row r="1063" spans="1:3">
      <c r="A1063" s="102" t="s">
        <v>353</v>
      </c>
      <c r="B1063" s="103">
        <v>43769</v>
      </c>
      <c r="C1063" s="102">
        <v>16667.29</v>
      </c>
    </row>
    <row r="1064" spans="1:3">
      <c r="A1064" s="102" t="s">
        <v>353</v>
      </c>
      <c r="B1064" s="103">
        <v>43768</v>
      </c>
      <c r="C1064" s="102">
        <v>16620.07</v>
      </c>
    </row>
    <row r="1065" spans="1:3">
      <c r="A1065" s="102" t="s">
        <v>353</v>
      </c>
      <c r="B1065" s="103">
        <v>43767</v>
      </c>
      <c r="C1065" s="102">
        <v>16539.23</v>
      </c>
    </row>
    <row r="1066" spans="1:3">
      <c r="A1066" s="102" t="s">
        <v>353</v>
      </c>
      <c r="B1066" s="103">
        <v>43765</v>
      </c>
      <c r="C1066" s="102">
        <v>16315.17</v>
      </c>
    </row>
    <row r="1067" spans="1:3">
      <c r="A1067" s="102" t="s">
        <v>353</v>
      </c>
      <c r="B1067" s="103">
        <v>43763</v>
      </c>
      <c r="C1067" s="102">
        <v>16254.45</v>
      </c>
    </row>
    <row r="1068" spans="1:3">
      <c r="A1068" s="102" t="s">
        <v>353</v>
      </c>
      <c r="B1068" s="103">
        <v>43762</v>
      </c>
      <c r="C1068" s="102">
        <v>16252.63</v>
      </c>
    </row>
    <row r="1069" spans="1:3">
      <c r="A1069" s="102" t="s">
        <v>353</v>
      </c>
      <c r="B1069" s="103">
        <v>43761</v>
      </c>
      <c r="C1069" s="102">
        <v>16282.84</v>
      </c>
    </row>
    <row r="1070" spans="1:3">
      <c r="A1070" s="102" t="s">
        <v>353</v>
      </c>
      <c r="B1070" s="103">
        <v>43760</v>
      </c>
      <c r="C1070" s="102">
        <v>16248.11</v>
      </c>
    </row>
    <row r="1071" spans="1:3">
      <c r="A1071" s="102" t="s">
        <v>353</v>
      </c>
      <c r="B1071" s="103">
        <v>43756</v>
      </c>
      <c r="C1071" s="102">
        <v>16351.16</v>
      </c>
    </row>
    <row r="1072" spans="1:3">
      <c r="A1072" s="102" t="s">
        <v>353</v>
      </c>
      <c r="B1072" s="103">
        <v>43755</v>
      </c>
      <c r="C1072" s="102">
        <v>16245.31</v>
      </c>
    </row>
    <row r="1073" spans="1:3">
      <c r="A1073" s="102" t="s">
        <v>353</v>
      </c>
      <c r="B1073" s="103">
        <v>43754</v>
      </c>
      <c r="C1073" s="102">
        <v>16057.85</v>
      </c>
    </row>
    <row r="1074" spans="1:3">
      <c r="A1074" s="102" t="s">
        <v>353</v>
      </c>
      <c r="B1074" s="103">
        <v>43753</v>
      </c>
      <c r="C1074" s="102">
        <v>16007.83</v>
      </c>
    </row>
    <row r="1075" spans="1:3">
      <c r="A1075" s="102" t="s">
        <v>353</v>
      </c>
      <c r="B1075" s="103">
        <v>43752</v>
      </c>
      <c r="C1075" s="102">
        <v>15885.74</v>
      </c>
    </row>
    <row r="1076" spans="1:3">
      <c r="A1076" s="102" t="s">
        <v>353</v>
      </c>
      <c r="B1076" s="103">
        <v>43749</v>
      </c>
      <c r="C1076" s="102">
        <v>15835.17</v>
      </c>
    </row>
    <row r="1077" spans="1:3">
      <c r="A1077" s="102" t="s">
        <v>353</v>
      </c>
      <c r="B1077" s="103">
        <v>43748</v>
      </c>
      <c r="C1077" s="102">
        <v>15736.44</v>
      </c>
    </row>
    <row r="1078" spans="1:3">
      <c r="A1078" s="102" t="s">
        <v>353</v>
      </c>
      <c r="B1078" s="103">
        <v>43747</v>
      </c>
      <c r="C1078" s="102">
        <v>15846.77</v>
      </c>
    </row>
    <row r="1079" spans="1:3">
      <c r="A1079" s="102" t="s">
        <v>353</v>
      </c>
      <c r="B1079" s="103">
        <v>43745</v>
      </c>
      <c r="C1079" s="102">
        <v>15584.94</v>
      </c>
    </row>
    <row r="1080" spans="1:3">
      <c r="A1080" s="102" t="s">
        <v>353</v>
      </c>
      <c r="B1080" s="103">
        <v>43742</v>
      </c>
      <c r="C1080" s="102">
        <v>15652.7</v>
      </c>
    </row>
    <row r="1081" spans="1:3">
      <c r="A1081" s="102" t="s">
        <v>353</v>
      </c>
      <c r="B1081" s="103">
        <v>43741</v>
      </c>
      <c r="C1081" s="102">
        <v>15847.7</v>
      </c>
    </row>
    <row r="1082" spans="1:3">
      <c r="A1082" s="102" t="s">
        <v>353</v>
      </c>
      <c r="B1082" s="103">
        <v>43739</v>
      </c>
      <c r="C1082" s="102">
        <v>15912.03</v>
      </c>
    </row>
    <row r="1083" spans="1:3">
      <c r="A1083" s="102" t="s">
        <v>353</v>
      </c>
      <c r="B1083" s="103">
        <v>43738</v>
      </c>
      <c r="C1083" s="102">
        <v>16072.5</v>
      </c>
    </row>
    <row r="1084" spans="1:3">
      <c r="A1084" s="102" t="s">
        <v>353</v>
      </c>
      <c r="B1084" s="103">
        <v>43735</v>
      </c>
      <c r="C1084" s="102">
        <v>16125.65</v>
      </c>
    </row>
    <row r="1085" spans="1:3">
      <c r="A1085" s="102" t="s">
        <v>353</v>
      </c>
      <c r="B1085" s="103">
        <v>43734</v>
      </c>
      <c r="C1085" s="102">
        <v>16207.96</v>
      </c>
    </row>
    <row r="1086" spans="1:3">
      <c r="A1086" s="102" t="s">
        <v>353</v>
      </c>
      <c r="B1086" s="103">
        <v>43733</v>
      </c>
      <c r="C1086" s="102">
        <v>16024.49</v>
      </c>
    </row>
    <row r="1087" spans="1:3">
      <c r="A1087" s="102" t="s">
        <v>353</v>
      </c>
      <c r="B1087" s="103">
        <v>43732</v>
      </c>
      <c r="C1087" s="102">
        <v>16231.83</v>
      </c>
    </row>
    <row r="1088" spans="1:3">
      <c r="A1088" s="102" t="s">
        <v>353</v>
      </c>
      <c r="B1088" s="103">
        <v>43731</v>
      </c>
      <c r="C1088" s="102">
        <v>16248.62</v>
      </c>
    </row>
    <row r="1089" spans="1:3">
      <c r="A1089" s="102" t="s">
        <v>353</v>
      </c>
      <c r="B1089" s="103">
        <v>43728</v>
      </c>
      <c r="C1089" s="102">
        <v>15791.99</v>
      </c>
    </row>
    <row r="1090" spans="1:3">
      <c r="A1090" s="102" t="s">
        <v>353</v>
      </c>
      <c r="B1090" s="103">
        <v>43727</v>
      </c>
      <c r="C1090" s="102">
        <v>14994.39</v>
      </c>
    </row>
    <row r="1091" spans="1:3">
      <c r="A1091" s="102" t="s">
        <v>353</v>
      </c>
      <c r="B1091" s="103">
        <v>43726</v>
      </c>
      <c r="C1091" s="102">
        <v>15184.69</v>
      </c>
    </row>
    <row r="1092" spans="1:3">
      <c r="A1092" s="102" t="s">
        <v>353</v>
      </c>
      <c r="B1092" s="103">
        <v>43725</v>
      </c>
      <c r="C1092" s="102">
        <v>15152.39</v>
      </c>
    </row>
    <row r="1093" spans="1:3">
      <c r="A1093" s="102" t="s">
        <v>353</v>
      </c>
      <c r="B1093" s="103">
        <v>43724</v>
      </c>
      <c r="C1093" s="102">
        <v>15412.83</v>
      </c>
    </row>
    <row r="1094" spans="1:3">
      <c r="A1094" s="102" t="s">
        <v>353</v>
      </c>
      <c r="B1094" s="103">
        <v>43721</v>
      </c>
      <c r="C1094" s="102">
        <v>15514.2</v>
      </c>
    </row>
    <row r="1095" spans="1:3">
      <c r="A1095" s="102" t="s">
        <v>353</v>
      </c>
      <c r="B1095" s="103">
        <v>43720</v>
      </c>
      <c r="C1095" s="102">
        <v>15383.82</v>
      </c>
    </row>
    <row r="1096" spans="1:3">
      <c r="A1096" s="102" t="s">
        <v>353</v>
      </c>
      <c r="B1096" s="103">
        <v>43719</v>
      </c>
      <c r="C1096" s="102">
        <v>15457.9</v>
      </c>
    </row>
    <row r="1097" spans="1:3">
      <c r="A1097" s="102" t="s">
        <v>353</v>
      </c>
      <c r="B1097" s="103">
        <v>43717</v>
      </c>
      <c r="C1097" s="102">
        <v>15412.14</v>
      </c>
    </row>
    <row r="1098" spans="1:3">
      <c r="A1098" s="102" t="s">
        <v>353</v>
      </c>
      <c r="B1098" s="103">
        <v>43714</v>
      </c>
      <c r="C1098" s="102">
        <v>15332.57</v>
      </c>
    </row>
    <row r="1099" spans="1:3">
      <c r="A1099" s="102" t="s">
        <v>353</v>
      </c>
      <c r="B1099" s="103">
        <v>43713</v>
      </c>
      <c r="C1099" s="102">
        <v>15194.86</v>
      </c>
    </row>
    <row r="1100" spans="1:3">
      <c r="A1100" s="102" t="s">
        <v>353</v>
      </c>
      <c r="B1100" s="103">
        <v>43712</v>
      </c>
      <c r="C1100" s="102">
        <v>15190.3</v>
      </c>
    </row>
    <row r="1101" spans="1:3">
      <c r="A1101" s="102" t="s">
        <v>353</v>
      </c>
      <c r="B1101" s="103">
        <v>43711</v>
      </c>
      <c r="C1101" s="102">
        <v>15124.8</v>
      </c>
    </row>
    <row r="1102" spans="1:3">
      <c r="A1102" s="102" t="s">
        <v>353</v>
      </c>
      <c r="B1102" s="103">
        <v>43707</v>
      </c>
      <c r="C1102" s="102">
        <v>15440.47</v>
      </c>
    </row>
    <row r="1103" spans="1:3">
      <c r="A1103" s="102" t="s">
        <v>353</v>
      </c>
      <c r="B1103" s="103">
        <v>43706</v>
      </c>
      <c r="C1103" s="102">
        <v>15335.45</v>
      </c>
    </row>
    <row r="1104" spans="1:3">
      <c r="A1104" s="102" t="s">
        <v>353</v>
      </c>
      <c r="B1104" s="103">
        <v>43705</v>
      </c>
      <c r="C1104" s="102">
        <v>15472.44</v>
      </c>
    </row>
    <row r="1105" spans="1:3">
      <c r="A1105" s="102" t="s">
        <v>353</v>
      </c>
      <c r="B1105" s="103">
        <v>43704</v>
      </c>
      <c r="C1105" s="102">
        <v>15555.44</v>
      </c>
    </row>
    <row r="1106" spans="1:3">
      <c r="A1106" s="102" t="s">
        <v>353</v>
      </c>
      <c r="B1106" s="103">
        <v>43703</v>
      </c>
      <c r="C1106" s="102">
        <v>15488.96</v>
      </c>
    </row>
    <row r="1107" spans="1:3">
      <c r="A1107" s="102" t="s">
        <v>353</v>
      </c>
      <c r="B1107" s="103">
        <v>43700</v>
      </c>
      <c r="C1107" s="102">
        <v>15168.88</v>
      </c>
    </row>
    <row r="1108" spans="1:3">
      <c r="A1108" s="102" t="s">
        <v>353</v>
      </c>
      <c r="B1108" s="103">
        <v>43699</v>
      </c>
      <c r="C1108" s="102">
        <v>15045.62</v>
      </c>
    </row>
    <row r="1109" spans="1:3">
      <c r="A1109" s="102" t="s">
        <v>353</v>
      </c>
      <c r="B1109" s="103">
        <v>43698</v>
      </c>
      <c r="C1109" s="102">
        <v>15290.85</v>
      </c>
    </row>
    <row r="1110" spans="1:3">
      <c r="A1110" s="102" t="s">
        <v>353</v>
      </c>
      <c r="B1110" s="103">
        <v>43697</v>
      </c>
      <c r="C1110" s="102">
        <v>15425.45</v>
      </c>
    </row>
    <row r="1111" spans="1:3">
      <c r="A1111" s="102" t="s">
        <v>353</v>
      </c>
      <c r="B1111" s="103">
        <v>43696</v>
      </c>
      <c r="C1111" s="102">
        <v>15476.07</v>
      </c>
    </row>
    <row r="1112" spans="1:3">
      <c r="A1112" s="102" t="s">
        <v>353</v>
      </c>
      <c r="B1112" s="103">
        <v>43693</v>
      </c>
      <c r="C1112" s="102">
        <v>15464.58</v>
      </c>
    </row>
    <row r="1113" spans="1:3">
      <c r="A1113" s="102" t="s">
        <v>353</v>
      </c>
      <c r="B1113" s="103">
        <v>43691</v>
      </c>
      <c r="C1113" s="102">
        <v>15438.86</v>
      </c>
    </row>
    <row r="1114" spans="1:3">
      <c r="A1114" s="102" t="s">
        <v>353</v>
      </c>
      <c r="B1114" s="103">
        <v>43690</v>
      </c>
      <c r="C1114" s="102">
        <v>15289.35</v>
      </c>
    </row>
    <row r="1115" spans="1:3">
      <c r="A1115" s="102" t="s">
        <v>353</v>
      </c>
      <c r="B1115" s="103">
        <v>43686</v>
      </c>
      <c r="C1115" s="102">
        <v>15542.72</v>
      </c>
    </row>
    <row r="1116" spans="1:3">
      <c r="A1116" s="102" t="s">
        <v>353</v>
      </c>
      <c r="B1116" s="103">
        <v>43685</v>
      </c>
      <c r="C1116" s="102">
        <v>15434.73</v>
      </c>
    </row>
    <row r="1117" spans="1:3">
      <c r="A1117" s="102" t="s">
        <v>353</v>
      </c>
      <c r="B1117" s="103">
        <v>43684</v>
      </c>
      <c r="C1117" s="102">
        <v>15184.34</v>
      </c>
    </row>
    <row r="1118" spans="1:3">
      <c r="A1118" s="102" t="s">
        <v>353</v>
      </c>
      <c r="B1118" s="103">
        <v>43683</v>
      </c>
      <c r="C1118" s="102">
        <v>15314.03</v>
      </c>
    </row>
    <row r="1119" spans="1:3">
      <c r="A1119" s="102" t="s">
        <v>353</v>
      </c>
      <c r="B1119" s="103">
        <v>43682</v>
      </c>
      <c r="C1119" s="102">
        <v>15194.27</v>
      </c>
    </row>
    <row r="1120" spans="1:3">
      <c r="A1120" s="102" t="s">
        <v>353</v>
      </c>
      <c r="B1120" s="103">
        <v>43679</v>
      </c>
      <c r="C1120" s="102">
        <v>15382.73</v>
      </c>
    </row>
    <row r="1121" spans="1:3">
      <c r="A1121" s="102" t="s">
        <v>353</v>
      </c>
      <c r="B1121" s="103">
        <v>43678</v>
      </c>
      <c r="C1121" s="102">
        <v>15350.83</v>
      </c>
    </row>
    <row r="1122" spans="1:3">
      <c r="A1122" s="102" t="s">
        <v>353</v>
      </c>
      <c r="B1122" s="103">
        <v>43677</v>
      </c>
      <c r="C1122" s="102">
        <v>15539.43</v>
      </c>
    </row>
    <row r="1123" spans="1:3">
      <c r="A1123" s="102" t="s">
        <v>353</v>
      </c>
      <c r="B1123" s="103">
        <v>43676</v>
      </c>
      <c r="C1123" s="102">
        <v>15493.33</v>
      </c>
    </row>
    <row r="1124" spans="1:3">
      <c r="A1124" s="102" t="s">
        <v>353</v>
      </c>
      <c r="B1124" s="103">
        <v>43675</v>
      </c>
      <c r="C1124" s="102">
        <v>15638.42</v>
      </c>
    </row>
    <row r="1125" spans="1:3">
      <c r="A1125" s="102" t="s">
        <v>353</v>
      </c>
      <c r="B1125" s="103">
        <v>43672</v>
      </c>
      <c r="C1125" s="102">
        <v>15770.63</v>
      </c>
    </row>
    <row r="1126" spans="1:3">
      <c r="A1126" s="102" t="s">
        <v>353</v>
      </c>
      <c r="B1126" s="103">
        <v>43671</v>
      </c>
      <c r="C1126" s="102">
        <v>15725.6</v>
      </c>
    </row>
    <row r="1127" spans="1:3">
      <c r="A1127" s="102" t="s">
        <v>353</v>
      </c>
      <c r="B1127" s="103">
        <v>43670</v>
      </c>
      <c r="C1127" s="102">
        <v>15749.37</v>
      </c>
    </row>
    <row r="1128" spans="1:3">
      <c r="A1128" s="102" t="s">
        <v>353</v>
      </c>
      <c r="B1128" s="103">
        <v>43669</v>
      </c>
      <c r="C1128" s="102">
        <v>15824.55</v>
      </c>
    </row>
    <row r="1129" spans="1:3">
      <c r="A1129" s="102" t="s">
        <v>353</v>
      </c>
      <c r="B1129" s="103">
        <v>43668</v>
      </c>
      <c r="C1129" s="102">
        <v>15845.74</v>
      </c>
    </row>
    <row r="1130" spans="1:3">
      <c r="A1130" s="102" t="s">
        <v>353</v>
      </c>
      <c r="B1130" s="103">
        <v>43665</v>
      </c>
      <c r="C1130" s="102">
        <v>15945.55</v>
      </c>
    </row>
    <row r="1131" spans="1:3">
      <c r="A1131" s="102" t="s">
        <v>353</v>
      </c>
      <c r="B1131" s="103">
        <v>43664</v>
      </c>
      <c r="C1131" s="102">
        <v>16183.16</v>
      </c>
    </row>
    <row r="1132" spans="1:3">
      <c r="A1132" s="102" t="s">
        <v>353</v>
      </c>
      <c r="B1132" s="103">
        <v>43663</v>
      </c>
      <c r="C1132" s="102">
        <v>16306.82</v>
      </c>
    </row>
    <row r="1133" spans="1:3">
      <c r="A1133" s="102" t="s">
        <v>353</v>
      </c>
      <c r="B1133" s="103">
        <v>43662</v>
      </c>
      <c r="C1133" s="102">
        <v>16272.08</v>
      </c>
    </row>
    <row r="1134" spans="1:3">
      <c r="A1134" s="102" t="s">
        <v>353</v>
      </c>
      <c r="B1134" s="103">
        <v>43661</v>
      </c>
      <c r="C1134" s="102">
        <v>16165.28</v>
      </c>
    </row>
    <row r="1135" spans="1:3">
      <c r="A1135" s="102" t="s">
        <v>353</v>
      </c>
      <c r="B1135" s="103">
        <v>43658</v>
      </c>
      <c r="C1135" s="102">
        <v>16113.75</v>
      </c>
    </row>
    <row r="1136" spans="1:3">
      <c r="A1136" s="102" t="s">
        <v>353</v>
      </c>
      <c r="B1136" s="103">
        <v>43657</v>
      </c>
      <c r="C1136" s="102">
        <v>16155.78</v>
      </c>
    </row>
    <row r="1137" spans="1:3">
      <c r="A1137" s="102" t="s">
        <v>353</v>
      </c>
      <c r="B1137" s="103">
        <v>43656</v>
      </c>
      <c r="C1137" s="102">
        <v>16035.44</v>
      </c>
    </row>
    <row r="1138" spans="1:3">
      <c r="A1138" s="102" t="s">
        <v>353</v>
      </c>
      <c r="B1138" s="103">
        <v>43655</v>
      </c>
      <c r="C1138" s="102">
        <v>16114.46</v>
      </c>
    </row>
    <row r="1139" spans="1:3">
      <c r="A1139" s="102" t="s">
        <v>353</v>
      </c>
      <c r="B1139" s="103">
        <v>43654</v>
      </c>
      <c r="C1139" s="102">
        <v>16118.27</v>
      </c>
    </row>
    <row r="1140" spans="1:3">
      <c r="A1140" s="102" t="s">
        <v>353</v>
      </c>
      <c r="B1140" s="103">
        <v>43651</v>
      </c>
      <c r="C1140" s="102">
        <v>16468.990000000002</v>
      </c>
    </row>
    <row r="1141" spans="1:3">
      <c r="A1141" s="102" t="s">
        <v>353</v>
      </c>
      <c r="B1141" s="103">
        <v>43650</v>
      </c>
      <c r="C1141" s="102">
        <v>16658.04</v>
      </c>
    </row>
    <row r="1142" spans="1:3">
      <c r="A1142" s="102" t="s">
        <v>353</v>
      </c>
      <c r="B1142" s="103">
        <v>43649</v>
      </c>
      <c r="C1142" s="102">
        <v>16612.16</v>
      </c>
    </row>
    <row r="1143" spans="1:3">
      <c r="A1143" s="102" t="s">
        <v>353</v>
      </c>
      <c r="B1143" s="103">
        <v>43648</v>
      </c>
      <c r="C1143" s="102">
        <v>16603.169999999998</v>
      </c>
    </row>
    <row r="1144" spans="1:3">
      <c r="A1144" s="102" t="s">
        <v>353</v>
      </c>
      <c r="B1144" s="103">
        <v>43647</v>
      </c>
      <c r="C1144" s="102">
        <v>16540.88</v>
      </c>
    </row>
    <row r="1145" spans="1:3">
      <c r="A1145" s="102" t="s">
        <v>353</v>
      </c>
      <c r="B1145" s="103">
        <v>43644</v>
      </c>
      <c r="C1145" s="102">
        <v>16433.849999999999</v>
      </c>
    </row>
    <row r="1146" spans="1:3">
      <c r="A1146" s="102" t="s">
        <v>353</v>
      </c>
      <c r="B1146" s="103">
        <v>43643</v>
      </c>
      <c r="C1146" s="102">
        <v>16507.34</v>
      </c>
    </row>
    <row r="1147" spans="1:3">
      <c r="A1147" s="102" t="s">
        <v>353</v>
      </c>
      <c r="B1147" s="103">
        <v>43642</v>
      </c>
      <c r="C1147" s="102">
        <v>16515.68</v>
      </c>
    </row>
    <row r="1148" spans="1:3">
      <c r="A1148" s="102" t="s">
        <v>353</v>
      </c>
      <c r="B1148" s="103">
        <v>43641</v>
      </c>
      <c r="C1148" s="102">
        <v>16444.46</v>
      </c>
    </row>
    <row r="1149" spans="1:3">
      <c r="A1149" s="102" t="s">
        <v>353</v>
      </c>
      <c r="B1149" s="103">
        <v>43640</v>
      </c>
      <c r="C1149" s="102">
        <v>16309.52</v>
      </c>
    </row>
    <row r="1150" spans="1:3">
      <c r="A1150" s="102" t="s">
        <v>353</v>
      </c>
      <c r="B1150" s="103">
        <v>43637</v>
      </c>
      <c r="C1150" s="102">
        <v>16343.59</v>
      </c>
    </row>
    <row r="1151" spans="1:3">
      <c r="A1151" s="102" t="s">
        <v>353</v>
      </c>
      <c r="B1151" s="103">
        <v>43636</v>
      </c>
      <c r="C1151" s="102">
        <v>16493.650000000001</v>
      </c>
    </row>
    <row r="1152" spans="1:3">
      <c r="A1152" s="102" t="s">
        <v>353</v>
      </c>
      <c r="B1152" s="103">
        <v>43635</v>
      </c>
      <c r="C1152" s="102">
        <v>16283.94</v>
      </c>
    </row>
    <row r="1153" spans="1:3">
      <c r="A1153" s="102" t="s">
        <v>353</v>
      </c>
      <c r="B1153" s="103">
        <v>43634</v>
      </c>
      <c r="C1153" s="102">
        <v>16283.98</v>
      </c>
    </row>
    <row r="1154" spans="1:3">
      <c r="A1154" s="102" t="s">
        <v>353</v>
      </c>
      <c r="B1154" s="103">
        <v>43633</v>
      </c>
      <c r="C1154" s="102">
        <v>16257.06</v>
      </c>
    </row>
    <row r="1155" spans="1:3">
      <c r="A1155" s="102" t="s">
        <v>353</v>
      </c>
      <c r="B1155" s="103">
        <v>43630</v>
      </c>
      <c r="C1155" s="102">
        <v>16467.55</v>
      </c>
    </row>
    <row r="1156" spans="1:3">
      <c r="A1156" s="102" t="s">
        <v>353</v>
      </c>
      <c r="B1156" s="103">
        <v>43629</v>
      </c>
      <c r="C1156" s="102">
        <v>16593.97</v>
      </c>
    </row>
    <row r="1157" spans="1:3">
      <c r="A1157" s="102" t="s">
        <v>353</v>
      </c>
      <c r="B1157" s="103">
        <v>43628</v>
      </c>
      <c r="C1157" s="102">
        <v>16568.09</v>
      </c>
    </row>
    <row r="1158" spans="1:3">
      <c r="A1158" s="102" t="s">
        <v>353</v>
      </c>
      <c r="B1158" s="103">
        <v>43627</v>
      </c>
      <c r="C1158" s="102">
        <v>16650.75</v>
      </c>
    </row>
    <row r="1159" spans="1:3">
      <c r="A1159" s="102" t="s">
        <v>353</v>
      </c>
      <c r="B1159" s="103">
        <v>43626</v>
      </c>
      <c r="C1159" s="102">
        <v>16590.990000000002</v>
      </c>
    </row>
    <row r="1160" spans="1:3">
      <c r="A1160" s="102" t="s">
        <v>353</v>
      </c>
      <c r="B1160" s="103">
        <v>43623</v>
      </c>
      <c r="C1160" s="102">
        <v>16518.62</v>
      </c>
    </row>
    <row r="1161" spans="1:3">
      <c r="A1161" s="102" t="s">
        <v>353</v>
      </c>
      <c r="B1161" s="103">
        <v>43622</v>
      </c>
      <c r="C1161" s="102">
        <v>16481.14</v>
      </c>
    </row>
    <row r="1162" spans="1:3">
      <c r="A1162" s="102" t="s">
        <v>353</v>
      </c>
      <c r="B1162" s="103">
        <v>43620</v>
      </c>
      <c r="C1162" s="102">
        <v>16728.740000000002</v>
      </c>
    </row>
    <row r="1163" spans="1:3">
      <c r="A1163" s="102" t="s">
        <v>353</v>
      </c>
      <c r="B1163" s="103">
        <v>43619</v>
      </c>
      <c r="C1163" s="102">
        <v>16815.25</v>
      </c>
    </row>
    <row r="1164" spans="1:3">
      <c r="A1164" s="102" t="s">
        <v>353</v>
      </c>
      <c r="B1164" s="103">
        <v>43616</v>
      </c>
      <c r="C1164" s="102">
        <v>16583.46</v>
      </c>
    </row>
    <row r="1165" spans="1:3">
      <c r="A1165" s="102" t="s">
        <v>353</v>
      </c>
      <c r="B1165" s="103">
        <v>43615</v>
      </c>
      <c r="C1165" s="102">
        <v>16615.59</v>
      </c>
    </row>
    <row r="1166" spans="1:3">
      <c r="A1166" s="102" t="s">
        <v>353</v>
      </c>
      <c r="B1166" s="103">
        <v>43614</v>
      </c>
      <c r="C1166" s="102">
        <v>16497.62</v>
      </c>
    </row>
    <row r="1167" spans="1:3">
      <c r="A1167" s="102" t="s">
        <v>353</v>
      </c>
      <c r="B1167" s="103">
        <v>43613</v>
      </c>
      <c r="C1167" s="102">
        <v>16591.7</v>
      </c>
    </row>
    <row r="1168" spans="1:3">
      <c r="A1168" s="102" t="s">
        <v>353</v>
      </c>
      <c r="B1168" s="103">
        <v>43612</v>
      </c>
      <c r="C1168" s="102">
        <v>16585.13</v>
      </c>
    </row>
    <row r="1169" spans="1:3">
      <c r="A1169" s="102" t="s">
        <v>353</v>
      </c>
      <c r="B1169" s="103">
        <v>43609</v>
      </c>
      <c r="C1169" s="102">
        <v>16472.95</v>
      </c>
    </row>
    <row r="1170" spans="1:3">
      <c r="A1170" s="102" t="s">
        <v>353</v>
      </c>
      <c r="B1170" s="103">
        <v>43608</v>
      </c>
      <c r="C1170" s="102">
        <v>16212.78</v>
      </c>
    </row>
    <row r="1171" spans="1:3">
      <c r="A1171" s="102" t="s">
        <v>353</v>
      </c>
      <c r="B1171" s="103">
        <v>43607</v>
      </c>
      <c r="C1171" s="102">
        <v>16325.28</v>
      </c>
    </row>
    <row r="1172" spans="1:3">
      <c r="A1172" s="102" t="s">
        <v>353</v>
      </c>
      <c r="B1172" s="103">
        <v>43606</v>
      </c>
      <c r="C1172" s="102">
        <v>16268.26</v>
      </c>
    </row>
    <row r="1173" spans="1:3">
      <c r="A1173" s="102" t="s">
        <v>353</v>
      </c>
      <c r="B1173" s="103">
        <v>43605</v>
      </c>
      <c r="C1173" s="102">
        <v>16433.77</v>
      </c>
    </row>
    <row r="1174" spans="1:3">
      <c r="A1174" s="102" t="s">
        <v>353</v>
      </c>
      <c r="B1174" s="103">
        <v>43602</v>
      </c>
      <c r="C1174" s="102">
        <v>15848.71</v>
      </c>
    </row>
    <row r="1175" spans="1:3">
      <c r="A1175" s="102" t="s">
        <v>353</v>
      </c>
      <c r="B1175" s="103">
        <v>43601</v>
      </c>
      <c r="C1175" s="102">
        <v>15640.22</v>
      </c>
    </row>
    <row r="1176" spans="1:3">
      <c r="A1176" s="102" t="s">
        <v>353</v>
      </c>
      <c r="B1176" s="103">
        <v>43600</v>
      </c>
      <c r="C1176" s="102">
        <v>15500.82</v>
      </c>
    </row>
    <row r="1177" spans="1:3">
      <c r="A1177" s="102" t="s">
        <v>353</v>
      </c>
      <c r="B1177" s="103">
        <v>43599</v>
      </c>
      <c r="C1177" s="102">
        <v>15591.19</v>
      </c>
    </row>
    <row r="1178" spans="1:3">
      <c r="A1178" s="102" t="s">
        <v>353</v>
      </c>
      <c r="B1178" s="103">
        <v>43598</v>
      </c>
      <c r="C1178" s="102">
        <v>15488.6</v>
      </c>
    </row>
    <row r="1179" spans="1:3">
      <c r="A1179" s="102" t="s">
        <v>353</v>
      </c>
      <c r="B1179" s="103">
        <v>43595</v>
      </c>
      <c r="C1179" s="102">
        <v>15670.18</v>
      </c>
    </row>
    <row r="1180" spans="1:3">
      <c r="A1180" s="102" t="s">
        <v>353</v>
      </c>
      <c r="B1180" s="103">
        <v>43594</v>
      </c>
      <c r="C1180" s="102">
        <v>15701.95</v>
      </c>
    </row>
    <row r="1181" spans="1:3">
      <c r="A1181" s="102" t="s">
        <v>353</v>
      </c>
      <c r="B1181" s="103">
        <v>43593</v>
      </c>
      <c r="C1181" s="102">
        <v>15782.09</v>
      </c>
    </row>
    <row r="1182" spans="1:3">
      <c r="A1182" s="102" t="s">
        <v>353</v>
      </c>
      <c r="B1182" s="103">
        <v>43592</v>
      </c>
      <c r="C1182" s="102">
        <v>15974.41</v>
      </c>
    </row>
    <row r="1183" spans="1:3">
      <c r="A1183" s="102" t="s">
        <v>353</v>
      </c>
      <c r="B1183" s="103">
        <v>43591</v>
      </c>
      <c r="C1183" s="102">
        <v>16110.44</v>
      </c>
    </row>
    <row r="1184" spans="1:3">
      <c r="A1184" s="102" t="s">
        <v>353</v>
      </c>
      <c r="B1184" s="103">
        <v>43588</v>
      </c>
      <c r="C1184" s="102">
        <v>16268.79</v>
      </c>
    </row>
    <row r="1185" spans="1:3">
      <c r="A1185" s="102" t="s">
        <v>353</v>
      </c>
      <c r="B1185" s="103">
        <v>43587</v>
      </c>
      <c r="C1185" s="102">
        <v>16286.18</v>
      </c>
    </row>
    <row r="1186" spans="1:3">
      <c r="A1186" s="102" t="s">
        <v>353</v>
      </c>
      <c r="B1186" s="103">
        <v>43585</v>
      </c>
      <c r="C1186" s="102">
        <v>16318.66</v>
      </c>
    </row>
    <row r="1187" spans="1:3">
      <c r="A1187" s="102" t="s">
        <v>353</v>
      </c>
      <c r="B1187" s="103">
        <v>43581</v>
      </c>
      <c r="C1187" s="102">
        <v>16327.7</v>
      </c>
    </row>
    <row r="1188" spans="1:3">
      <c r="A1188" s="102" t="s">
        <v>353</v>
      </c>
      <c r="B1188" s="103">
        <v>43580</v>
      </c>
      <c r="C1188" s="102">
        <v>16170.98</v>
      </c>
    </row>
    <row r="1189" spans="1:3">
      <c r="A1189" s="102" t="s">
        <v>353</v>
      </c>
      <c r="B1189" s="103">
        <v>43579</v>
      </c>
      <c r="C1189" s="102">
        <v>16288.16</v>
      </c>
    </row>
    <row r="1190" spans="1:3">
      <c r="A1190" s="102" t="s">
        <v>353</v>
      </c>
      <c r="B1190" s="103">
        <v>43578</v>
      </c>
      <c r="C1190" s="102">
        <v>16079.51</v>
      </c>
    </row>
    <row r="1191" spans="1:3">
      <c r="A1191" s="102" t="s">
        <v>353</v>
      </c>
      <c r="B1191" s="103">
        <v>43577</v>
      </c>
      <c r="C1191" s="102">
        <v>16105.19</v>
      </c>
    </row>
    <row r="1192" spans="1:3">
      <c r="A1192" s="102" t="s">
        <v>353</v>
      </c>
      <c r="B1192" s="103">
        <v>43573</v>
      </c>
      <c r="C1192" s="102">
        <v>16325.13</v>
      </c>
    </row>
    <row r="1193" spans="1:3">
      <c r="A1193" s="102" t="s">
        <v>353</v>
      </c>
      <c r="B1193" s="103">
        <v>43571</v>
      </c>
      <c r="C1193" s="102">
        <v>16372.86</v>
      </c>
    </row>
    <row r="1194" spans="1:3">
      <c r="A1194" s="102" t="s">
        <v>353</v>
      </c>
      <c r="B1194" s="103">
        <v>43570</v>
      </c>
      <c r="C1194" s="102">
        <v>16238.41</v>
      </c>
    </row>
    <row r="1195" spans="1:3">
      <c r="A1195" s="102" t="s">
        <v>353</v>
      </c>
      <c r="B1195" s="103">
        <v>43567</v>
      </c>
      <c r="C1195" s="102">
        <v>16173.27</v>
      </c>
    </row>
    <row r="1196" spans="1:3">
      <c r="A1196" s="102" t="s">
        <v>353</v>
      </c>
      <c r="B1196" s="103">
        <v>43566</v>
      </c>
      <c r="C1196" s="102">
        <v>16108.32</v>
      </c>
    </row>
    <row r="1197" spans="1:3">
      <c r="A1197" s="102" t="s">
        <v>353</v>
      </c>
      <c r="B1197" s="103">
        <v>43565</v>
      </c>
      <c r="C1197" s="102">
        <v>16091.08</v>
      </c>
    </row>
    <row r="1198" spans="1:3">
      <c r="A1198" s="102" t="s">
        <v>353</v>
      </c>
      <c r="B1198" s="103">
        <v>43564</v>
      </c>
      <c r="C1198" s="102">
        <v>16212.81</v>
      </c>
    </row>
    <row r="1199" spans="1:3">
      <c r="A1199" s="102" t="s">
        <v>353</v>
      </c>
      <c r="B1199" s="103">
        <v>43563</v>
      </c>
      <c r="C1199" s="102">
        <v>16119.14</v>
      </c>
    </row>
    <row r="1200" spans="1:3">
      <c r="A1200" s="102" t="s">
        <v>353</v>
      </c>
      <c r="B1200" s="103">
        <v>43560</v>
      </c>
      <c r="C1200" s="102">
        <v>16204.48</v>
      </c>
    </row>
    <row r="1201" spans="1:3">
      <c r="A1201" s="102" t="s">
        <v>353</v>
      </c>
      <c r="B1201" s="103">
        <v>43559</v>
      </c>
      <c r="C1201" s="102">
        <v>16110.09</v>
      </c>
    </row>
    <row r="1202" spans="1:3">
      <c r="A1202" s="102" t="s">
        <v>353</v>
      </c>
      <c r="B1202" s="103">
        <v>43558</v>
      </c>
      <c r="C1202" s="102">
        <v>16173.92</v>
      </c>
    </row>
    <row r="1203" spans="1:3">
      <c r="A1203" s="102" t="s">
        <v>353</v>
      </c>
      <c r="B1203" s="103">
        <v>43557</v>
      </c>
      <c r="C1203" s="102">
        <v>16270.13</v>
      </c>
    </row>
    <row r="1204" spans="1:3">
      <c r="A1204" s="102" t="s">
        <v>353</v>
      </c>
      <c r="B1204" s="103">
        <v>43556</v>
      </c>
      <c r="C1204" s="102">
        <v>16208.94</v>
      </c>
    </row>
    <row r="1205" spans="1:3">
      <c r="A1205" s="102" t="s">
        <v>353</v>
      </c>
      <c r="B1205" s="103">
        <v>43553</v>
      </c>
      <c r="C1205" s="102">
        <v>16146.11</v>
      </c>
    </row>
    <row r="1206" spans="1:3">
      <c r="A1206" s="102" t="s">
        <v>353</v>
      </c>
      <c r="B1206" s="103">
        <v>43552</v>
      </c>
      <c r="C1206" s="102">
        <v>16071.26</v>
      </c>
    </row>
    <row r="1207" spans="1:3">
      <c r="A1207" s="102" t="s">
        <v>353</v>
      </c>
      <c r="B1207" s="103">
        <v>43551</v>
      </c>
      <c r="C1207" s="102">
        <v>15897.65</v>
      </c>
    </row>
    <row r="1208" spans="1:3">
      <c r="A1208" s="102" t="s">
        <v>353</v>
      </c>
      <c r="B1208" s="103">
        <v>43550</v>
      </c>
      <c r="C1208" s="102">
        <v>15949.46</v>
      </c>
    </row>
    <row r="1209" spans="1:3">
      <c r="A1209" s="102" t="s">
        <v>353</v>
      </c>
      <c r="B1209" s="103">
        <v>43549</v>
      </c>
      <c r="C1209" s="102">
        <v>15770.26</v>
      </c>
    </row>
    <row r="1210" spans="1:3">
      <c r="A1210" s="102" t="s">
        <v>353</v>
      </c>
      <c r="B1210" s="103">
        <v>43546</v>
      </c>
      <c r="C1210" s="102">
        <v>15912.88</v>
      </c>
    </row>
    <row r="1211" spans="1:3">
      <c r="A1211" s="102" t="s">
        <v>353</v>
      </c>
      <c r="B1211" s="103">
        <v>43544</v>
      </c>
      <c r="C1211" s="102">
        <v>15998.51</v>
      </c>
    </row>
    <row r="1212" spans="1:3">
      <c r="A1212" s="102" t="s">
        <v>353</v>
      </c>
      <c r="B1212" s="103">
        <v>43543</v>
      </c>
      <c r="C1212" s="102">
        <v>16014.33</v>
      </c>
    </row>
    <row r="1213" spans="1:3">
      <c r="A1213" s="102" t="s">
        <v>353</v>
      </c>
      <c r="B1213" s="103">
        <v>43542</v>
      </c>
      <c r="C1213" s="102">
        <v>15916.8</v>
      </c>
    </row>
    <row r="1214" spans="1:3">
      <c r="A1214" s="102" t="s">
        <v>353</v>
      </c>
      <c r="B1214" s="103">
        <v>43539</v>
      </c>
      <c r="C1214" s="102">
        <v>15867.74</v>
      </c>
    </row>
    <row r="1215" spans="1:3">
      <c r="A1215" s="102" t="s">
        <v>353</v>
      </c>
      <c r="B1215" s="103">
        <v>43538</v>
      </c>
      <c r="C1215" s="102">
        <v>15749.67</v>
      </c>
    </row>
    <row r="1216" spans="1:3">
      <c r="A1216" s="102" t="s">
        <v>353</v>
      </c>
      <c r="B1216" s="103">
        <v>43537</v>
      </c>
      <c r="C1216" s="102">
        <v>15742.86</v>
      </c>
    </row>
    <row r="1217" spans="1:3">
      <c r="A1217" s="102" t="s">
        <v>353</v>
      </c>
      <c r="B1217" s="103">
        <v>43536</v>
      </c>
      <c r="C1217" s="102">
        <v>15685.41</v>
      </c>
    </row>
    <row r="1218" spans="1:3">
      <c r="A1218" s="102" t="s">
        <v>353</v>
      </c>
      <c r="B1218" s="103">
        <v>43535</v>
      </c>
      <c r="C1218" s="102">
        <v>15500.61</v>
      </c>
    </row>
    <row r="1219" spans="1:3">
      <c r="A1219" s="102" t="s">
        <v>353</v>
      </c>
      <c r="B1219" s="103">
        <v>43532</v>
      </c>
      <c r="C1219" s="102">
        <v>15316.51</v>
      </c>
    </row>
    <row r="1220" spans="1:3">
      <c r="A1220" s="102" t="s">
        <v>353</v>
      </c>
      <c r="B1220" s="103">
        <v>43531</v>
      </c>
      <c r="C1220" s="102">
        <v>15348.14</v>
      </c>
    </row>
    <row r="1221" spans="1:3">
      <c r="A1221" s="102" t="s">
        <v>353</v>
      </c>
      <c r="B1221" s="103">
        <v>43530</v>
      </c>
      <c r="C1221" s="102">
        <v>15340.93</v>
      </c>
    </row>
    <row r="1222" spans="1:3">
      <c r="A1222" s="102" t="s">
        <v>353</v>
      </c>
      <c r="B1222" s="103">
        <v>43529</v>
      </c>
      <c r="C1222" s="102">
        <v>15249.97</v>
      </c>
    </row>
    <row r="1223" spans="1:3">
      <c r="A1223" s="102" t="s">
        <v>353</v>
      </c>
      <c r="B1223" s="103">
        <v>43525</v>
      </c>
      <c r="C1223" s="102">
        <v>15077.91</v>
      </c>
    </row>
    <row r="1224" spans="1:3">
      <c r="A1224" s="102" t="s">
        <v>353</v>
      </c>
      <c r="B1224" s="103">
        <v>43524</v>
      </c>
      <c r="C1224" s="102">
        <v>14979.39</v>
      </c>
    </row>
    <row r="1225" spans="1:3">
      <c r="A1225" s="102" t="s">
        <v>353</v>
      </c>
      <c r="B1225" s="103">
        <v>43523</v>
      </c>
      <c r="C1225" s="102">
        <v>14993.45</v>
      </c>
    </row>
    <row r="1226" spans="1:3">
      <c r="A1226" s="102" t="s">
        <v>353</v>
      </c>
      <c r="B1226" s="103">
        <v>43522</v>
      </c>
      <c r="C1226" s="102">
        <v>15033.15</v>
      </c>
    </row>
    <row r="1227" spans="1:3">
      <c r="A1227" s="102" t="s">
        <v>353</v>
      </c>
      <c r="B1227" s="103">
        <v>43521</v>
      </c>
      <c r="C1227" s="102">
        <v>15095.33</v>
      </c>
    </row>
    <row r="1228" spans="1:3">
      <c r="A1228" s="102" t="s">
        <v>353</v>
      </c>
      <c r="B1228" s="103">
        <v>43518</v>
      </c>
      <c r="C1228" s="102">
        <v>14972.58</v>
      </c>
    </row>
    <row r="1229" spans="1:3">
      <c r="A1229" s="102" t="s">
        <v>353</v>
      </c>
      <c r="B1229" s="103">
        <v>43517</v>
      </c>
      <c r="C1229" s="102">
        <v>14970.12</v>
      </c>
    </row>
    <row r="1230" spans="1:3">
      <c r="A1230" s="102" t="s">
        <v>353</v>
      </c>
      <c r="B1230" s="103">
        <v>43516</v>
      </c>
      <c r="C1230" s="102">
        <v>14891.6</v>
      </c>
    </row>
    <row r="1231" spans="1:3">
      <c r="A1231" s="102" t="s">
        <v>353</v>
      </c>
      <c r="B1231" s="103">
        <v>43515</v>
      </c>
      <c r="C1231" s="102">
        <v>14709.75</v>
      </c>
    </row>
    <row r="1232" spans="1:3">
      <c r="A1232" s="102" t="s">
        <v>353</v>
      </c>
      <c r="B1232" s="103">
        <v>43514</v>
      </c>
      <c r="C1232" s="102">
        <v>14760.48</v>
      </c>
    </row>
    <row r="1233" spans="1:3">
      <c r="A1233" s="102" t="s">
        <v>353</v>
      </c>
      <c r="B1233" s="103">
        <v>43511</v>
      </c>
      <c r="C1233" s="102">
        <v>14876.27</v>
      </c>
    </row>
    <row r="1234" spans="1:3">
      <c r="A1234" s="102" t="s">
        <v>353</v>
      </c>
      <c r="B1234" s="103">
        <v>43510</v>
      </c>
      <c r="C1234" s="102">
        <v>14906.26</v>
      </c>
    </row>
    <row r="1235" spans="1:3">
      <c r="A1235" s="102" t="s">
        <v>353</v>
      </c>
      <c r="B1235" s="103">
        <v>43509</v>
      </c>
      <c r="C1235" s="102">
        <v>14970.62</v>
      </c>
    </row>
    <row r="1236" spans="1:3">
      <c r="A1236" s="102" t="s">
        <v>353</v>
      </c>
      <c r="B1236" s="103">
        <v>43508</v>
      </c>
      <c r="C1236" s="102">
        <v>15023.02</v>
      </c>
    </row>
    <row r="1237" spans="1:3">
      <c r="A1237" s="102" t="s">
        <v>353</v>
      </c>
      <c r="B1237" s="103">
        <v>43507</v>
      </c>
      <c r="C1237" s="102">
        <v>15100.61</v>
      </c>
    </row>
    <row r="1238" spans="1:3">
      <c r="A1238" s="102" t="s">
        <v>353</v>
      </c>
      <c r="B1238" s="103">
        <v>43504</v>
      </c>
      <c r="C1238" s="102">
        <v>15173.02</v>
      </c>
    </row>
    <row r="1239" spans="1:3">
      <c r="A1239" s="102" t="s">
        <v>353</v>
      </c>
      <c r="B1239" s="103">
        <v>43503</v>
      </c>
      <c r="C1239" s="102">
        <v>15347.41</v>
      </c>
    </row>
    <row r="1240" spans="1:3">
      <c r="A1240" s="102" t="s">
        <v>353</v>
      </c>
      <c r="B1240" s="103">
        <v>43502</v>
      </c>
      <c r="C1240" s="102">
        <v>15337.8</v>
      </c>
    </row>
    <row r="1241" spans="1:3">
      <c r="A1241" s="102" t="s">
        <v>353</v>
      </c>
      <c r="B1241" s="103">
        <v>43501</v>
      </c>
      <c r="C1241" s="102">
        <v>15155.99</v>
      </c>
    </row>
    <row r="1242" spans="1:3">
      <c r="A1242" s="102" t="s">
        <v>353</v>
      </c>
      <c r="B1242" s="103">
        <v>43500</v>
      </c>
      <c r="C1242" s="102">
        <v>15125.02</v>
      </c>
    </row>
    <row r="1243" spans="1:3">
      <c r="A1243" s="102" t="s">
        <v>353</v>
      </c>
      <c r="B1243" s="103">
        <v>43497</v>
      </c>
      <c r="C1243" s="102">
        <v>15099.21</v>
      </c>
    </row>
    <row r="1244" spans="1:3">
      <c r="A1244" s="102" t="s">
        <v>353</v>
      </c>
      <c r="B1244" s="103">
        <v>43496</v>
      </c>
      <c r="C1244" s="102">
        <v>15012.34</v>
      </c>
    </row>
    <row r="1245" spans="1:3">
      <c r="A1245" s="102" t="s">
        <v>353</v>
      </c>
      <c r="B1245" s="103">
        <v>43495</v>
      </c>
      <c r="C1245" s="102">
        <v>14764.02</v>
      </c>
    </row>
    <row r="1246" spans="1:3">
      <c r="A1246" s="102" t="s">
        <v>353</v>
      </c>
      <c r="B1246" s="103">
        <v>43494</v>
      </c>
      <c r="C1246" s="102">
        <v>14764.59</v>
      </c>
    </row>
    <row r="1247" spans="1:3">
      <c r="A1247" s="102" t="s">
        <v>353</v>
      </c>
      <c r="B1247" s="103">
        <v>43493</v>
      </c>
      <c r="C1247" s="102">
        <v>14777.11</v>
      </c>
    </row>
    <row r="1248" spans="1:3">
      <c r="A1248" s="102" t="s">
        <v>353</v>
      </c>
      <c r="B1248" s="103">
        <v>43490</v>
      </c>
      <c r="C1248" s="102">
        <v>14942.09</v>
      </c>
    </row>
    <row r="1249" spans="1:3">
      <c r="A1249" s="102" t="s">
        <v>353</v>
      </c>
      <c r="B1249" s="103">
        <v>43489</v>
      </c>
      <c r="C1249" s="102">
        <v>15038.07</v>
      </c>
    </row>
    <row r="1250" spans="1:3">
      <c r="A1250" s="102" t="s">
        <v>353</v>
      </c>
      <c r="B1250" s="103">
        <v>43488</v>
      </c>
      <c r="C1250" s="102">
        <v>15007.4</v>
      </c>
    </row>
    <row r="1251" spans="1:3">
      <c r="A1251" s="102" t="s">
        <v>353</v>
      </c>
      <c r="B1251" s="103">
        <v>43487</v>
      </c>
      <c r="C1251" s="102">
        <v>15133.83</v>
      </c>
    </row>
    <row r="1252" spans="1:3">
      <c r="A1252" s="102" t="s">
        <v>353</v>
      </c>
      <c r="B1252" s="103">
        <v>43486</v>
      </c>
      <c r="C1252" s="102">
        <v>15188</v>
      </c>
    </row>
    <row r="1253" spans="1:3">
      <c r="A1253" s="102" t="s">
        <v>353</v>
      </c>
      <c r="B1253" s="103">
        <v>43483</v>
      </c>
      <c r="C1253" s="102">
        <v>15111.95</v>
      </c>
    </row>
    <row r="1254" spans="1:3">
      <c r="A1254" s="102" t="s">
        <v>353</v>
      </c>
      <c r="B1254" s="103">
        <v>43482</v>
      </c>
      <c r="C1254" s="102">
        <v>15109.54</v>
      </c>
    </row>
    <row r="1255" spans="1:3">
      <c r="A1255" s="102" t="s">
        <v>353</v>
      </c>
      <c r="B1255" s="103">
        <v>43481</v>
      </c>
      <c r="C1255" s="102">
        <v>15087.41</v>
      </c>
    </row>
    <row r="1256" spans="1:3">
      <c r="A1256" s="102" t="s">
        <v>353</v>
      </c>
      <c r="B1256" s="103">
        <v>43480</v>
      </c>
      <c r="C1256" s="102">
        <v>15082.59</v>
      </c>
    </row>
    <row r="1257" spans="1:3">
      <c r="A1257" s="102" t="s">
        <v>353</v>
      </c>
      <c r="B1257" s="103">
        <v>43479</v>
      </c>
      <c r="C1257" s="102">
        <v>14875.92</v>
      </c>
    </row>
    <row r="1258" spans="1:3">
      <c r="A1258" s="102" t="s">
        <v>353</v>
      </c>
      <c r="B1258" s="103">
        <v>43476</v>
      </c>
      <c r="C1258" s="102">
        <v>14955.33</v>
      </c>
    </row>
    <row r="1259" spans="1:3">
      <c r="A1259" s="102" t="s">
        <v>353</v>
      </c>
      <c r="B1259" s="103">
        <v>43475</v>
      </c>
      <c r="C1259" s="102">
        <v>14992.23</v>
      </c>
    </row>
    <row r="1260" spans="1:3">
      <c r="A1260" s="102" t="s">
        <v>353</v>
      </c>
      <c r="B1260" s="103">
        <v>43474</v>
      </c>
      <c r="C1260" s="102">
        <v>15038.74</v>
      </c>
    </row>
    <row r="1261" spans="1:3">
      <c r="A1261" s="102" t="s">
        <v>353</v>
      </c>
      <c r="B1261" s="103">
        <v>43473</v>
      </c>
      <c r="C1261" s="102">
        <v>14965.34</v>
      </c>
    </row>
    <row r="1262" spans="1:3">
      <c r="A1262" s="102" t="s">
        <v>353</v>
      </c>
      <c r="B1262" s="103">
        <v>43472</v>
      </c>
      <c r="C1262" s="102">
        <v>14923.27</v>
      </c>
    </row>
    <row r="1263" spans="1:3">
      <c r="A1263" s="102" t="s">
        <v>353</v>
      </c>
      <c r="B1263" s="103">
        <v>43469</v>
      </c>
      <c r="C1263" s="102">
        <v>14861.69</v>
      </c>
    </row>
    <row r="1264" spans="1:3">
      <c r="A1264" s="102" t="s">
        <v>353</v>
      </c>
      <c r="B1264" s="103">
        <v>43468</v>
      </c>
      <c r="C1264" s="102">
        <v>14785.38</v>
      </c>
    </row>
    <row r="1265" spans="1:3">
      <c r="A1265" s="102" t="s">
        <v>353</v>
      </c>
      <c r="B1265" s="103">
        <v>43467</v>
      </c>
      <c r="C1265" s="102">
        <v>14951.96</v>
      </c>
    </row>
    <row r="1266" spans="1:3">
      <c r="A1266" s="102" t="s">
        <v>353</v>
      </c>
      <c r="B1266" s="103">
        <v>43466</v>
      </c>
      <c r="C1266" s="102">
        <v>15114.9</v>
      </c>
    </row>
    <row r="1267" spans="1:3">
      <c r="A1267" s="102" t="s">
        <v>353</v>
      </c>
      <c r="B1267" s="103">
        <v>43465</v>
      </c>
      <c r="C1267" s="102">
        <v>15048.98</v>
      </c>
    </row>
    <row r="1268" spans="1:3">
      <c r="A1268" s="102" t="s">
        <v>353</v>
      </c>
      <c r="B1268" s="103">
        <v>43462</v>
      </c>
      <c r="C1268" s="102">
        <v>15045.34</v>
      </c>
    </row>
    <row r="1269" spans="1:3">
      <c r="A1269" s="102" t="s">
        <v>353</v>
      </c>
      <c r="B1269" s="103">
        <v>43461</v>
      </c>
      <c r="C1269" s="102">
        <v>14930.18</v>
      </c>
    </row>
    <row r="1270" spans="1:3">
      <c r="A1270" s="102" t="s">
        <v>353</v>
      </c>
      <c r="B1270" s="103">
        <v>43460</v>
      </c>
      <c r="C1270" s="102">
        <v>14860.97</v>
      </c>
    </row>
    <row r="1271" spans="1:3">
      <c r="A1271" s="102" t="s">
        <v>353</v>
      </c>
      <c r="B1271" s="103">
        <v>43458</v>
      </c>
      <c r="C1271" s="102">
        <v>14769.13</v>
      </c>
    </row>
    <row r="1272" spans="1:3">
      <c r="A1272" s="102" t="s">
        <v>353</v>
      </c>
      <c r="B1272" s="103">
        <v>43455</v>
      </c>
      <c r="C1272" s="102">
        <v>14894.42</v>
      </c>
    </row>
    <row r="1273" spans="1:3">
      <c r="A1273" s="102" t="s">
        <v>353</v>
      </c>
      <c r="B1273" s="103">
        <v>43454</v>
      </c>
      <c r="C1273" s="102">
        <v>15163.14</v>
      </c>
    </row>
    <row r="1274" spans="1:3">
      <c r="A1274" s="102" t="s">
        <v>353</v>
      </c>
      <c r="B1274" s="103">
        <v>43453</v>
      </c>
      <c r="C1274" s="102">
        <v>15184.78</v>
      </c>
    </row>
    <row r="1275" spans="1:3">
      <c r="A1275" s="102" t="s">
        <v>353</v>
      </c>
      <c r="B1275" s="103">
        <v>43452</v>
      </c>
      <c r="C1275" s="102">
        <v>15103.63</v>
      </c>
    </row>
    <row r="1276" spans="1:3">
      <c r="A1276" s="102" t="s">
        <v>353</v>
      </c>
      <c r="B1276" s="103">
        <v>43451</v>
      </c>
      <c r="C1276" s="102">
        <v>15075.46</v>
      </c>
    </row>
    <row r="1277" spans="1:3">
      <c r="A1277" s="102" t="s">
        <v>353</v>
      </c>
      <c r="B1277" s="103">
        <v>43448</v>
      </c>
      <c r="C1277" s="102">
        <v>14960.64</v>
      </c>
    </row>
    <row r="1278" spans="1:3">
      <c r="A1278" s="102" t="s">
        <v>353</v>
      </c>
      <c r="B1278" s="103">
        <v>43447</v>
      </c>
      <c r="C1278" s="102">
        <v>14941.4</v>
      </c>
    </row>
    <row r="1279" spans="1:3">
      <c r="A1279" s="102" t="s">
        <v>353</v>
      </c>
      <c r="B1279" s="103">
        <v>43446</v>
      </c>
      <c r="C1279" s="102">
        <v>14866.71</v>
      </c>
    </row>
    <row r="1280" spans="1:3">
      <c r="A1280" s="102" t="s">
        <v>353</v>
      </c>
      <c r="B1280" s="103">
        <v>43445</v>
      </c>
      <c r="C1280" s="102">
        <v>14605.79</v>
      </c>
    </row>
    <row r="1281" spans="1:3">
      <c r="A1281" s="102" t="s">
        <v>353</v>
      </c>
      <c r="B1281" s="103">
        <v>43444</v>
      </c>
      <c r="C1281" s="102">
        <v>14521.73</v>
      </c>
    </row>
    <row r="1282" spans="1:3">
      <c r="A1282" s="102" t="s">
        <v>353</v>
      </c>
      <c r="B1282" s="103">
        <v>43441</v>
      </c>
      <c r="C1282" s="102">
        <v>14805.93</v>
      </c>
    </row>
    <row r="1283" spans="1:3">
      <c r="A1283" s="102" t="s">
        <v>353</v>
      </c>
      <c r="B1283" s="103">
        <v>43440</v>
      </c>
      <c r="C1283" s="102">
        <v>14677.79</v>
      </c>
    </row>
    <row r="1284" spans="1:3">
      <c r="A1284" s="102" t="s">
        <v>353</v>
      </c>
      <c r="B1284" s="103">
        <v>43439</v>
      </c>
      <c r="C1284" s="102">
        <v>14929.43</v>
      </c>
    </row>
    <row r="1285" spans="1:3">
      <c r="A1285" s="102" t="s">
        <v>353</v>
      </c>
      <c r="B1285" s="103">
        <v>43438</v>
      </c>
      <c r="C1285" s="102">
        <v>15049.32</v>
      </c>
    </row>
    <row r="1286" spans="1:3">
      <c r="A1286" s="102" t="s">
        <v>353</v>
      </c>
      <c r="B1286" s="103">
        <v>43437</v>
      </c>
      <c r="C1286" s="102">
        <v>15069.07</v>
      </c>
    </row>
    <row r="1287" spans="1:3">
      <c r="A1287" s="102" t="s">
        <v>353</v>
      </c>
      <c r="B1287" s="103">
        <v>43434</v>
      </c>
      <c r="C1287" s="102">
        <v>15059.37</v>
      </c>
    </row>
    <row r="1288" spans="1:3">
      <c r="A1288" s="102" t="s">
        <v>353</v>
      </c>
      <c r="B1288" s="103">
        <v>43433</v>
      </c>
      <c r="C1288" s="102">
        <v>15034.36</v>
      </c>
    </row>
    <row r="1289" spans="1:3">
      <c r="A1289" s="102" t="s">
        <v>353</v>
      </c>
      <c r="B1289" s="103">
        <v>43432</v>
      </c>
      <c r="C1289" s="102">
        <v>14854.61</v>
      </c>
    </row>
    <row r="1290" spans="1:3">
      <c r="A1290" s="102" t="s">
        <v>353</v>
      </c>
      <c r="B1290" s="103">
        <v>43431</v>
      </c>
      <c r="C1290" s="102">
        <v>14794.7</v>
      </c>
    </row>
    <row r="1291" spans="1:3">
      <c r="A1291" s="102" t="s">
        <v>353</v>
      </c>
      <c r="B1291" s="103">
        <v>43430</v>
      </c>
      <c r="C1291" s="102">
        <v>14715.81</v>
      </c>
    </row>
    <row r="1292" spans="1:3">
      <c r="A1292" s="102" t="s">
        <v>353</v>
      </c>
      <c r="B1292" s="103">
        <v>43426</v>
      </c>
      <c r="C1292" s="102">
        <v>14574.82</v>
      </c>
    </row>
    <row r="1293" spans="1:3">
      <c r="A1293" s="102" t="s">
        <v>353</v>
      </c>
      <c r="B1293" s="103">
        <v>43425</v>
      </c>
      <c r="C1293" s="102">
        <v>14676.29</v>
      </c>
    </row>
    <row r="1294" spans="1:3">
      <c r="A1294" s="102" t="s">
        <v>353</v>
      </c>
      <c r="B1294" s="103">
        <v>43424</v>
      </c>
      <c r="C1294" s="102">
        <v>14754.03</v>
      </c>
    </row>
    <row r="1295" spans="1:3">
      <c r="A1295" s="102" t="s">
        <v>353</v>
      </c>
      <c r="B1295" s="103">
        <v>43423</v>
      </c>
      <c r="C1295" s="102">
        <v>14902.44</v>
      </c>
    </row>
    <row r="1296" spans="1:3">
      <c r="A1296" s="102" t="s">
        <v>353</v>
      </c>
      <c r="B1296" s="103">
        <v>43420</v>
      </c>
      <c r="C1296" s="102">
        <v>14790.05</v>
      </c>
    </row>
    <row r="1297" spans="1:3">
      <c r="A1297" s="102" t="s">
        <v>353</v>
      </c>
      <c r="B1297" s="103">
        <v>43419</v>
      </c>
      <c r="C1297" s="102">
        <v>14699.33</v>
      </c>
    </row>
    <row r="1298" spans="1:3">
      <c r="A1298" s="102" t="s">
        <v>353</v>
      </c>
      <c r="B1298" s="103">
        <v>43418</v>
      </c>
      <c r="C1298" s="102">
        <v>14643.42</v>
      </c>
    </row>
    <row r="1299" spans="1:3">
      <c r="A1299" s="102" t="s">
        <v>353</v>
      </c>
      <c r="B1299" s="103">
        <v>43417</v>
      </c>
      <c r="C1299" s="102">
        <v>14651.98</v>
      </c>
    </row>
    <row r="1300" spans="1:3">
      <c r="A1300" s="102" t="s">
        <v>353</v>
      </c>
      <c r="B1300" s="103">
        <v>43416</v>
      </c>
      <c r="C1300" s="102">
        <v>14513.12</v>
      </c>
    </row>
    <row r="1301" spans="1:3">
      <c r="A1301" s="102" t="s">
        <v>353</v>
      </c>
      <c r="B1301" s="103">
        <v>43413</v>
      </c>
      <c r="C1301" s="102">
        <v>14655.69</v>
      </c>
    </row>
    <row r="1302" spans="1:3">
      <c r="A1302" s="102" t="s">
        <v>353</v>
      </c>
      <c r="B1302" s="103">
        <v>43411</v>
      </c>
      <c r="C1302" s="102">
        <v>14673.98</v>
      </c>
    </row>
    <row r="1303" spans="1:3">
      <c r="A1303" s="102" t="s">
        <v>353</v>
      </c>
      <c r="B1303" s="103">
        <v>43410</v>
      </c>
      <c r="C1303" s="102">
        <v>14579.28</v>
      </c>
    </row>
    <row r="1304" spans="1:3">
      <c r="A1304" s="102" t="s">
        <v>353</v>
      </c>
      <c r="B1304" s="103">
        <v>43409</v>
      </c>
      <c r="C1304" s="102">
        <v>14570.98</v>
      </c>
    </row>
    <row r="1305" spans="1:3">
      <c r="A1305" s="102" t="s">
        <v>353</v>
      </c>
      <c r="B1305" s="103">
        <v>43406</v>
      </c>
      <c r="C1305" s="102">
        <v>14609.96</v>
      </c>
    </row>
    <row r="1306" spans="1:3">
      <c r="A1306" s="102" t="s">
        <v>353</v>
      </c>
      <c r="B1306" s="103">
        <v>43405</v>
      </c>
      <c r="C1306" s="102">
        <v>14371.1</v>
      </c>
    </row>
    <row r="1307" spans="1:3">
      <c r="A1307" s="102" t="s">
        <v>353</v>
      </c>
      <c r="B1307" s="103">
        <v>43404</v>
      </c>
      <c r="C1307" s="102">
        <v>14377.38</v>
      </c>
    </row>
    <row r="1308" spans="1:3">
      <c r="A1308" s="102" t="s">
        <v>353</v>
      </c>
      <c r="B1308" s="103">
        <v>43403</v>
      </c>
      <c r="C1308" s="102">
        <v>14116.91</v>
      </c>
    </row>
    <row r="1309" spans="1:3">
      <c r="A1309" s="102" t="s">
        <v>353</v>
      </c>
      <c r="B1309" s="103">
        <v>43402</v>
      </c>
      <c r="C1309" s="102">
        <v>14189.11</v>
      </c>
    </row>
    <row r="1310" spans="1:3">
      <c r="A1310" s="102" t="s">
        <v>353</v>
      </c>
      <c r="B1310" s="103">
        <v>43399</v>
      </c>
      <c r="C1310" s="102">
        <v>13882.95</v>
      </c>
    </row>
    <row r="1311" spans="1:3">
      <c r="A1311" s="102" t="s">
        <v>353</v>
      </c>
      <c r="B1311" s="103">
        <v>43398</v>
      </c>
      <c r="C1311" s="102">
        <v>14014.33</v>
      </c>
    </row>
    <row r="1312" spans="1:3">
      <c r="A1312" s="102" t="s">
        <v>353</v>
      </c>
      <c r="B1312" s="103">
        <v>43397</v>
      </c>
      <c r="C1312" s="102">
        <v>14139.75</v>
      </c>
    </row>
    <row r="1313" spans="1:3">
      <c r="A1313" s="102" t="s">
        <v>353</v>
      </c>
      <c r="B1313" s="103">
        <v>43396</v>
      </c>
      <c r="C1313" s="102">
        <v>14031.96</v>
      </c>
    </row>
    <row r="1314" spans="1:3">
      <c r="A1314" s="102" t="s">
        <v>353</v>
      </c>
      <c r="B1314" s="103">
        <v>43395</v>
      </c>
      <c r="C1314" s="102">
        <v>14166.64</v>
      </c>
    </row>
    <row r="1315" spans="1:3">
      <c r="A1315" s="102" t="s">
        <v>353</v>
      </c>
      <c r="B1315" s="103">
        <v>43392</v>
      </c>
      <c r="C1315" s="102">
        <v>14247.22</v>
      </c>
    </row>
    <row r="1316" spans="1:3">
      <c r="A1316" s="102" t="s">
        <v>353</v>
      </c>
      <c r="B1316" s="103">
        <v>43390</v>
      </c>
      <c r="C1316" s="102">
        <v>14453.94</v>
      </c>
    </row>
    <row r="1317" spans="1:3">
      <c r="A1317" s="102" t="s">
        <v>353</v>
      </c>
      <c r="B1317" s="103">
        <v>43389</v>
      </c>
      <c r="C1317" s="102">
        <v>14636.1</v>
      </c>
    </row>
    <row r="1318" spans="1:3">
      <c r="A1318" s="102" t="s">
        <v>353</v>
      </c>
      <c r="B1318" s="103">
        <v>43388</v>
      </c>
      <c r="C1318" s="102">
        <v>14536.17</v>
      </c>
    </row>
    <row r="1319" spans="1:3">
      <c r="A1319" s="102" t="s">
        <v>353</v>
      </c>
      <c r="B1319" s="103">
        <v>43385</v>
      </c>
      <c r="C1319" s="102">
        <v>14480.86</v>
      </c>
    </row>
    <row r="1320" spans="1:3">
      <c r="A1320" s="102" t="s">
        <v>353</v>
      </c>
      <c r="B1320" s="103">
        <v>43384</v>
      </c>
      <c r="C1320" s="102">
        <v>14152</v>
      </c>
    </row>
    <row r="1321" spans="1:3">
      <c r="A1321" s="102" t="s">
        <v>353</v>
      </c>
      <c r="B1321" s="103">
        <v>43383</v>
      </c>
      <c r="C1321" s="102">
        <v>14463.71</v>
      </c>
    </row>
    <row r="1322" spans="1:3">
      <c r="A1322" s="102" t="s">
        <v>353</v>
      </c>
      <c r="B1322" s="103">
        <v>43382</v>
      </c>
      <c r="C1322" s="102">
        <v>14243.79</v>
      </c>
    </row>
    <row r="1323" spans="1:3">
      <c r="A1323" s="102" t="s">
        <v>353</v>
      </c>
      <c r="B1323" s="103">
        <v>43381</v>
      </c>
      <c r="C1323" s="102">
        <v>14308.79</v>
      </c>
    </row>
    <row r="1324" spans="1:3">
      <c r="A1324" s="102" t="s">
        <v>353</v>
      </c>
      <c r="B1324" s="103">
        <v>43378</v>
      </c>
      <c r="C1324" s="102">
        <v>14265.08</v>
      </c>
    </row>
    <row r="1325" spans="1:3">
      <c r="A1325" s="102" t="s">
        <v>353</v>
      </c>
      <c r="B1325" s="103">
        <v>43377</v>
      </c>
      <c r="C1325" s="102">
        <v>14656.09</v>
      </c>
    </row>
    <row r="1326" spans="1:3">
      <c r="A1326" s="102" t="s">
        <v>353</v>
      </c>
      <c r="B1326" s="103">
        <v>43376</v>
      </c>
      <c r="C1326" s="102">
        <v>15014.23</v>
      </c>
    </row>
    <row r="1327" spans="1:3">
      <c r="A1327" s="102" t="s">
        <v>353</v>
      </c>
      <c r="B1327" s="103">
        <v>43374</v>
      </c>
      <c r="C1327" s="102">
        <v>15221.75</v>
      </c>
    </row>
    <row r="1328" spans="1:3">
      <c r="A1328" s="102" t="s">
        <v>353</v>
      </c>
      <c r="B1328" s="103">
        <v>43371</v>
      </c>
      <c r="C1328" s="102">
        <v>15114.08</v>
      </c>
    </row>
    <row r="1329" spans="1:3">
      <c r="A1329" s="102" t="s">
        <v>353</v>
      </c>
      <c r="B1329" s="103">
        <v>43370</v>
      </c>
      <c r="C1329" s="102">
        <v>15179.24</v>
      </c>
    </row>
    <row r="1330" spans="1:3">
      <c r="A1330" s="102" t="s">
        <v>353</v>
      </c>
      <c r="B1330" s="103">
        <v>43369</v>
      </c>
      <c r="C1330" s="102">
        <v>15284.67</v>
      </c>
    </row>
    <row r="1331" spans="1:3">
      <c r="A1331" s="102" t="s">
        <v>353</v>
      </c>
      <c r="B1331" s="103">
        <v>43368</v>
      </c>
      <c r="C1331" s="102">
        <v>15303.55</v>
      </c>
    </row>
    <row r="1332" spans="1:3">
      <c r="A1332" s="102" t="s">
        <v>353</v>
      </c>
      <c r="B1332" s="103">
        <v>43367</v>
      </c>
      <c r="C1332" s="102">
        <v>15165.18</v>
      </c>
    </row>
    <row r="1333" spans="1:3">
      <c r="A1333" s="102" t="s">
        <v>353</v>
      </c>
      <c r="B1333" s="103">
        <v>43364</v>
      </c>
      <c r="C1333" s="102">
        <v>15408.16</v>
      </c>
    </row>
    <row r="1334" spans="1:3">
      <c r="A1334" s="102" t="s">
        <v>353</v>
      </c>
      <c r="B1334" s="103">
        <v>43362</v>
      </c>
      <c r="C1334" s="102">
        <v>15534.28</v>
      </c>
    </row>
    <row r="1335" spans="1:3">
      <c r="A1335" s="102" t="s">
        <v>353</v>
      </c>
      <c r="B1335" s="103">
        <v>43361</v>
      </c>
      <c r="C1335" s="102">
        <v>15594.57</v>
      </c>
    </row>
    <row r="1336" spans="1:3">
      <c r="A1336" s="102" t="s">
        <v>353</v>
      </c>
      <c r="B1336" s="103">
        <v>43360</v>
      </c>
      <c r="C1336" s="102">
        <v>15731.26</v>
      </c>
    </row>
    <row r="1337" spans="1:3">
      <c r="A1337" s="102" t="s">
        <v>353</v>
      </c>
      <c r="B1337" s="103">
        <v>43357</v>
      </c>
      <c r="C1337" s="102">
        <v>15920.48</v>
      </c>
    </row>
    <row r="1338" spans="1:3">
      <c r="A1338" s="102" t="s">
        <v>353</v>
      </c>
      <c r="B1338" s="103">
        <v>43355</v>
      </c>
      <c r="C1338" s="102">
        <v>15719.62</v>
      </c>
    </row>
    <row r="1339" spans="1:3">
      <c r="A1339" s="102" t="s">
        <v>353</v>
      </c>
      <c r="B1339" s="103">
        <v>43354</v>
      </c>
      <c r="C1339" s="102">
        <v>15605.11</v>
      </c>
    </row>
    <row r="1340" spans="1:3">
      <c r="A1340" s="102" t="s">
        <v>353</v>
      </c>
      <c r="B1340" s="103">
        <v>43353</v>
      </c>
      <c r="C1340" s="102">
        <v>15813.26</v>
      </c>
    </row>
    <row r="1341" spans="1:3">
      <c r="A1341" s="102" t="s">
        <v>353</v>
      </c>
      <c r="B1341" s="103">
        <v>43350</v>
      </c>
      <c r="C1341" s="102">
        <v>16019.84</v>
      </c>
    </row>
    <row r="1342" spans="1:3">
      <c r="A1342" s="102" t="s">
        <v>353</v>
      </c>
      <c r="B1342" s="103">
        <v>43349</v>
      </c>
      <c r="C1342" s="102">
        <v>15947.67</v>
      </c>
    </row>
    <row r="1343" spans="1:3">
      <c r="A1343" s="102" t="s">
        <v>353</v>
      </c>
      <c r="B1343" s="103">
        <v>43348</v>
      </c>
      <c r="C1343" s="102">
        <v>15862.15</v>
      </c>
    </row>
    <row r="1344" spans="1:3">
      <c r="A1344" s="102" t="s">
        <v>353</v>
      </c>
      <c r="B1344" s="103">
        <v>43347</v>
      </c>
      <c r="C1344" s="102">
        <v>15922.09</v>
      </c>
    </row>
    <row r="1345" spans="1:3">
      <c r="A1345" s="102" t="s">
        <v>353</v>
      </c>
      <c r="B1345" s="103">
        <v>43346</v>
      </c>
      <c r="C1345" s="102">
        <v>16007.84</v>
      </c>
    </row>
    <row r="1346" spans="1:3">
      <c r="A1346" s="102" t="s">
        <v>353</v>
      </c>
      <c r="B1346" s="103">
        <v>43343</v>
      </c>
      <c r="C1346" s="102">
        <v>16143.51</v>
      </c>
    </row>
    <row r="1347" spans="1:3">
      <c r="A1347" s="102" t="s">
        <v>353</v>
      </c>
      <c r="B1347" s="103">
        <v>43342</v>
      </c>
      <c r="C1347" s="102">
        <v>16135.61</v>
      </c>
    </row>
    <row r="1348" spans="1:3">
      <c r="A1348" s="102" t="s">
        <v>353</v>
      </c>
      <c r="B1348" s="103">
        <v>43341</v>
      </c>
      <c r="C1348" s="102">
        <v>16156.02</v>
      </c>
    </row>
    <row r="1349" spans="1:3">
      <c r="A1349" s="102" t="s">
        <v>353</v>
      </c>
      <c r="B1349" s="103">
        <v>43340</v>
      </c>
      <c r="C1349" s="102">
        <v>16220.45</v>
      </c>
    </row>
    <row r="1350" spans="1:3">
      <c r="A1350" s="102" t="s">
        <v>353</v>
      </c>
      <c r="B1350" s="103">
        <v>43339</v>
      </c>
      <c r="C1350" s="102">
        <v>16156.09</v>
      </c>
    </row>
    <row r="1351" spans="1:3">
      <c r="A1351" s="102" t="s">
        <v>353</v>
      </c>
      <c r="B1351" s="103">
        <v>43336</v>
      </c>
      <c r="C1351" s="102">
        <v>15969.8</v>
      </c>
    </row>
    <row r="1352" spans="1:3">
      <c r="A1352" s="102" t="s">
        <v>353</v>
      </c>
      <c r="B1352" s="103">
        <v>43335</v>
      </c>
      <c r="C1352" s="102">
        <v>16001.85</v>
      </c>
    </row>
    <row r="1353" spans="1:3">
      <c r="A1353" s="102" t="s">
        <v>353</v>
      </c>
      <c r="B1353" s="103">
        <v>43333</v>
      </c>
      <c r="C1353" s="102">
        <v>15985.48</v>
      </c>
    </row>
    <row r="1354" spans="1:3">
      <c r="A1354" s="102" t="s">
        <v>353</v>
      </c>
      <c r="B1354" s="103">
        <v>43332</v>
      </c>
      <c r="C1354" s="102">
        <v>15959.04</v>
      </c>
    </row>
    <row r="1355" spans="1:3">
      <c r="A1355" s="102" t="s">
        <v>353</v>
      </c>
      <c r="B1355" s="103">
        <v>43329</v>
      </c>
      <c r="C1355" s="102">
        <v>15845.64</v>
      </c>
    </row>
    <row r="1356" spans="1:3">
      <c r="A1356" s="102" t="s">
        <v>353</v>
      </c>
      <c r="B1356" s="103">
        <v>43328</v>
      </c>
      <c r="C1356" s="102">
        <v>15727.25</v>
      </c>
    </row>
    <row r="1357" spans="1:3">
      <c r="A1357" s="102" t="s">
        <v>353</v>
      </c>
      <c r="B1357" s="103">
        <v>43326</v>
      </c>
      <c r="C1357" s="102">
        <v>15796.36</v>
      </c>
    </row>
    <row r="1358" spans="1:3">
      <c r="A1358" s="102" t="s">
        <v>353</v>
      </c>
      <c r="B1358" s="103">
        <v>43325</v>
      </c>
      <c r="C1358" s="102">
        <v>15676.23</v>
      </c>
    </row>
    <row r="1359" spans="1:3">
      <c r="A1359" s="102" t="s">
        <v>353</v>
      </c>
      <c r="B1359" s="103">
        <v>43322</v>
      </c>
      <c r="C1359" s="102">
        <v>15776.32</v>
      </c>
    </row>
    <row r="1360" spans="1:3">
      <c r="A1360" s="102" t="s">
        <v>353</v>
      </c>
      <c r="B1360" s="103">
        <v>43321</v>
      </c>
      <c r="C1360" s="102">
        <v>15833.23</v>
      </c>
    </row>
    <row r="1361" spans="1:3">
      <c r="A1361" s="102" t="s">
        <v>353</v>
      </c>
      <c r="B1361" s="103">
        <v>43320</v>
      </c>
      <c r="C1361" s="102">
        <v>15803.64</v>
      </c>
    </row>
    <row r="1362" spans="1:3">
      <c r="A1362" s="102" t="s">
        <v>353</v>
      </c>
      <c r="B1362" s="103">
        <v>43319</v>
      </c>
      <c r="C1362" s="102">
        <v>15720.05</v>
      </c>
    </row>
    <row r="1363" spans="1:3">
      <c r="A1363" s="102" t="s">
        <v>353</v>
      </c>
      <c r="B1363" s="103">
        <v>43318</v>
      </c>
      <c r="C1363" s="102">
        <v>15716.78</v>
      </c>
    </row>
    <row r="1364" spans="1:3">
      <c r="A1364" s="102" t="s">
        <v>353</v>
      </c>
      <c r="B1364" s="103">
        <v>43315</v>
      </c>
      <c r="C1364" s="102">
        <v>15680.51</v>
      </c>
    </row>
    <row r="1365" spans="1:3">
      <c r="A1365" s="102" t="s">
        <v>353</v>
      </c>
      <c r="B1365" s="103">
        <v>43314</v>
      </c>
      <c r="C1365" s="102">
        <v>15520.25</v>
      </c>
    </row>
    <row r="1366" spans="1:3">
      <c r="A1366" s="102" t="s">
        <v>353</v>
      </c>
      <c r="B1366" s="103">
        <v>43313</v>
      </c>
      <c r="C1366" s="102">
        <v>15658.27</v>
      </c>
    </row>
    <row r="1367" spans="1:3">
      <c r="A1367" s="102" t="s">
        <v>353</v>
      </c>
      <c r="B1367" s="103">
        <v>43312</v>
      </c>
      <c r="C1367" s="102">
        <v>15672.47</v>
      </c>
    </row>
    <row r="1368" spans="1:3">
      <c r="A1368" s="102" t="s">
        <v>353</v>
      </c>
      <c r="B1368" s="103">
        <v>43311</v>
      </c>
      <c r="C1368" s="102">
        <v>15621.47</v>
      </c>
    </row>
    <row r="1369" spans="1:3">
      <c r="A1369" s="102" t="s">
        <v>353</v>
      </c>
      <c r="B1369" s="103">
        <v>43308</v>
      </c>
      <c r="C1369" s="102">
        <v>15564.19</v>
      </c>
    </row>
    <row r="1370" spans="1:3">
      <c r="A1370" s="102" t="s">
        <v>353</v>
      </c>
      <c r="B1370" s="103">
        <v>43307</v>
      </c>
      <c r="C1370" s="102">
        <v>15410.93</v>
      </c>
    </row>
    <row r="1371" spans="1:3">
      <c r="A1371" s="102" t="s">
        <v>353</v>
      </c>
      <c r="B1371" s="103">
        <v>43306</v>
      </c>
      <c r="C1371" s="102">
        <v>15358.72</v>
      </c>
    </row>
    <row r="1372" spans="1:3">
      <c r="A1372" s="102" t="s">
        <v>353</v>
      </c>
      <c r="B1372" s="103">
        <v>43305</v>
      </c>
      <c r="C1372" s="102">
        <v>15361.88</v>
      </c>
    </row>
    <row r="1373" spans="1:3">
      <c r="A1373" s="102" t="s">
        <v>353</v>
      </c>
      <c r="B1373" s="103">
        <v>43304</v>
      </c>
      <c r="C1373" s="102">
        <v>15293.5</v>
      </c>
    </row>
    <row r="1374" spans="1:3">
      <c r="A1374" s="102" t="s">
        <v>353</v>
      </c>
      <c r="B1374" s="103">
        <v>43301</v>
      </c>
      <c r="C1374" s="102">
        <v>15190.13</v>
      </c>
    </row>
    <row r="1375" spans="1:3">
      <c r="A1375" s="102" t="s">
        <v>353</v>
      </c>
      <c r="B1375" s="103">
        <v>43300</v>
      </c>
      <c r="C1375" s="102">
        <v>15116.83</v>
      </c>
    </row>
    <row r="1376" spans="1:3">
      <c r="A1376" s="102" t="s">
        <v>353</v>
      </c>
      <c r="B1376" s="103">
        <v>43299</v>
      </c>
      <c r="C1376" s="102">
        <v>15135.57</v>
      </c>
    </row>
    <row r="1377" spans="1:3">
      <c r="A1377" s="102" t="s">
        <v>353</v>
      </c>
      <c r="B1377" s="103">
        <v>43298</v>
      </c>
      <c r="C1377" s="102">
        <v>15172.31</v>
      </c>
    </row>
    <row r="1378" spans="1:3">
      <c r="A1378" s="102" t="s">
        <v>353</v>
      </c>
      <c r="B1378" s="103">
        <v>43297</v>
      </c>
      <c r="C1378" s="102">
        <v>15072.66</v>
      </c>
    </row>
    <row r="1379" spans="1:3">
      <c r="A1379" s="102" t="s">
        <v>353</v>
      </c>
      <c r="B1379" s="103">
        <v>43294</v>
      </c>
      <c r="C1379" s="102">
        <v>15184.88</v>
      </c>
    </row>
    <row r="1380" spans="1:3">
      <c r="A1380" s="102" t="s">
        <v>353</v>
      </c>
      <c r="B1380" s="103">
        <v>43293</v>
      </c>
      <c r="C1380" s="102">
        <v>15190.82</v>
      </c>
    </row>
    <row r="1381" spans="1:3">
      <c r="A1381" s="102" t="s">
        <v>353</v>
      </c>
      <c r="B1381" s="103">
        <v>43292</v>
      </c>
      <c r="C1381" s="102">
        <v>15085.15</v>
      </c>
    </row>
    <row r="1382" spans="1:3">
      <c r="A1382" s="102" t="s">
        <v>353</v>
      </c>
      <c r="B1382" s="103">
        <v>43291</v>
      </c>
      <c r="C1382" s="102">
        <v>15081.6</v>
      </c>
    </row>
    <row r="1383" spans="1:3">
      <c r="A1383" s="102" t="s">
        <v>353</v>
      </c>
      <c r="B1383" s="103">
        <v>43290</v>
      </c>
      <c r="C1383" s="102">
        <v>14951.2</v>
      </c>
    </row>
    <row r="1384" spans="1:3">
      <c r="A1384" s="102" t="s">
        <v>353</v>
      </c>
      <c r="B1384" s="103">
        <v>43287</v>
      </c>
      <c r="C1384" s="102">
        <v>14840.13</v>
      </c>
    </row>
    <row r="1385" spans="1:3">
      <c r="A1385" s="102" t="s">
        <v>353</v>
      </c>
      <c r="B1385" s="103">
        <v>43286</v>
      </c>
      <c r="C1385" s="102">
        <v>14808.54</v>
      </c>
    </row>
    <row r="1386" spans="1:3">
      <c r="A1386" s="102" t="s">
        <v>353</v>
      </c>
      <c r="B1386" s="103">
        <v>43285</v>
      </c>
      <c r="C1386" s="102">
        <v>14830.5</v>
      </c>
    </row>
    <row r="1387" spans="1:3">
      <c r="A1387" s="102" t="s">
        <v>353</v>
      </c>
      <c r="B1387" s="103">
        <v>43284</v>
      </c>
      <c r="C1387" s="102">
        <v>14734.11</v>
      </c>
    </row>
    <row r="1388" spans="1:3">
      <c r="A1388" s="102" t="s">
        <v>353</v>
      </c>
      <c r="B1388" s="103">
        <v>43283</v>
      </c>
      <c r="C1388" s="102">
        <v>14675.42</v>
      </c>
    </row>
    <row r="1389" spans="1:3">
      <c r="A1389" s="102" t="s">
        <v>353</v>
      </c>
      <c r="B1389" s="103">
        <v>43280</v>
      </c>
      <c r="C1389" s="102">
        <v>14753.91</v>
      </c>
    </row>
    <row r="1390" spans="1:3">
      <c r="A1390" s="102" t="s">
        <v>353</v>
      </c>
      <c r="B1390" s="103">
        <v>43279</v>
      </c>
      <c r="C1390" s="102">
        <v>14581.53</v>
      </c>
    </row>
    <row r="1391" spans="1:3">
      <c r="A1391" s="102" t="s">
        <v>353</v>
      </c>
      <c r="B1391" s="103">
        <v>43278</v>
      </c>
      <c r="C1391" s="102">
        <v>14694.16</v>
      </c>
    </row>
    <row r="1392" spans="1:3">
      <c r="A1392" s="102" t="s">
        <v>353</v>
      </c>
      <c r="B1392" s="103">
        <v>43277</v>
      </c>
      <c r="C1392" s="102">
        <v>14821.45</v>
      </c>
    </row>
    <row r="1393" spans="1:3">
      <c r="A1393" s="102" t="s">
        <v>353</v>
      </c>
      <c r="B1393" s="103">
        <v>43276</v>
      </c>
      <c r="C1393" s="102">
        <v>14812.28</v>
      </c>
    </row>
    <row r="1394" spans="1:3">
      <c r="A1394" s="102" t="s">
        <v>353</v>
      </c>
      <c r="B1394" s="103">
        <v>43273</v>
      </c>
      <c r="C1394" s="102">
        <v>14894.02</v>
      </c>
    </row>
    <row r="1395" spans="1:3">
      <c r="A1395" s="102" t="s">
        <v>353</v>
      </c>
      <c r="B1395" s="103">
        <v>43272</v>
      </c>
      <c r="C1395" s="102">
        <v>14782.87</v>
      </c>
    </row>
    <row r="1396" spans="1:3">
      <c r="A1396" s="102" t="s">
        <v>353</v>
      </c>
      <c r="B1396" s="103">
        <v>43271</v>
      </c>
      <c r="C1396" s="102">
        <v>14822.46</v>
      </c>
    </row>
    <row r="1397" spans="1:3">
      <c r="A1397" s="102" t="s">
        <v>353</v>
      </c>
      <c r="B1397" s="103">
        <v>43270</v>
      </c>
      <c r="C1397" s="102">
        <v>14737.7</v>
      </c>
    </row>
    <row r="1398" spans="1:3">
      <c r="A1398" s="102" t="s">
        <v>353</v>
      </c>
      <c r="B1398" s="103">
        <v>43269</v>
      </c>
      <c r="C1398" s="102">
        <v>14860.73</v>
      </c>
    </row>
    <row r="1399" spans="1:3">
      <c r="A1399" s="102" t="s">
        <v>353</v>
      </c>
      <c r="B1399" s="103">
        <v>43266</v>
      </c>
      <c r="C1399" s="102">
        <v>14885.3</v>
      </c>
    </row>
    <row r="1400" spans="1:3">
      <c r="A1400" s="102" t="s">
        <v>353</v>
      </c>
      <c r="B1400" s="103">
        <v>43265</v>
      </c>
      <c r="C1400" s="102">
        <v>14871.97</v>
      </c>
    </row>
    <row r="1401" spans="1:3">
      <c r="A1401" s="102" t="s">
        <v>353</v>
      </c>
      <c r="B1401" s="103">
        <v>43264</v>
      </c>
      <c r="C1401" s="102">
        <v>14917.68</v>
      </c>
    </row>
    <row r="1402" spans="1:3">
      <c r="A1402" s="102" t="s">
        <v>353</v>
      </c>
      <c r="B1402" s="103">
        <v>43263</v>
      </c>
      <c r="C1402" s="102">
        <v>14898.66</v>
      </c>
    </row>
    <row r="1403" spans="1:3">
      <c r="A1403" s="102" t="s">
        <v>353</v>
      </c>
      <c r="B1403" s="103">
        <v>43262</v>
      </c>
      <c r="C1403" s="102">
        <v>14821.8</v>
      </c>
    </row>
    <row r="1404" spans="1:3">
      <c r="A1404" s="102" t="s">
        <v>353</v>
      </c>
      <c r="B1404" s="103">
        <v>43259</v>
      </c>
      <c r="C1404" s="102">
        <v>14795.31</v>
      </c>
    </row>
    <row r="1405" spans="1:3">
      <c r="A1405" s="102" t="s">
        <v>353</v>
      </c>
      <c r="B1405" s="103">
        <v>43258</v>
      </c>
      <c r="C1405" s="102">
        <v>14796.24</v>
      </c>
    </row>
    <row r="1406" spans="1:3">
      <c r="A1406" s="102" t="s">
        <v>353</v>
      </c>
      <c r="B1406" s="103">
        <v>43257</v>
      </c>
      <c r="C1406" s="102">
        <v>14681.25</v>
      </c>
    </row>
    <row r="1407" spans="1:3">
      <c r="A1407" s="102" t="s">
        <v>353</v>
      </c>
      <c r="B1407" s="103">
        <v>43256</v>
      </c>
      <c r="C1407" s="102">
        <v>14555.52</v>
      </c>
    </row>
    <row r="1408" spans="1:3">
      <c r="A1408" s="102" t="s">
        <v>353</v>
      </c>
      <c r="B1408" s="103">
        <v>43255</v>
      </c>
      <c r="C1408" s="102">
        <v>14604.11</v>
      </c>
    </row>
    <row r="1409" spans="1:3">
      <c r="A1409" s="102" t="s">
        <v>353</v>
      </c>
      <c r="B1409" s="103">
        <v>43252</v>
      </c>
      <c r="C1409" s="102">
        <v>14695.4</v>
      </c>
    </row>
    <row r="1410" spans="1:3">
      <c r="A1410" s="102" t="s">
        <v>353</v>
      </c>
      <c r="B1410" s="103">
        <v>43251</v>
      </c>
      <c r="C1410" s="102">
        <v>14750.26</v>
      </c>
    </row>
    <row r="1411" spans="1:3">
      <c r="A1411" s="102" t="s">
        <v>353</v>
      </c>
      <c r="B1411" s="103">
        <v>43250</v>
      </c>
      <c r="C1411" s="102">
        <v>14568.75</v>
      </c>
    </row>
    <row r="1412" spans="1:3">
      <c r="A1412" s="102" t="s">
        <v>353</v>
      </c>
      <c r="B1412" s="103">
        <v>43249</v>
      </c>
      <c r="C1412" s="102">
        <v>14594.78</v>
      </c>
    </row>
    <row r="1413" spans="1:3">
      <c r="A1413" s="102" t="s">
        <v>353</v>
      </c>
      <c r="B1413" s="103">
        <v>43248</v>
      </c>
      <c r="C1413" s="102">
        <v>14670.76</v>
      </c>
    </row>
    <row r="1414" spans="1:3">
      <c r="A1414" s="102" t="s">
        <v>353</v>
      </c>
      <c r="B1414" s="103">
        <v>43245</v>
      </c>
      <c r="C1414" s="102">
        <v>14556.18</v>
      </c>
    </row>
    <row r="1415" spans="1:3">
      <c r="A1415" s="102" t="s">
        <v>353</v>
      </c>
      <c r="B1415" s="103">
        <v>43244</v>
      </c>
      <c r="C1415" s="102">
        <v>14415.65</v>
      </c>
    </row>
    <row r="1416" spans="1:3">
      <c r="A1416" s="102" t="s">
        <v>353</v>
      </c>
      <c r="B1416" s="103">
        <v>43243</v>
      </c>
      <c r="C1416" s="102">
        <v>14301.15</v>
      </c>
    </row>
    <row r="1417" spans="1:3">
      <c r="A1417" s="102" t="s">
        <v>353</v>
      </c>
      <c r="B1417" s="103">
        <v>43242</v>
      </c>
      <c r="C1417" s="102">
        <v>14446.97</v>
      </c>
    </row>
    <row r="1418" spans="1:3">
      <c r="A1418" s="102" t="s">
        <v>353</v>
      </c>
      <c r="B1418" s="103">
        <v>43241</v>
      </c>
      <c r="C1418" s="102">
        <v>14419.57</v>
      </c>
    </row>
    <row r="1419" spans="1:3">
      <c r="A1419" s="102" t="s">
        <v>353</v>
      </c>
      <c r="B1419" s="103">
        <v>43238</v>
      </c>
      <c r="C1419" s="102">
        <v>14528.82</v>
      </c>
    </row>
    <row r="1420" spans="1:3">
      <c r="A1420" s="102" t="s">
        <v>353</v>
      </c>
      <c r="B1420" s="103">
        <v>43237</v>
      </c>
      <c r="C1420" s="102">
        <v>14647.15</v>
      </c>
    </row>
    <row r="1421" spans="1:3">
      <c r="A1421" s="102" t="s">
        <v>353</v>
      </c>
      <c r="B1421" s="103">
        <v>43236</v>
      </c>
      <c r="C1421" s="102">
        <v>14727.26</v>
      </c>
    </row>
    <row r="1422" spans="1:3">
      <c r="A1422" s="102" t="s">
        <v>353</v>
      </c>
      <c r="B1422" s="103">
        <v>43235</v>
      </c>
      <c r="C1422" s="102">
        <v>14810.54</v>
      </c>
    </row>
    <row r="1423" spans="1:3">
      <c r="A1423" s="102" t="s">
        <v>353</v>
      </c>
      <c r="B1423" s="103">
        <v>43234</v>
      </c>
      <c r="C1423" s="102">
        <v>14817.01</v>
      </c>
    </row>
    <row r="1424" spans="1:3">
      <c r="A1424" s="102" t="s">
        <v>353</v>
      </c>
      <c r="B1424" s="103">
        <v>43231</v>
      </c>
      <c r="C1424" s="102">
        <v>14816.93</v>
      </c>
    </row>
    <row r="1425" spans="1:3">
      <c r="A1425" s="102" t="s">
        <v>353</v>
      </c>
      <c r="B1425" s="103">
        <v>43230</v>
      </c>
      <c r="C1425" s="102">
        <v>14693.55</v>
      </c>
    </row>
    <row r="1426" spans="1:3">
      <c r="A1426" s="102" t="s">
        <v>353</v>
      </c>
      <c r="B1426" s="103">
        <v>43229</v>
      </c>
      <c r="C1426" s="102">
        <v>14728.03</v>
      </c>
    </row>
    <row r="1427" spans="1:3">
      <c r="A1427" s="102" t="s">
        <v>353</v>
      </c>
      <c r="B1427" s="103">
        <v>43228</v>
      </c>
      <c r="C1427" s="102">
        <v>14694.93</v>
      </c>
    </row>
    <row r="1428" spans="1:3">
      <c r="A1428" s="102" t="s">
        <v>353</v>
      </c>
      <c r="B1428" s="103">
        <v>43227</v>
      </c>
      <c r="C1428" s="102">
        <v>14691.72</v>
      </c>
    </row>
    <row r="1429" spans="1:3">
      <c r="A1429" s="102" t="s">
        <v>353</v>
      </c>
      <c r="B1429" s="103">
        <v>43224</v>
      </c>
      <c r="C1429" s="102">
        <v>14558.42</v>
      </c>
    </row>
    <row r="1430" spans="1:3">
      <c r="A1430" s="102" t="s">
        <v>353</v>
      </c>
      <c r="B1430" s="103">
        <v>43223</v>
      </c>
      <c r="C1430" s="102">
        <v>14642.62</v>
      </c>
    </row>
    <row r="1431" spans="1:3">
      <c r="A1431" s="102" t="s">
        <v>353</v>
      </c>
      <c r="B1431" s="103">
        <v>43222</v>
      </c>
      <c r="C1431" s="102">
        <v>14695.26</v>
      </c>
    </row>
    <row r="1432" spans="1:3">
      <c r="A1432" s="102" t="s">
        <v>353</v>
      </c>
      <c r="B1432" s="103">
        <v>43220</v>
      </c>
      <c r="C1432" s="102">
        <v>14723.32</v>
      </c>
    </row>
    <row r="1433" spans="1:3">
      <c r="A1433" s="102" t="s">
        <v>353</v>
      </c>
      <c r="B1433" s="103">
        <v>43217</v>
      </c>
      <c r="C1433" s="102">
        <v>14658.83</v>
      </c>
    </row>
    <row r="1434" spans="1:3">
      <c r="A1434" s="102" t="s">
        <v>353</v>
      </c>
      <c r="B1434" s="103">
        <v>43216</v>
      </c>
      <c r="C1434" s="102">
        <v>14556.65</v>
      </c>
    </row>
    <row r="1435" spans="1:3">
      <c r="A1435" s="102" t="s">
        <v>353</v>
      </c>
      <c r="B1435" s="103">
        <v>43215</v>
      </c>
      <c r="C1435" s="102">
        <v>14491.88</v>
      </c>
    </row>
    <row r="1436" spans="1:3">
      <c r="A1436" s="102" t="s">
        <v>353</v>
      </c>
      <c r="B1436" s="103">
        <v>43214</v>
      </c>
      <c r="C1436" s="102">
        <v>14551.96</v>
      </c>
    </row>
    <row r="1437" spans="1:3">
      <c r="A1437" s="102" t="s">
        <v>353</v>
      </c>
      <c r="B1437" s="103">
        <v>43213</v>
      </c>
      <c r="C1437" s="102">
        <v>14511.28</v>
      </c>
    </row>
    <row r="1438" spans="1:3">
      <c r="A1438" s="102" t="s">
        <v>353</v>
      </c>
      <c r="B1438" s="103">
        <v>43210</v>
      </c>
      <c r="C1438" s="102">
        <v>14482.97</v>
      </c>
    </row>
    <row r="1439" spans="1:3">
      <c r="A1439" s="102" t="s">
        <v>353</v>
      </c>
      <c r="B1439" s="103">
        <v>43209</v>
      </c>
      <c r="C1439" s="102">
        <v>14484.7</v>
      </c>
    </row>
    <row r="1440" spans="1:3">
      <c r="A1440" s="102" t="s">
        <v>353</v>
      </c>
      <c r="B1440" s="103">
        <v>43208</v>
      </c>
      <c r="C1440" s="102">
        <v>14431.07</v>
      </c>
    </row>
    <row r="1441" spans="1:3">
      <c r="A1441" s="102" t="s">
        <v>353</v>
      </c>
      <c r="B1441" s="103">
        <v>43207</v>
      </c>
      <c r="C1441" s="102">
        <v>14461.97</v>
      </c>
    </row>
    <row r="1442" spans="1:3">
      <c r="A1442" s="102" t="s">
        <v>353</v>
      </c>
      <c r="B1442" s="103">
        <v>43206</v>
      </c>
      <c r="C1442" s="102">
        <v>14434.05</v>
      </c>
    </row>
    <row r="1443" spans="1:3">
      <c r="A1443" s="102" t="s">
        <v>353</v>
      </c>
      <c r="B1443" s="103">
        <v>43203</v>
      </c>
      <c r="C1443" s="102">
        <v>14368.56</v>
      </c>
    </row>
    <row r="1444" spans="1:3">
      <c r="A1444" s="102" t="s">
        <v>353</v>
      </c>
      <c r="B1444" s="103">
        <v>43202</v>
      </c>
      <c r="C1444" s="102">
        <v>14338.46</v>
      </c>
    </row>
    <row r="1445" spans="1:3">
      <c r="A1445" s="102" t="s">
        <v>353</v>
      </c>
      <c r="B1445" s="103">
        <v>43201</v>
      </c>
      <c r="C1445" s="102">
        <v>14281.6</v>
      </c>
    </row>
    <row r="1446" spans="1:3">
      <c r="A1446" s="102" t="s">
        <v>353</v>
      </c>
      <c r="B1446" s="103">
        <v>43200</v>
      </c>
      <c r="C1446" s="102">
        <v>14261.15</v>
      </c>
    </row>
    <row r="1447" spans="1:3">
      <c r="A1447" s="102" t="s">
        <v>353</v>
      </c>
      <c r="B1447" s="103">
        <v>43199</v>
      </c>
      <c r="C1447" s="102">
        <v>14229.77</v>
      </c>
    </row>
    <row r="1448" spans="1:3">
      <c r="A1448" s="102" t="s">
        <v>353</v>
      </c>
      <c r="B1448" s="103">
        <v>43196</v>
      </c>
      <c r="C1448" s="102">
        <v>14164.28</v>
      </c>
    </row>
    <row r="1449" spans="1:3">
      <c r="A1449" s="102" t="s">
        <v>353</v>
      </c>
      <c r="B1449" s="103">
        <v>43195</v>
      </c>
      <c r="C1449" s="102">
        <v>14155.47</v>
      </c>
    </row>
    <row r="1450" spans="1:3">
      <c r="A1450" s="102" t="s">
        <v>353</v>
      </c>
      <c r="B1450" s="103">
        <v>43194</v>
      </c>
      <c r="C1450" s="102">
        <v>13885.72</v>
      </c>
    </row>
    <row r="1451" spans="1:3">
      <c r="A1451" s="102" t="s">
        <v>353</v>
      </c>
      <c r="B1451" s="103">
        <v>43193</v>
      </c>
      <c r="C1451" s="102">
        <v>14045.55</v>
      </c>
    </row>
    <row r="1452" spans="1:3">
      <c r="A1452" s="102" t="s">
        <v>353</v>
      </c>
      <c r="B1452" s="103">
        <v>43192</v>
      </c>
      <c r="C1452" s="102">
        <v>14000.07</v>
      </c>
    </row>
    <row r="1453" spans="1:3">
      <c r="A1453" s="102" t="s">
        <v>353</v>
      </c>
      <c r="B1453" s="103">
        <v>43187</v>
      </c>
      <c r="C1453" s="102">
        <v>13865.57</v>
      </c>
    </row>
    <row r="1454" spans="1:3">
      <c r="A1454" s="102" t="s">
        <v>353</v>
      </c>
      <c r="B1454" s="103">
        <v>43186</v>
      </c>
      <c r="C1454" s="102">
        <v>13962.15</v>
      </c>
    </row>
    <row r="1455" spans="1:3">
      <c r="A1455" s="102" t="s">
        <v>353</v>
      </c>
      <c r="B1455" s="103">
        <v>43185</v>
      </c>
      <c r="C1455" s="102">
        <v>13888.82</v>
      </c>
    </row>
    <row r="1456" spans="1:3">
      <c r="A1456" s="102" t="s">
        <v>353</v>
      </c>
      <c r="B1456" s="103">
        <v>43182</v>
      </c>
      <c r="C1456" s="102">
        <v>13706.99</v>
      </c>
    </row>
    <row r="1457" spans="1:3">
      <c r="A1457" s="102" t="s">
        <v>353</v>
      </c>
      <c r="B1457" s="103">
        <v>43181</v>
      </c>
      <c r="C1457" s="102">
        <v>13867.01</v>
      </c>
    </row>
    <row r="1458" spans="1:3">
      <c r="A1458" s="102" t="s">
        <v>353</v>
      </c>
      <c r="B1458" s="103">
        <v>43180</v>
      </c>
      <c r="C1458" s="102">
        <v>13920.51</v>
      </c>
    </row>
    <row r="1459" spans="1:3">
      <c r="A1459" s="102" t="s">
        <v>353</v>
      </c>
      <c r="B1459" s="103">
        <v>43179</v>
      </c>
      <c r="C1459" s="102">
        <v>13878.17</v>
      </c>
    </row>
    <row r="1460" spans="1:3">
      <c r="A1460" s="102" t="s">
        <v>353</v>
      </c>
      <c r="B1460" s="103">
        <v>43178</v>
      </c>
      <c r="C1460" s="102">
        <v>13822.99</v>
      </c>
    </row>
    <row r="1461" spans="1:3">
      <c r="A1461" s="102" t="s">
        <v>353</v>
      </c>
      <c r="B1461" s="103">
        <v>43175</v>
      </c>
      <c r="C1461" s="102">
        <v>13961.14</v>
      </c>
    </row>
    <row r="1462" spans="1:3">
      <c r="A1462" s="102" t="s">
        <v>353</v>
      </c>
      <c r="B1462" s="103">
        <v>43174</v>
      </c>
      <c r="C1462" s="102">
        <v>14179.36</v>
      </c>
    </row>
    <row r="1463" spans="1:3">
      <c r="A1463" s="102" t="s">
        <v>353</v>
      </c>
      <c r="B1463" s="103">
        <v>43173</v>
      </c>
      <c r="C1463" s="102">
        <v>14248.81</v>
      </c>
    </row>
    <row r="1464" spans="1:3">
      <c r="A1464" s="102" t="s">
        <v>353</v>
      </c>
      <c r="B1464" s="103">
        <v>43172</v>
      </c>
      <c r="C1464" s="102">
        <v>14270.64</v>
      </c>
    </row>
    <row r="1465" spans="1:3">
      <c r="A1465" s="102" t="s">
        <v>353</v>
      </c>
      <c r="B1465" s="103">
        <v>43171</v>
      </c>
      <c r="C1465" s="102">
        <v>14260.92</v>
      </c>
    </row>
    <row r="1466" spans="1:3">
      <c r="A1466" s="102" t="s">
        <v>353</v>
      </c>
      <c r="B1466" s="103">
        <v>43168</v>
      </c>
      <c r="C1466" s="102">
        <v>13994.68</v>
      </c>
    </row>
    <row r="1467" spans="1:3">
      <c r="A1467" s="102" t="s">
        <v>353</v>
      </c>
      <c r="B1467" s="103">
        <v>43167</v>
      </c>
      <c r="C1467" s="102">
        <v>14016.3</v>
      </c>
    </row>
    <row r="1468" spans="1:3">
      <c r="A1468" s="102" t="s">
        <v>353</v>
      </c>
      <c r="B1468" s="103">
        <v>43166</v>
      </c>
      <c r="C1468" s="102">
        <v>13895.27</v>
      </c>
    </row>
    <row r="1469" spans="1:3">
      <c r="A1469" s="102" t="s">
        <v>353</v>
      </c>
      <c r="B1469" s="103">
        <v>43165</v>
      </c>
      <c r="C1469" s="102">
        <v>14025.34</v>
      </c>
    </row>
    <row r="1470" spans="1:3">
      <c r="A1470" s="102" t="s">
        <v>353</v>
      </c>
      <c r="B1470" s="103">
        <v>43164</v>
      </c>
      <c r="C1470" s="102">
        <v>14175.32</v>
      </c>
    </row>
    <row r="1471" spans="1:3">
      <c r="A1471" s="102" t="s">
        <v>353</v>
      </c>
      <c r="B1471" s="103">
        <v>43160</v>
      </c>
      <c r="C1471" s="102">
        <v>14311.52</v>
      </c>
    </row>
    <row r="1472" spans="1:3">
      <c r="A1472" s="102" t="s">
        <v>353</v>
      </c>
      <c r="B1472" s="103">
        <v>43159</v>
      </c>
      <c r="C1472" s="102">
        <v>14358.71</v>
      </c>
    </row>
    <row r="1473" spans="1:3">
      <c r="A1473" s="102" t="s">
        <v>353</v>
      </c>
      <c r="B1473" s="103">
        <v>43158</v>
      </c>
      <c r="C1473" s="102">
        <v>14438.9</v>
      </c>
    </row>
    <row r="1474" spans="1:3">
      <c r="A1474" s="102" t="s">
        <v>353</v>
      </c>
      <c r="B1474" s="103">
        <v>43157</v>
      </c>
      <c r="C1474" s="102">
        <v>14477.62</v>
      </c>
    </row>
    <row r="1475" spans="1:3">
      <c r="A1475" s="102" t="s">
        <v>353</v>
      </c>
      <c r="B1475" s="103">
        <v>43154</v>
      </c>
      <c r="C1475" s="102">
        <v>14352.4</v>
      </c>
    </row>
    <row r="1476" spans="1:3">
      <c r="A1476" s="102" t="s">
        <v>353</v>
      </c>
      <c r="B1476" s="103">
        <v>43153</v>
      </c>
      <c r="C1476" s="102">
        <v>14204.17</v>
      </c>
    </row>
    <row r="1477" spans="1:3">
      <c r="A1477" s="102" t="s">
        <v>353</v>
      </c>
      <c r="B1477" s="103">
        <v>43152</v>
      </c>
      <c r="C1477" s="102">
        <v>14220.48</v>
      </c>
    </row>
    <row r="1478" spans="1:3">
      <c r="A1478" s="102" t="s">
        <v>353</v>
      </c>
      <c r="B1478" s="103">
        <v>43151</v>
      </c>
      <c r="C1478" s="102">
        <v>14169.77</v>
      </c>
    </row>
    <row r="1479" spans="1:3">
      <c r="A1479" s="102" t="s">
        <v>353</v>
      </c>
      <c r="B1479" s="103">
        <v>43150</v>
      </c>
      <c r="C1479" s="102">
        <v>14194.28</v>
      </c>
    </row>
    <row r="1480" spans="1:3">
      <c r="A1480" s="102" t="s">
        <v>353</v>
      </c>
      <c r="B1480" s="103">
        <v>43147</v>
      </c>
      <c r="C1480" s="102">
        <v>14295.41</v>
      </c>
    </row>
    <row r="1481" spans="1:3">
      <c r="A1481" s="102" t="s">
        <v>353</v>
      </c>
      <c r="B1481" s="103">
        <v>43146</v>
      </c>
      <c r="C1481" s="102">
        <v>14422.85</v>
      </c>
    </row>
    <row r="1482" spans="1:3">
      <c r="A1482" s="102" t="s">
        <v>353</v>
      </c>
      <c r="B1482" s="103">
        <v>43145</v>
      </c>
      <c r="C1482" s="102">
        <v>14359.35</v>
      </c>
    </row>
    <row r="1483" spans="1:3">
      <c r="A1483" s="102" t="s">
        <v>353</v>
      </c>
      <c r="B1483" s="103">
        <v>43143</v>
      </c>
      <c r="C1483" s="102">
        <v>14412.46</v>
      </c>
    </row>
    <row r="1484" spans="1:3">
      <c r="A1484" s="102" t="s">
        <v>353</v>
      </c>
      <c r="B1484" s="103">
        <v>43140</v>
      </c>
      <c r="C1484" s="102">
        <v>14296.5</v>
      </c>
    </row>
    <row r="1485" spans="1:3">
      <c r="A1485" s="102" t="s">
        <v>353</v>
      </c>
      <c r="B1485" s="103">
        <v>43139</v>
      </c>
      <c r="C1485" s="102">
        <v>14463.16</v>
      </c>
    </row>
    <row r="1486" spans="1:3">
      <c r="A1486" s="102" t="s">
        <v>353</v>
      </c>
      <c r="B1486" s="103">
        <v>43138</v>
      </c>
      <c r="C1486" s="102">
        <v>14317.57</v>
      </c>
    </row>
    <row r="1487" spans="1:3">
      <c r="A1487" s="102" t="s">
        <v>353</v>
      </c>
      <c r="B1487" s="103">
        <v>43137</v>
      </c>
      <c r="C1487" s="102">
        <v>14344.02</v>
      </c>
    </row>
    <row r="1488" spans="1:3">
      <c r="A1488" s="102" t="s">
        <v>353</v>
      </c>
      <c r="B1488" s="103">
        <v>43136</v>
      </c>
      <c r="C1488" s="102">
        <v>14574</v>
      </c>
    </row>
    <row r="1489" spans="1:3">
      <c r="A1489" s="102" t="s">
        <v>353</v>
      </c>
      <c r="B1489" s="103">
        <v>43133</v>
      </c>
      <c r="C1489" s="102">
        <v>14702.49</v>
      </c>
    </row>
    <row r="1490" spans="1:3">
      <c r="A1490" s="102" t="s">
        <v>353</v>
      </c>
      <c r="B1490" s="103">
        <v>43132</v>
      </c>
      <c r="C1490" s="102">
        <v>15052.72</v>
      </c>
    </row>
    <row r="1491" spans="1:3">
      <c r="A1491" s="102" t="s">
        <v>353</v>
      </c>
      <c r="B1491" s="103">
        <v>43131</v>
      </c>
      <c r="C1491" s="102">
        <v>15065.82</v>
      </c>
    </row>
    <row r="1492" spans="1:3">
      <c r="A1492" s="102" t="s">
        <v>353</v>
      </c>
      <c r="B1492" s="103">
        <v>43130</v>
      </c>
      <c r="C1492" s="102">
        <v>15095.42</v>
      </c>
    </row>
    <row r="1493" spans="1:3">
      <c r="A1493" s="102" t="s">
        <v>353</v>
      </c>
      <c r="B1493" s="103">
        <v>43129</v>
      </c>
      <c r="C1493" s="102">
        <v>15204.42</v>
      </c>
    </row>
    <row r="1494" spans="1:3">
      <c r="A1494" s="102" t="s">
        <v>353</v>
      </c>
      <c r="B1494" s="103">
        <v>43125</v>
      </c>
      <c r="C1494" s="102">
        <v>15121</v>
      </c>
    </row>
    <row r="1495" spans="1:3">
      <c r="A1495" s="102" t="s">
        <v>353</v>
      </c>
      <c r="B1495" s="103">
        <v>43124</v>
      </c>
      <c r="C1495" s="102">
        <v>15143.35</v>
      </c>
    </row>
    <row r="1496" spans="1:3">
      <c r="A1496" s="102" t="s">
        <v>353</v>
      </c>
      <c r="B1496" s="103">
        <v>43123</v>
      </c>
      <c r="C1496" s="102">
        <v>15140.24</v>
      </c>
    </row>
    <row r="1497" spans="1:3">
      <c r="A1497" s="102" t="s">
        <v>353</v>
      </c>
      <c r="B1497" s="103">
        <v>43122</v>
      </c>
      <c r="C1497" s="102">
        <v>14979.72</v>
      </c>
    </row>
    <row r="1498" spans="1:3">
      <c r="A1498" s="102" t="s">
        <v>353</v>
      </c>
      <c r="B1498" s="103">
        <v>43119</v>
      </c>
      <c r="C1498" s="102">
        <v>14880.8</v>
      </c>
    </row>
    <row r="1499" spans="1:3">
      <c r="A1499" s="102" t="s">
        <v>353</v>
      </c>
      <c r="B1499" s="103">
        <v>43118</v>
      </c>
      <c r="C1499" s="102">
        <v>14774.67</v>
      </c>
    </row>
    <row r="1500" spans="1:3">
      <c r="A1500" s="102" t="s">
        <v>353</v>
      </c>
      <c r="B1500" s="103">
        <v>43117</v>
      </c>
      <c r="C1500" s="102">
        <v>14734.07</v>
      </c>
    </row>
    <row r="1501" spans="1:3">
      <c r="A1501" s="102" t="s">
        <v>353</v>
      </c>
      <c r="B1501" s="103">
        <v>43116</v>
      </c>
      <c r="C1501" s="102">
        <v>14613.79</v>
      </c>
    </row>
    <row r="1502" spans="1:3">
      <c r="A1502" s="102" t="s">
        <v>353</v>
      </c>
      <c r="B1502" s="103">
        <v>43115</v>
      </c>
      <c r="C1502" s="102">
        <v>14669.9</v>
      </c>
    </row>
    <row r="1503" spans="1:3">
      <c r="A1503" s="102" t="s">
        <v>353</v>
      </c>
      <c r="B1503" s="103">
        <v>43112</v>
      </c>
      <c r="C1503" s="102">
        <v>14587.54</v>
      </c>
    </row>
    <row r="1504" spans="1:3">
      <c r="A1504" s="102" t="s">
        <v>353</v>
      </c>
      <c r="B1504" s="103">
        <v>43111</v>
      </c>
      <c r="C1504" s="102">
        <v>14546.49</v>
      </c>
    </row>
    <row r="1505" spans="1:3">
      <c r="A1505" s="102" t="s">
        <v>353</v>
      </c>
      <c r="B1505" s="103">
        <v>43110</v>
      </c>
      <c r="C1505" s="102">
        <v>14520.56</v>
      </c>
    </row>
    <row r="1506" spans="1:3">
      <c r="A1506" s="102" t="s">
        <v>353</v>
      </c>
      <c r="B1506" s="103">
        <v>43109</v>
      </c>
      <c r="C1506" s="102">
        <v>14527.15</v>
      </c>
    </row>
    <row r="1507" spans="1:3">
      <c r="A1507" s="102" t="s">
        <v>353</v>
      </c>
      <c r="B1507" s="103">
        <v>43108</v>
      </c>
      <c r="C1507" s="102">
        <v>14508.81</v>
      </c>
    </row>
    <row r="1508" spans="1:3">
      <c r="A1508" s="102" t="s">
        <v>353</v>
      </c>
      <c r="B1508" s="103">
        <v>43105</v>
      </c>
      <c r="C1508" s="102">
        <v>14420.42</v>
      </c>
    </row>
    <row r="1509" spans="1:3">
      <c r="A1509" s="102" t="s">
        <v>353</v>
      </c>
      <c r="B1509" s="103">
        <v>43104</v>
      </c>
      <c r="C1509" s="102">
        <v>14346.59</v>
      </c>
    </row>
    <row r="1510" spans="1:3">
      <c r="A1510" s="102" t="s">
        <v>353</v>
      </c>
      <c r="B1510" s="103">
        <v>43103</v>
      </c>
      <c r="C1510" s="102">
        <v>14262.48</v>
      </c>
    </row>
    <row r="1511" spans="1:3">
      <c r="A1511" s="102" t="s">
        <v>353</v>
      </c>
      <c r="B1511" s="103">
        <v>43102</v>
      </c>
      <c r="C1511" s="102">
        <v>14261.1</v>
      </c>
    </row>
    <row r="1512" spans="1:3">
      <c r="A1512" s="102" t="s">
        <v>353</v>
      </c>
      <c r="B1512" s="103">
        <v>43101</v>
      </c>
      <c r="C1512" s="102">
        <v>14252.02</v>
      </c>
    </row>
    <row r="1513" spans="1:3">
      <c r="A1513" s="102" t="s">
        <v>353</v>
      </c>
      <c r="B1513" s="103">
        <v>43098</v>
      </c>
      <c r="C1513" s="102">
        <v>14381.92</v>
      </c>
    </row>
    <row r="1514" spans="1:3">
      <c r="A1514" s="102" t="s">
        <v>353</v>
      </c>
      <c r="B1514" s="103">
        <v>43097</v>
      </c>
      <c r="C1514" s="102">
        <v>14309.85</v>
      </c>
    </row>
    <row r="1515" spans="1:3">
      <c r="A1515" s="102" t="s">
        <v>353</v>
      </c>
      <c r="B1515" s="103">
        <v>43096</v>
      </c>
      <c r="C1515" s="102">
        <v>14327.42</v>
      </c>
    </row>
    <row r="1516" spans="1:3">
      <c r="A1516" s="102" t="s">
        <v>353</v>
      </c>
      <c r="B1516" s="103">
        <v>43095</v>
      </c>
      <c r="C1516" s="102">
        <v>14383.04</v>
      </c>
    </row>
    <row r="1517" spans="1:3">
      <c r="A1517" s="102" t="s">
        <v>353</v>
      </c>
      <c r="B1517" s="103">
        <v>43091</v>
      </c>
      <c r="C1517" s="102">
        <v>14330.49</v>
      </c>
    </row>
    <row r="1518" spans="1:3">
      <c r="A1518" s="102" t="s">
        <v>353</v>
      </c>
      <c r="B1518" s="103">
        <v>43090</v>
      </c>
      <c r="C1518" s="102">
        <v>14258.49</v>
      </c>
    </row>
    <row r="1519" spans="1:3">
      <c r="A1519" s="102" t="s">
        <v>353</v>
      </c>
      <c r="B1519" s="103">
        <v>43089</v>
      </c>
      <c r="C1519" s="102">
        <v>14263.81</v>
      </c>
    </row>
    <row r="1520" spans="1:3">
      <c r="A1520" s="102" t="s">
        <v>353</v>
      </c>
      <c r="B1520" s="103">
        <v>43088</v>
      </c>
      <c r="C1520" s="102">
        <v>14289.76</v>
      </c>
    </row>
    <row r="1521" spans="1:3">
      <c r="A1521" s="102" t="s">
        <v>353</v>
      </c>
      <c r="B1521" s="103">
        <v>43087</v>
      </c>
      <c r="C1521" s="102">
        <v>14188.11</v>
      </c>
    </row>
    <row r="1522" spans="1:3">
      <c r="A1522" s="102" t="s">
        <v>353</v>
      </c>
      <c r="B1522" s="103">
        <v>43084</v>
      </c>
      <c r="C1522" s="102">
        <v>14112.3</v>
      </c>
    </row>
    <row r="1523" spans="1:3">
      <c r="A1523" s="102" t="s">
        <v>353</v>
      </c>
      <c r="B1523" s="103">
        <v>43083</v>
      </c>
      <c r="C1523" s="102">
        <v>14001.49</v>
      </c>
    </row>
    <row r="1524" spans="1:3">
      <c r="A1524" s="102" t="s">
        <v>353</v>
      </c>
      <c r="B1524" s="103">
        <v>43082</v>
      </c>
      <c r="C1524" s="102">
        <v>13920.69</v>
      </c>
    </row>
    <row r="1525" spans="1:3">
      <c r="A1525" s="102" t="s">
        <v>353</v>
      </c>
      <c r="B1525" s="103">
        <v>43081</v>
      </c>
      <c r="C1525" s="102">
        <v>13985.11</v>
      </c>
    </row>
    <row r="1526" spans="1:3">
      <c r="A1526" s="102" t="s">
        <v>353</v>
      </c>
      <c r="B1526" s="103">
        <v>43080</v>
      </c>
      <c r="C1526" s="102">
        <v>14097.29</v>
      </c>
    </row>
    <row r="1527" spans="1:3">
      <c r="A1527" s="102" t="s">
        <v>353</v>
      </c>
      <c r="B1527" s="103">
        <v>43077</v>
      </c>
      <c r="C1527" s="102">
        <v>14019.95</v>
      </c>
    </row>
    <row r="1528" spans="1:3">
      <c r="A1528" s="102" t="s">
        <v>353</v>
      </c>
      <c r="B1528" s="103">
        <v>43076</v>
      </c>
      <c r="C1528" s="102">
        <v>13884.82</v>
      </c>
    </row>
    <row r="1529" spans="1:3">
      <c r="A1529" s="102" t="s">
        <v>353</v>
      </c>
      <c r="B1529" s="103">
        <v>43075</v>
      </c>
      <c r="C1529" s="102">
        <v>13717.36</v>
      </c>
    </row>
    <row r="1530" spans="1:3">
      <c r="A1530" s="102" t="s">
        <v>353</v>
      </c>
      <c r="B1530" s="103">
        <v>43074</v>
      </c>
      <c r="C1530" s="102">
        <v>13818.67</v>
      </c>
    </row>
    <row r="1531" spans="1:3">
      <c r="A1531" s="102" t="s">
        <v>353</v>
      </c>
      <c r="B1531" s="103">
        <v>43073</v>
      </c>
      <c r="C1531" s="102">
        <v>13831.66</v>
      </c>
    </row>
    <row r="1532" spans="1:3">
      <c r="A1532" s="102" t="s">
        <v>353</v>
      </c>
      <c r="B1532" s="103">
        <v>43070</v>
      </c>
      <c r="C1532" s="102">
        <v>13823.52</v>
      </c>
    </row>
    <row r="1533" spans="1:3">
      <c r="A1533" s="102" t="s">
        <v>353</v>
      </c>
      <c r="B1533" s="103">
        <v>43069</v>
      </c>
      <c r="C1533" s="102">
        <v>13966.58</v>
      </c>
    </row>
    <row r="1534" spans="1:3">
      <c r="A1534" s="102" t="s">
        <v>353</v>
      </c>
      <c r="B1534" s="103">
        <v>43068</v>
      </c>
      <c r="C1534" s="102">
        <v>14150.6</v>
      </c>
    </row>
    <row r="1535" spans="1:3">
      <c r="A1535" s="102" t="s">
        <v>353</v>
      </c>
      <c r="B1535" s="103">
        <v>43067</v>
      </c>
      <c r="C1535" s="102">
        <v>14162.79</v>
      </c>
    </row>
    <row r="1536" spans="1:3">
      <c r="A1536" s="102" t="s">
        <v>353</v>
      </c>
      <c r="B1536" s="103">
        <v>43066</v>
      </c>
      <c r="C1536" s="102">
        <v>14202.82</v>
      </c>
    </row>
    <row r="1537" spans="1:3">
      <c r="A1537" s="102" t="s">
        <v>353</v>
      </c>
      <c r="B1537" s="103">
        <v>43063</v>
      </c>
      <c r="C1537" s="102">
        <v>14189.41</v>
      </c>
    </row>
    <row r="1538" spans="1:3">
      <c r="A1538" s="102" t="s">
        <v>353</v>
      </c>
      <c r="B1538" s="103">
        <v>43062</v>
      </c>
      <c r="C1538" s="102">
        <v>14133.47</v>
      </c>
    </row>
    <row r="1539" spans="1:3">
      <c r="A1539" s="102" t="s">
        <v>353</v>
      </c>
      <c r="B1539" s="103">
        <v>43061</v>
      </c>
      <c r="C1539" s="102">
        <v>14124.68</v>
      </c>
    </row>
    <row r="1540" spans="1:3">
      <c r="A1540" s="102" t="s">
        <v>353</v>
      </c>
      <c r="B1540" s="103">
        <v>43060</v>
      </c>
      <c r="C1540" s="102">
        <v>14103.64</v>
      </c>
    </row>
    <row r="1541" spans="1:3">
      <c r="A1541" s="102" t="s">
        <v>353</v>
      </c>
      <c r="B1541" s="103">
        <v>43059</v>
      </c>
      <c r="C1541" s="102">
        <v>14065.05</v>
      </c>
    </row>
    <row r="1542" spans="1:3">
      <c r="A1542" s="102" t="s">
        <v>353</v>
      </c>
      <c r="B1542" s="103">
        <v>43056</v>
      </c>
      <c r="C1542" s="102">
        <v>14044.32</v>
      </c>
    </row>
    <row r="1543" spans="1:3">
      <c r="A1543" s="102" t="s">
        <v>353</v>
      </c>
      <c r="B1543" s="103">
        <v>43055</v>
      </c>
      <c r="C1543" s="102">
        <v>13950.33</v>
      </c>
    </row>
    <row r="1544" spans="1:3">
      <c r="A1544" s="102" t="s">
        <v>353</v>
      </c>
      <c r="B1544" s="103">
        <v>43054</v>
      </c>
      <c r="C1544" s="102">
        <v>13818.25</v>
      </c>
    </row>
    <row r="1545" spans="1:3">
      <c r="A1545" s="102" t="s">
        <v>353</v>
      </c>
      <c r="B1545" s="103">
        <v>43053</v>
      </c>
      <c r="C1545" s="102">
        <v>13911.87</v>
      </c>
    </row>
    <row r="1546" spans="1:3">
      <c r="A1546" s="102" t="s">
        <v>353</v>
      </c>
      <c r="B1546" s="103">
        <v>43052</v>
      </c>
      <c r="C1546" s="102">
        <v>13964.26</v>
      </c>
    </row>
    <row r="1547" spans="1:3">
      <c r="A1547" s="102" t="s">
        <v>353</v>
      </c>
      <c r="B1547" s="103">
        <v>43049</v>
      </c>
      <c r="C1547" s="102">
        <v>14096.45</v>
      </c>
    </row>
    <row r="1548" spans="1:3">
      <c r="A1548" s="102" t="s">
        <v>353</v>
      </c>
      <c r="B1548" s="103">
        <v>43048</v>
      </c>
      <c r="C1548" s="102">
        <v>14078.98</v>
      </c>
    </row>
    <row r="1549" spans="1:3">
      <c r="A1549" s="102" t="s">
        <v>353</v>
      </c>
      <c r="B1549" s="103">
        <v>43047</v>
      </c>
      <c r="C1549" s="102">
        <v>14071.02</v>
      </c>
    </row>
    <row r="1550" spans="1:3">
      <c r="A1550" s="102" t="s">
        <v>353</v>
      </c>
      <c r="B1550" s="103">
        <v>43046</v>
      </c>
      <c r="C1550" s="102">
        <v>14135.23</v>
      </c>
    </row>
    <row r="1551" spans="1:3">
      <c r="A1551" s="102" t="s">
        <v>353</v>
      </c>
      <c r="B1551" s="103">
        <v>43045</v>
      </c>
      <c r="C1551" s="102">
        <v>14274.03</v>
      </c>
    </row>
    <row r="1552" spans="1:3">
      <c r="A1552" s="102" t="s">
        <v>353</v>
      </c>
      <c r="B1552" s="103">
        <v>43042</v>
      </c>
      <c r="C1552" s="102">
        <v>14274.97</v>
      </c>
    </row>
    <row r="1553" spans="1:3">
      <c r="A1553" s="102" t="s">
        <v>353</v>
      </c>
      <c r="B1553" s="103">
        <v>43041</v>
      </c>
      <c r="C1553" s="102">
        <v>14232.79</v>
      </c>
    </row>
    <row r="1554" spans="1:3">
      <c r="A1554" s="102" t="s">
        <v>353</v>
      </c>
      <c r="B1554" s="103">
        <v>43040</v>
      </c>
      <c r="C1554" s="102">
        <v>14255.58</v>
      </c>
    </row>
    <row r="1555" spans="1:3">
      <c r="A1555" s="102" t="s">
        <v>353</v>
      </c>
      <c r="B1555" s="103">
        <v>43039</v>
      </c>
      <c r="C1555" s="102">
        <v>14108.55</v>
      </c>
    </row>
    <row r="1556" spans="1:3">
      <c r="A1556" s="102" t="s">
        <v>353</v>
      </c>
      <c r="B1556" s="103">
        <v>43038</v>
      </c>
      <c r="C1556" s="102">
        <v>14137.62</v>
      </c>
    </row>
    <row r="1557" spans="1:3">
      <c r="A1557" s="102" t="s">
        <v>353</v>
      </c>
      <c r="B1557" s="103">
        <v>43035</v>
      </c>
      <c r="C1557" s="102">
        <v>14082.21</v>
      </c>
    </row>
    <row r="1558" spans="1:3">
      <c r="A1558" s="102" t="s">
        <v>353</v>
      </c>
      <c r="B1558" s="103">
        <v>43034</v>
      </c>
      <c r="C1558" s="102">
        <v>14110.5</v>
      </c>
    </row>
    <row r="1559" spans="1:3">
      <c r="A1559" s="102" t="s">
        <v>353</v>
      </c>
      <c r="B1559" s="103">
        <v>43033</v>
      </c>
      <c r="C1559" s="102">
        <v>14044.44</v>
      </c>
    </row>
    <row r="1560" spans="1:3">
      <c r="A1560" s="102" t="s">
        <v>353</v>
      </c>
      <c r="B1560" s="103">
        <v>43032</v>
      </c>
      <c r="C1560" s="102">
        <v>13923.61</v>
      </c>
    </row>
    <row r="1561" spans="1:3">
      <c r="A1561" s="102" t="s">
        <v>353</v>
      </c>
      <c r="B1561" s="103">
        <v>43031</v>
      </c>
      <c r="C1561" s="102">
        <v>13892.48</v>
      </c>
    </row>
    <row r="1562" spans="1:3">
      <c r="A1562" s="102" t="s">
        <v>353</v>
      </c>
      <c r="B1562" s="103">
        <v>43027</v>
      </c>
      <c r="C1562" s="102">
        <v>13840.24</v>
      </c>
    </row>
    <row r="1563" spans="1:3">
      <c r="A1563" s="102" t="s">
        <v>353</v>
      </c>
      <c r="B1563" s="103">
        <v>43026</v>
      </c>
      <c r="C1563" s="102">
        <v>13927.92</v>
      </c>
    </row>
    <row r="1564" spans="1:3">
      <c r="A1564" s="102" t="s">
        <v>353</v>
      </c>
      <c r="B1564" s="103">
        <v>43025</v>
      </c>
      <c r="C1564" s="102">
        <v>13960.09</v>
      </c>
    </row>
    <row r="1565" spans="1:3">
      <c r="A1565" s="102" t="s">
        <v>353</v>
      </c>
      <c r="B1565" s="103">
        <v>43024</v>
      </c>
      <c r="C1565" s="102">
        <v>13955.22</v>
      </c>
    </row>
    <row r="1566" spans="1:3">
      <c r="A1566" s="102" t="s">
        <v>353</v>
      </c>
      <c r="B1566" s="103">
        <v>43021</v>
      </c>
      <c r="C1566" s="102">
        <v>13868.7</v>
      </c>
    </row>
    <row r="1567" spans="1:3">
      <c r="A1567" s="102" t="s">
        <v>353</v>
      </c>
      <c r="B1567" s="103">
        <v>43020</v>
      </c>
      <c r="C1567" s="102">
        <v>13771.84</v>
      </c>
    </row>
    <row r="1568" spans="1:3">
      <c r="A1568" s="102" t="s">
        <v>353</v>
      </c>
      <c r="B1568" s="103">
        <v>43019</v>
      </c>
      <c r="C1568" s="102">
        <v>13619.62</v>
      </c>
    </row>
    <row r="1569" spans="1:3">
      <c r="A1569" s="102" t="s">
        <v>353</v>
      </c>
      <c r="B1569" s="103">
        <v>43018</v>
      </c>
      <c r="C1569" s="102">
        <v>13663.44</v>
      </c>
    </row>
    <row r="1570" spans="1:3">
      <c r="A1570" s="102" t="s">
        <v>353</v>
      </c>
      <c r="B1570" s="103">
        <v>43017</v>
      </c>
      <c r="C1570" s="102">
        <v>13625</v>
      </c>
    </row>
    <row r="1571" spans="1:3">
      <c r="A1571" s="102" t="s">
        <v>353</v>
      </c>
      <c r="B1571" s="103">
        <v>43014</v>
      </c>
      <c r="C1571" s="102">
        <v>13612.63</v>
      </c>
    </row>
    <row r="1572" spans="1:3">
      <c r="A1572" s="102" t="s">
        <v>353</v>
      </c>
      <c r="B1572" s="103">
        <v>43013</v>
      </c>
      <c r="C1572" s="102">
        <v>13488.48</v>
      </c>
    </row>
    <row r="1573" spans="1:3">
      <c r="A1573" s="102" t="s">
        <v>353</v>
      </c>
      <c r="B1573" s="103">
        <v>43012</v>
      </c>
      <c r="C1573" s="102">
        <v>13524.27</v>
      </c>
    </row>
    <row r="1574" spans="1:3">
      <c r="A1574" s="102" t="s">
        <v>353</v>
      </c>
      <c r="B1574" s="103">
        <v>43011</v>
      </c>
      <c r="C1574" s="102">
        <v>13448.66</v>
      </c>
    </row>
    <row r="1575" spans="1:3">
      <c r="A1575" s="102" t="s">
        <v>353</v>
      </c>
      <c r="B1575" s="103">
        <v>43007</v>
      </c>
      <c r="C1575" s="102">
        <v>13351.99</v>
      </c>
    </row>
    <row r="1576" spans="1:3">
      <c r="A1576" s="102" t="s">
        <v>353</v>
      </c>
      <c r="B1576" s="103">
        <v>43006</v>
      </c>
      <c r="C1576" s="102">
        <v>13325.16</v>
      </c>
    </row>
    <row r="1577" spans="1:3">
      <c r="A1577" s="102" t="s">
        <v>353</v>
      </c>
      <c r="B1577" s="103">
        <v>43005</v>
      </c>
      <c r="C1577" s="102">
        <v>13279.85</v>
      </c>
    </row>
    <row r="1578" spans="1:3">
      <c r="A1578" s="102" t="s">
        <v>353</v>
      </c>
      <c r="B1578" s="103">
        <v>43004</v>
      </c>
      <c r="C1578" s="102">
        <v>13465.07</v>
      </c>
    </row>
    <row r="1579" spans="1:3">
      <c r="A1579" s="102" t="s">
        <v>353</v>
      </c>
      <c r="B1579" s="103">
        <v>43003</v>
      </c>
      <c r="C1579" s="102">
        <v>13466.53</v>
      </c>
    </row>
    <row r="1580" spans="1:3">
      <c r="A1580" s="102" t="s">
        <v>353</v>
      </c>
      <c r="B1580" s="103">
        <v>43000</v>
      </c>
      <c r="C1580" s="102">
        <v>13591.79</v>
      </c>
    </row>
    <row r="1581" spans="1:3">
      <c r="A1581" s="102" t="s">
        <v>353</v>
      </c>
      <c r="B1581" s="103">
        <v>42999</v>
      </c>
      <c r="C1581" s="102">
        <v>13806.6</v>
      </c>
    </row>
    <row r="1582" spans="1:3">
      <c r="A1582" s="102" t="s">
        <v>353</v>
      </c>
      <c r="B1582" s="103">
        <v>42998</v>
      </c>
      <c r="C1582" s="102">
        <v>13832.04</v>
      </c>
    </row>
    <row r="1583" spans="1:3">
      <c r="A1583" s="102" t="s">
        <v>353</v>
      </c>
      <c r="B1583" s="103">
        <v>42997</v>
      </c>
      <c r="C1583" s="102">
        <v>13840.78</v>
      </c>
    </row>
    <row r="1584" spans="1:3">
      <c r="A1584" s="102" t="s">
        <v>353</v>
      </c>
      <c r="B1584" s="103">
        <v>42996</v>
      </c>
      <c r="C1584" s="102">
        <v>13848.34</v>
      </c>
    </row>
    <row r="1585" spans="1:3">
      <c r="A1585" s="102" t="s">
        <v>353</v>
      </c>
      <c r="B1585" s="103">
        <v>42993</v>
      </c>
      <c r="C1585" s="102">
        <v>13754.62</v>
      </c>
    </row>
    <row r="1586" spans="1:3">
      <c r="A1586" s="102" t="s">
        <v>353</v>
      </c>
      <c r="B1586" s="103">
        <v>42992</v>
      </c>
      <c r="C1586" s="102">
        <v>13756.28</v>
      </c>
    </row>
    <row r="1587" spans="1:3">
      <c r="A1587" s="102" t="s">
        <v>353</v>
      </c>
      <c r="B1587" s="103">
        <v>42991</v>
      </c>
      <c r="C1587" s="102">
        <v>13746.3</v>
      </c>
    </row>
    <row r="1588" spans="1:3">
      <c r="A1588" s="102" t="s">
        <v>353</v>
      </c>
      <c r="B1588" s="103">
        <v>42990</v>
      </c>
      <c r="C1588" s="102">
        <v>13765.03</v>
      </c>
    </row>
    <row r="1589" spans="1:3">
      <c r="A1589" s="102" t="s">
        <v>353</v>
      </c>
      <c r="B1589" s="103">
        <v>42989</v>
      </c>
      <c r="C1589" s="102">
        <v>13646.37</v>
      </c>
    </row>
    <row r="1590" spans="1:3">
      <c r="A1590" s="102" t="s">
        <v>353</v>
      </c>
      <c r="B1590" s="103">
        <v>42986</v>
      </c>
      <c r="C1590" s="102">
        <v>13546.57</v>
      </c>
    </row>
    <row r="1591" spans="1:3">
      <c r="A1591" s="102" t="s">
        <v>353</v>
      </c>
      <c r="B1591" s="103">
        <v>42985</v>
      </c>
      <c r="C1591" s="102">
        <v>13539.91</v>
      </c>
    </row>
    <row r="1592" spans="1:3">
      <c r="A1592" s="102" t="s">
        <v>353</v>
      </c>
      <c r="B1592" s="103">
        <v>42984</v>
      </c>
      <c r="C1592" s="102">
        <v>13519.3</v>
      </c>
    </row>
    <row r="1593" spans="1:3">
      <c r="A1593" s="102" t="s">
        <v>353</v>
      </c>
      <c r="B1593" s="103">
        <v>42983</v>
      </c>
      <c r="C1593" s="102">
        <v>13568.38</v>
      </c>
    </row>
    <row r="1594" spans="1:3">
      <c r="A1594" s="102" t="s">
        <v>353</v>
      </c>
      <c r="B1594" s="103">
        <v>42982</v>
      </c>
      <c r="C1594" s="102">
        <v>13514.16</v>
      </c>
    </row>
    <row r="1595" spans="1:3">
      <c r="A1595" s="102" t="s">
        <v>353</v>
      </c>
      <c r="B1595" s="103">
        <v>42979</v>
      </c>
      <c r="C1595" s="102">
        <v>13598.09</v>
      </c>
    </row>
    <row r="1596" spans="1:3">
      <c r="A1596" s="102" t="s">
        <v>353</v>
      </c>
      <c r="B1596" s="103">
        <v>42978</v>
      </c>
      <c r="C1596" s="102">
        <v>13521.03</v>
      </c>
    </row>
    <row r="1597" spans="1:3">
      <c r="A1597" s="102" t="s">
        <v>353</v>
      </c>
      <c r="B1597" s="103">
        <v>42977</v>
      </c>
      <c r="C1597" s="102">
        <v>13474.73</v>
      </c>
    </row>
    <row r="1598" spans="1:3">
      <c r="A1598" s="102" t="s">
        <v>353</v>
      </c>
      <c r="B1598" s="103">
        <v>42976</v>
      </c>
      <c r="C1598" s="102">
        <v>13354.29</v>
      </c>
    </row>
    <row r="1599" spans="1:3">
      <c r="A1599" s="102" t="s">
        <v>353</v>
      </c>
      <c r="B1599" s="103">
        <v>42975</v>
      </c>
      <c r="C1599" s="102">
        <v>13513.48</v>
      </c>
    </row>
    <row r="1600" spans="1:3">
      <c r="A1600" s="102" t="s">
        <v>353</v>
      </c>
      <c r="B1600" s="103">
        <v>42971</v>
      </c>
      <c r="C1600" s="102">
        <v>13437.45</v>
      </c>
    </row>
    <row r="1601" spans="1:3">
      <c r="A1601" s="102" t="s">
        <v>353</v>
      </c>
      <c r="B1601" s="103">
        <v>42970</v>
      </c>
      <c r="C1601" s="102">
        <v>13427.67</v>
      </c>
    </row>
    <row r="1602" spans="1:3">
      <c r="A1602" s="102" t="s">
        <v>353</v>
      </c>
      <c r="B1602" s="103">
        <v>42969</v>
      </c>
      <c r="C1602" s="102">
        <v>13309.14</v>
      </c>
    </row>
    <row r="1603" spans="1:3">
      <c r="A1603" s="102" t="s">
        <v>353</v>
      </c>
      <c r="B1603" s="103">
        <v>42968</v>
      </c>
      <c r="C1603" s="102">
        <v>13293.88</v>
      </c>
    </row>
    <row r="1604" spans="1:3">
      <c r="A1604" s="102" t="s">
        <v>353</v>
      </c>
      <c r="B1604" s="103">
        <v>42965</v>
      </c>
      <c r="C1604" s="102">
        <v>13407.07</v>
      </c>
    </row>
    <row r="1605" spans="1:3">
      <c r="A1605" s="102" t="s">
        <v>353</v>
      </c>
      <c r="B1605" s="103">
        <v>42964</v>
      </c>
      <c r="C1605" s="102">
        <v>13497.69</v>
      </c>
    </row>
    <row r="1606" spans="1:3">
      <c r="A1606" s="102" t="s">
        <v>353</v>
      </c>
      <c r="B1606" s="103">
        <v>42963</v>
      </c>
      <c r="C1606" s="102">
        <v>13488.33</v>
      </c>
    </row>
    <row r="1607" spans="1:3">
      <c r="A1607" s="102" t="s">
        <v>353</v>
      </c>
      <c r="B1607" s="103">
        <v>42961</v>
      </c>
      <c r="C1607" s="102">
        <v>13347.75</v>
      </c>
    </row>
    <row r="1608" spans="1:3">
      <c r="A1608" s="102" t="s">
        <v>353</v>
      </c>
      <c r="B1608" s="103">
        <v>42958</v>
      </c>
      <c r="C1608" s="102">
        <v>13234.2</v>
      </c>
    </row>
    <row r="1609" spans="1:3">
      <c r="A1609" s="102" t="s">
        <v>353</v>
      </c>
      <c r="B1609" s="103">
        <v>42957</v>
      </c>
      <c r="C1609" s="102">
        <v>13377.05</v>
      </c>
    </row>
    <row r="1610" spans="1:3">
      <c r="A1610" s="102" t="s">
        <v>353</v>
      </c>
      <c r="B1610" s="103">
        <v>42956</v>
      </c>
      <c r="C1610" s="102">
        <v>13495.81</v>
      </c>
    </row>
    <row r="1611" spans="1:3">
      <c r="A1611" s="102" t="s">
        <v>353</v>
      </c>
      <c r="B1611" s="103">
        <v>42955</v>
      </c>
      <c r="C1611" s="102">
        <v>13591.81</v>
      </c>
    </row>
    <row r="1612" spans="1:3">
      <c r="A1612" s="102" t="s">
        <v>353</v>
      </c>
      <c r="B1612" s="103">
        <v>42954</v>
      </c>
      <c r="C1612" s="102">
        <v>13699.21</v>
      </c>
    </row>
    <row r="1613" spans="1:3">
      <c r="A1613" s="102" t="s">
        <v>353</v>
      </c>
      <c r="B1613" s="103">
        <v>42951</v>
      </c>
      <c r="C1613" s="102">
        <v>13711.47</v>
      </c>
    </row>
    <row r="1614" spans="1:3">
      <c r="A1614" s="102" t="s">
        <v>353</v>
      </c>
      <c r="B1614" s="103">
        <v>42950</v>
      </c>
      <c r="C1614" s="102">
        <v>13639.66</v>
      </c>
    </row>
    <row r="1615" spans="1:3">
      <c r="A1615" s="102" t="s">
        <v>353</v>
      </c>
      <c r="B1615" s="103">
        <v>42949</v>
      </c>
      <c r="C1615" s="102">
        <v>13731.63</v>
      </c>
    </row>
    <row r="1616" spans="1:3">
      <c r="A1616" s="102" t="s">
        <v>353</v>
      </c>
      <c r="B1616" s="103">
        <v>42948</v>
      </c>
      <c r="C1616" s="102">
        <v>13775.33</v>
      </c>
    </row>
    <row r="1617" spans="1:3">
      <c r="A1617" s="102" t="s">
        <v>353</v>
      </c>
      <c r="B1617" s="103">
        <v>42947</v>
      </c>
      <c r="C1617" s="102">
        <v>13724.19</v>
      </c>
    </row>
    <row r="1618" spans="1:3">
      <c r="A1618" s="102" t="s">
        <v>353</v>
      </c>
      <c r="B1618" s="103">
        <v>42944</v>
      </c>
      <c r="C1618" s="102">
        <v>13638.1</v>
      </c>
    </row>
    <row r="1619" spans="1:3">
      <c r="A1619" s="102" t="s">
        <v>353</v>
      </c>
      <c r="B1619" s="103">
        <v>42943</v>
      </c>
      <c r="C1619" s="102">
        <v>13646.34</v>
      </c>
    </row>
    <row r="1620" spans="1:3">
      <c r="A1620" s="102" t="s">
        <v>353</v>
      </c>
      <c r="B1620" s="103">
        <v>42942</v>
      </c>
      <c r="C1620" s="102">
        <v>13644.46</v>
      </c>
    </row>
    <row r="1621" spans="1:3">
      <c r="A1621" s="102" t="s">
        <v>353</v>
      </c>
      <c r="B1621" s="103">
        <v>42941</v>
      </c>
      <c r="C1621" s="102">
        <v>13567.66</v>
      </c>
    </row>
    <row r="1622" spans="1:3">
      <c r="A1622" s="102" t="s">
        <v>353</v>
      </c>
      <c r="B1622" s="103">
        <v>42940</v>
      </c>
      <c r="C1622" s="102">
        <v>13569.88</v>
      </c>
    </row>
    <row r="1623" spans="1:3">
      <c r="A1623" s="102" t="s">
        <v>353</v>
      </c>
      <c r="B1623" s="103">
        <v>42937</v>
      </c>
      <c r="C1623" s="102">
        <v>13498.25</v>
      </c>
    </row>
    <row r="1624" spans="1:3">
      <c r="A1624" s="102" t="s">
        <v>353</v>
      </c>
      <c r="B1624" s="103">
        <v>42936</v>
      </c>
      <c r="C1624" s="102">
        <v>13441.11</v>
      </c>
    </row>
    <row r="1625" spans="1:3">
      <c r="A1625" s="102" t="s">
        <v>353</v>
      </c>
      <c r="B1625" s="103">
        <v>42935</v>
      </c>
      <c r="C1625" s="102">
        <v>13473.52</v>
      </c>
    </row>
    <row r="1626" spans="1:3">
      <c r="A1626" s="102" t="s">
        <v>353</v>
      </c>
      <c r="B1626" s="103">
        <v>42934</v>
      </c>
      <c r="C1626" s="102">
        <v>13374.92</v>
      </c>
    </row>
    <row r="1627" spans="1:3">
      <c r="A1627" s="102" t="s">
        <v>353</v>
      </c>
      <c r="B1627" s="103">
        <v>42933</v>
      </c>
      <c r="C1627" s="102">
        <v>13494.64</v>
      </c>
    </row>
    <row r="1628" spans="1:3">
      <c r="A1628" s="102" t="s">
        <v>353</v>
      </c>
      <c r="B1628" s="103">
        <v>42930</v>
      </c>
      <c r="C1628" s="102">
        <v>13453.49</v>
      </c>
    </row>
    <row r="1629" spans="1:3">
      <c r="A1629" s="102" t="s">
        <v>353</v>
      </c>
      <c r="B1629" s="103">
        <v>42929</v>
      </c>
      <c r="C1629" s="102">
        <v>13452.22</v>
      </c>
    </row>
    <row r="1630" spans="1:3">
      <c r="A1630" s="102" t="s">
        <v>353</v>
      </c>
      <c r="B1630" s="103">
        <v>42928</v>
      </c>
      <c r="C1630" s="102">
        <v>13340.24</v>
      </c>
    </row>
    <row r="1631" spans="1:3">
      <c r="A1631" s="102" t="s">
        <v>353</v>
      </c>
      <c r="B1631" s="103">
        <v>42927</v>
      </c>
      <c r="C1631" s="102">
        <v>13299.17</v>
      </c>
    </row>
    <row r="1632" spans="1:3">
      <c r="A1632" s="102" t="s">
        <v>353</v>
      </c>
      <c r="B1632" s="103">
        <v>42926</v>
      </c>
      <c r="C1632" s="102">
        <v>13278.81</v>
      </c>
    </row>
    <row r="1633" spans="1:3">
      <c r="A1633" s="102" t="s">
        <v>353</v>
      </c>
      <c r="B1633" s="103">
        <v>42923</v>
      </c>
      <c r="C1633" s="102">
        <v>13135.35</v>
      </c>
    </row>
    <row r="1634" spans="1:3">
      <c r="A1634" s="102" t="s">
        <v>353</v>
      </c>
      <c r="B1634" s="103">
        <v>42922</v>
      </c>
      <c r="C1634" s="102">
        <v>13147.27</v>
      </c>
    </row>
    <row r="1635" spans="1:3">
      <c r="A1635" s="102" t="s">
        <v>353</v>
      </c>
      <c r="B1635" s="103">
        <v>42921</v>
      </c>
      <c r="C1635" s="102">
        <v>13091.36</v>
      </c>
    </row>
    <row r="1636" spans="1:3">
      <c r="A1636" s="102" t="s">
        <v>353</v>
      </c>
      <c r="B1636" s="103">
        <v>42920</v>
      </c>
      <c r="C1636" s="102">
        <v>13057.86</v>
      </c>
    </row>
    <row r="1637" spans="1:3">
      <c r="A1637" s="102" t="s">
        <v>353</v>
      </c>
      <c r="B1637" s="103">
        <v>42919</v>
      </c>
      <c r="C1637" s="102">
        <v>13060.15</v>
      </c>
    </row>
    <row r="1638" spans="1:3">
      <c r="A1638" s="102" t="s">
        <v>353</v>
      </c>
      <c r="B1638" s="103">
        <v>42916</v>
      </c>
      <c r="C1638" s="102">
        <v>12932.33</v>
      </c>
    </row>
    <row r="1639" spans="1:3">
      <c r="A1639" s="102" t="s">
        <v>353</v>
      </c>
      <c r="B1639" s="103">
        <v>42915</v>
      </c>
      <c r="C1639" s="102">
        <v>12908.13</v>
      </c>
    </row>
    <row r="1640" spans="1:3">
      <c r="A1640" s="102" t="s">
        <v>353</v>
      </c>
      <c r="B1640" s="103">
        <v>42914</v>
      </c>
      <c r="C1640" s="102">
        <v>12882.7</v>
      </c>
    </row>
    <row r="1641" spans="1:3">
      <c r="A1641" s="102" t="s">
        <v>353</v>
      </c>
      <c r="B1641" s="103">
        <v>42913</v>
      </c>
      <c r="C1641" s="102">
        <v>12910.01</v>
      </c>
    </row>
    <row r="1642" spans="1:3">
      <c r="A1642" s="102" t="s">
        <v>353</v>
      </c>
      <c r="B1642" s="103">
        <v>42909</v>
      </c>
      <c r="C1642" s="102">
        <v>12996.3</v>
      </c>
    </row>
    <row r="1643" spans="1:3">
      <c r="A1643" s="102" t="s">
        <v>353</v>
      </c>
      <c r="B1643" s="103">
        <v>42908</v>
      </c>
      <c r="C1643" s="102">
        <v>13070.98</v>
      </c>
    </row>
    <row r="1644" spans="1:3">
      <c r="A1644" s="102" t="s">
        <v>353</v>
      </c>
      <c r="B1644" s="103">
        <v>42907</v>
      </c>
      <c r="C1644" s="102">
        <v>13072.91</v>
      </c>
    </row>
    <row r="1645" spans="1:3">
      <c r="A1645" s="102" t="s">
        <v>353</v>
      </c>
      <c r="B1645" s="103">
        <v>42906</v>
      </c>
      <c r="C1645" s="102">
        <v>13099.92</v>
      </c>
    </row>
    <row r="1646" spans="1:3">
      <c r="A1646" s="102" t="s">
        <v>353</v>
      </c>
      <c r="B1646" s="103">
        <v>42905</v>
      </c>
      <c r="C1646" s="102">
        <v>13100.15</v>
      </c>
    </row>
    <row r="1647" spans="1:3">
      <c r="A1647" s="102" t="s">
        <v>353</v>
      </c>
      <c r="B1647" s="103">
        <v>42902</v>
      </c>
      <c r="C1647" s="102">
        <v>13005.86</v>
      </c>
    </row>
    <row r="1648" spans="1:3">
      <c r="A1648" s="102" t="s">
        <v>353</v>
      </c>
      <c r="B1648" s="103">
        <v>42901</v>
      </c>
      <c r="C1648" s="102">
        <v>12992.34</v>
      </c>
    </row>
    <row r="1649" spans="1:3">
      <c r="A1649" s="102" t="s">
        <v>353</v>
      </c>
      <c r="B1649" s="103">
        <v>42900</v>
      </c>
      <c r="C1649" s="102">
        <v>13045.44</v>
      </c>
    </row>
    <row r="1650" spans="1:3">
      <c r="A1650" s="102" t="s">
        <v>353</v>
      </c>
      <c r="B1650" s="103">
        <v>42899</v>
      </c>
      <c r="C1650" s="102">
        <v>13030.22</v>
      </c>
    </row>
    <row r="1651" spans="1:3">
      <c r="A1651" s="102" t="s">
        <v>353</v>
      </c>
      <c r="B1651" s="103">
        <v>42898</v>
      </c>
      <c r="C1651" s="102">
        <v>13037.83</v>
      </c>
    </row>
    <row r="1652" spans="1:3">
      <c r="A1652" s="102" t="s">
        <v>353</v>
      </c>
      <c r="B1652" s="103">
        <v>42895</v>
      </c>
      <c r="C1652" s="102">
        <v>13108.12</v>
      </c>
    </row>
    <row r="1653" spans="1:3">
      <c r="A1653" s="102" t="s">
        <v>353</v>
      </c>
      <c r="B1653" s="103">
        <v>42894</v>
      </c>
      <c r="C1653" s="102">
        <v>13079.63</v>
      </c>
    </row>
    <row r="1654" spans="1:3">
      <c r="A1654" s="102" t="s">
        <v>353</v>
      </c>
      <c r="B1654" s="103">
        <v>42893</v>
      </c>
      <c r="C1654" s="102">
        <v>13101.62</v>
      </c>
    </row>
    <row r="1655" spans="1:3">
      <c r="A1655" s="102" t="s">
        <v>353</v>
      </c>
      <c r="B1655" s="103">
        <v>42892</v>
      </c>
      <c r="C1655" s="102">
        <v>13065.33</v>
      </c>
    </row>
    <row r="1656" spans="1:3">
      <c r="A1656" s="102" t="s">
        <v>353</v>
      </c>
      <c r="B1656" s="103">
        <v>42891</v>
      </c>
      <c r="C1656" s="102">
        <v>13116.78</v>
      </c>
    </row>
    <row r="1657" spans="1:3">
      <c r="A1657" s="102" t="s">
        <v>353</v>
      </c>
      <c r="B1657" s="103">
        <v>42888</v>
      </c>
      <c r="C1657" s="102">
        <v>13072.98</v>
      </c>
    </row>
    <row r="1658" spans="1:3">
      <c r="A1658" s="102" t="s">
        <v>353</v>
      </c>
      <c r="B1658" s="103">
        <v>42887</v>
      </c>
      <c r="C1658" s="102">
        <v>13022.35</v>
      </c>
    </row>
    <row r="1659" spans="1:3">
      <c r="A1659" s="102" t="s">
        <v>353</v>
      </c>
      <c r="B1659" s="103">
        <v>42886</v>
      </c>
      <c r="C1659" s="102">
        <v>13018.69</v>
      </c>
    </row>
    <row r="1660" spans="1:3">
      <c r="A1660" s="102" t="s">
        <v>353</v>
      </c>
      <c r="B1660" s="103">
        <v>42885</v>
      </c>
      <c r="C1660" s="102">
        <v>13023.19</v>
      </c>
    </row>
    <row r="1661" spans="1:3">
      <c r="A1661" s="102" t="s">
        <v>353</v>
      </c>
      <c r="B1661" s="103">
        <v>42884</v>
      </c>
      <c r="C1661" s="102">
        <v>12996.61</v>
      </c>
    </row>
    <row r="1662" spans="1:3">
      <c r="A1662" s="102" t="s">
        <v>353</v>
      </c>
      <c r="B1662" s="103">
        <v>42881</v>
      </c>
      <c r="C1662" s="102">
        <v>12981.79</v>
      </c>
    </row>
    <row r="1663" spans="1:3">
      <c r="A1663" s="102" t="s">
        <v>353</v>
      </c>
      <c r="B1663" s="103">
        <v>42880</v>
      </c>
      <c r="C1663" s="102">
        <v>12863.38</v>
      </c>
    </row>
    <row r="1664" spans="1:3">
      <c r="A1664" s="102" t="s">
        <v>353</v>
      </c>
      <c r="B1664" s="103">
        <v>42879</v>
      </c>
      <c r="C1664" s="102">
        <v>12661.62</v>
      </c>
    </row>
    <row r="1665" spans="1:3">
      <c r="A1665" s="102" t="s">
        <v>353</v>
      </c>
      <c r="B1665" s="103">
        <v>42878</v>
      </c>
      <c r="C1665" s="102">
        <v>12695.02</v>
      </c>
    </row>
    <row r="1666" spans="1:3">
      <c r="A1666" s="102" t="s">
        <v>353</v>
      </c>
      <c r="B1666" s="103">
        <v>42877</v>
      </c>
      <c r="C1666" s="102">
        <v>12765.48</v>
      </c>
    </row>
    <row r="1667" spans="1:3">
      <c r="A1667" s="102" t="s">
        <v>353</v>
      </c>
      <c r="B1667" s="103">
        <v>42874</v>
      </c>
      <c r="C1667" s="102">
        <v>12751.43</v>
      </c>
    </row>
    <row r="1668" spans="1:3">
      <c r="A1668" s="102" t="s">
        <v>353</v>
      </c>
      <c r="B1668" s="103">
        <v>42873</v>
      </c>
      <c r="C1668" s="102">
        <v>12753.55</v>
      </c>
    </row>
    <row r="1669" spans="1:3">
      <c r="A1669" s="102" t="s">
        <v>353</v>
      </c>
      <c r="B1669" s="103">
        <v>42872</v>
      </c>
      <c r="C1669" s="102">
        <v>12883.83</v>
      </c>
    </row>
    <row r="1670" spans="1:3">
      <c r="A1670" s="102" t="s">
        <v>353</v>
      </c>
      <c r="B1670" s="103">
        <v>42871</v>
      </c>
      <c r="C1670" s="102">
        <v>12865.56</v>
      </c>
    </row>
    <row r="1671" spans="1:3">
      <c r="A1671" s="102" t="s">
        <v>353</v>
      </c>
      <c r="B1671" s="103">
        <v>42870</v>
      </c>
      <c r="C1671" s="102">
        <v>12775.11</v>
      </c>
    </row>
    <row r="1672" spans="1:3">
      <c r="A1672" s="102" t="s">
        <v>353</v>
      </c>
      <c r="B1672" s="103">
        <v>42867</v>
      </c>
      <c r="C1672" s="102">
        <v>12714.97</v>
      </c>
    </row>
    <row r="1673" spans="1:3">
      <c r="A1673" s="102" t="s">
        <v>353</v>
      </c>
      <c r="B1673" s="103">
        <v>42866</v>
      </c>
      <c r="C1673" s="102">
        <v>12743.99</v>
      </c>
    </row>
    <row r="1674" spans="1:3">
      <c r="A1674" s="102" t="s">
        <v>353</v>
      </c>
      <c r="B1674" s="103">
        <v>42865</v>
      </c>
      <c r="C1674" s="102">
        <v>12723.6</v>
      </c>
    </row>
    <row r="1675" spans="1:3">
      <c r="A1675" s="102" t="s">
        <v>353</v>
      </c>
      <c r="B1675" s="103">
        <v>42864</v>
      </c>
      <c r="C1675" s="102">
        <v>12601.23</v>
      </c>
    </row>
    <row r="1676" spans="1:3">
      <c r="A1676" s="102" t="s">
        <v>353</v>
      </c>
      <c r="B1676" s="103">
        <v>42863</v>
      </c>
      <c r="C1676" s="102">
        <v>12597.5</v>
      </c>
    </row>
    <row r="1677" spans="1:3">
      <c r="A1677" s="102" t="s">
        <v>353</v>
      </c>
      <c r="B1677" s="103">
        <v>42860</v>
      </c>
      <c r="C1677" s="102">
        <v>12558.6</v>
      </c>
    </row>
    <row r="1678" spans="1:3">
      <c r="A1678" s="102" t="s">
        <v>353</v>
      </c>
      <c r="B1678" s="103">
        <v>42859</v>
      </c>
      <c r="C1678" s="102">
        <v>12659.51</v>
      </c>
    </row>
    <row r="1679" spans="1:3">
      <c r="A1679" s="102" t="s">
        <v>353</v>
      </c>
      <c r="B1679" s="103">
        <v>42858</v>
      </c>
      <c r="C1679" s="102">
        <v>12593.58</v>
      </c>
    </row>
    <row r="1680" spans="1:3">
      <c r="A1680" s="102" t="s">
        <v>353</v>
      </c>
      <c r="B1680" s="103">
        <v>42857</v>
      </c>
      <c r="C1680" s="102">
        <v>12596.08</v>
      </c>
    </row>
    <row r="1681" spans="1:3">
      <c r="A1681" s="102" t="s">
        <v>353</v>
      </c>
      <c r="B1681" s="103">
        <v>42853</v>
      </c>
      <c r="C1681" s="102">
        <v>12582.88</v>
      </c>
    </row>
    <row r="1682" spans="1:3">
      <c r="A1682" s="102" t="s">
        <v>353</v>
      </c>
      <c r="B1682" s="103">
        <v>42852</v>
      </c>
      <c r="C1682" s="102">
        <v>12634.41</v>
      </c>
    </row>
    <row r="1683" spans="1:3">
      <c r="A1683" s="102" t="s">
        <v>353</v>
      </c>
      <c r="B1683" s="103">
        <v>42851</v>
      </c>
      <c r="C1683" s="102">
        <v>12647.53</v>
      </c>
    </row>
    <row r="1684" spans="1:3">
      <c r="A1684" s="102" t="s">
        <v>353</v>
      </c>
      <c r="B1684" s="103">
        <v>42850</v>
      </c>
      <c r="C1684" s="102">
        <v>12586.34</v>
      </c>
    </row>
    <row r="1685" spans="1:3">
      <c r="A1685" s="102" t="s">
        <v>353</v>
      </c>
      <c r="B1685" s="103">
        <v>42849</v>
      </c>
      <c r="C1685" s="102">
        <v>12466.46</v>
      </c>
    </row>
    <row r="1686" spans="1:3">
      <c r="A1686" s="102" t="s">
        <v>353</v>
      </c>
      <c r="B1686" s="103">
        <v>42846</v>
      </c>
      <c r="C1686" s="102">
        <v>12333.17</v>
      </c>
    </row>
    <row r="1687" spans="1:3">
      <c r="A1687" s="102" t="s">
        <v>353</v>
      </c>
      <c r="B1687" s="103">
        <v>42845</v>
      </c>
      <c r="C1687" s="102">
        <v>12356.2</v>
      </c>
    </row>
    <row r="1688" spans="1:3">
      <c r="A1688" s="102" t="s">
        <v>353</v>
      </c>
      <c r="B1688" s="103">
        <v>42844</v>
      </c>
      <c r="C1688" s="102">
        <v>12311.67</v>
      </c>
    </row>
    <row r="1689" spans="1:3">
      <c r="A1689" s="102" t="s">
        <v>353</v>
      </c>
      <c r="B1689" s="103">
        <v>42843</v>
      </c>
      <c r="C1689" s="102">
        <v>12313.9</v>
      </c>
    </row>
    <row r="1690" spans="1:3">
      <c r="A1690" s="102" t="s">
        <v>353</v>
      </c>
      <c r="B1690" s="103">
        <v>42842</v>
      </c>
      <c r="C1690" s="102">
        <v>12360.11</v>
      </c>
    </row>
    <row r="1691" spans="1:3">
      <c r="A1691" s="102" t="s">
        <v>353</v>
      </c>
      <c r="B1691" s="103">
        <v>42838</v>
      </c>
      <c r="C1691" s="102">
        <v>12375.68</v>
      </c>
    </row>
    <row r="1692" spans="1:3">
      <c r="A1692" s="102" t="s">
        <v>353</v>
      </c>
      <c r="B1692" s="103">
        <v>42837</v>
      </c>
      <c r="C1692" s="102">
        <v>12446.84</v>
      </c>
    </row>
    <row r="1693" spans="1:3">
      <c r="A1693" s="102" t="s">
        <v>353</v>
      </c>
      <c r="B1693" s="103">
        <v>42836</v>
      </c>
      <c r="C1693" s="102">
        <v>12492.24</v>
      </c>
    </row>
    <row r="1694" spans="1:3">
      <c r="A1694" s="102" t="s">
        <v>353</v>
      </c>
      <c r="B1694" s="103">
        <v>42835</v>
      </c>
      <c r="C1694" s="102">
        <v>12417.07</v>
      </c>
    </row>
    <row r="1695" spans="1:3">
      <c r="A1695" s="102" t="s">
        <v>353</v>
      </c>
      <c r="B1695" s="103">
        <v>42832</v>
      </c>
      <c r="C1695" s="102">
        <v>12439.9</v>
      </c>
    </row>
    <row r="1696" spans="1:3">
      <c r="A1696" s="102" t="s">
        <v>353</v>
      </c>
      <c r="B1696" s="103">
        <v>42831</v>
      </c>
      <c r="C1696" s="102">
        <v>12525.97</v>
      </c>
    </row>
    <row r="1697" spans="1:3">
      <c r="A1697" s="102" t="s">
        <v>353</v>
      </c>
      <c r="B1697" s="103">
        <v>42830</v>
      </c>
      <c r="C1697" s="102">
        <v>12530.31</v>
      </c>
    </row>
    <row r="1698" spans="1:3">
      <c r="A1698" s="102" t="s">
        <v>353</v>
      </c>
      <c r="B1698" s="103">
        <v>42828</v>
      </c>
      <c r="C1698" s="102">
        <v>12493.39</v>
      </c>
    </row>
    <row r="1699" spans="1:3">
      <c r="A1699" s="102" t="s">
        <v>353</v>
      </c>
      <c r="B1699" s="103">
        <v>42825</v>
      </c>
      <c r="C1699" s="102">
        <v>12406.69</v>
      </c>
    </row>
    <row r="1700" spans="1:3">
      <c r="A1700" s="102" t="s">
        <v>353</v>
      </c>
      <c r="B1700" s="103">
        <v>42824</v>
      </c>
      <c r="C1700" s="102">
        <v>12404.41</v>
      </c>
    </row>
    <row r="1701" spans="1:3">
      <c r="A1701" s="102" t="s">
        <v>353</v>
      </c>
      <c r="B1701" s="103">
        <v>42823</v>
      </c>
      <c r="C1701" s="102">
        <v>12363.95</v>
      </c>
    </row>
    <row r="1702" spans="1:3">
      <c r="A1702" s="102" t="s">
        <v>353</v>
      </c>
      <c r="B1702" s="103">
        <v>42822</v>
      </c>
      <c r="C1702" s="102">
        <v>12305.77</v>
      </c>
    </row>
    <row r="1703" spans="1:3">
      <c r="A1703" s="102" t="s">
        <v>353</v>
      </c>
      <c r="B1703" s="103">
        <v>42821</v>
      </c>
      <c r="C1703" s="102">
        <v>12230.63</v>
      </c>
    </row>
    <row r="1704" spans="1:3">
      <c r="A1704" s="102" t="s">
        <v>353</v>
      </c>
      <c r="B1704" s="103">
        <v>42818</v>
      </c>
      <c r="C1704" s="102">
        <v>12314.98</v>
      </c>
    </row>
    <row r="1705" spans="1:3">
      <c r="A1705" s="102" t="s">
        <v>353</v>
      </c>
      <c r="B1705" s="103">
        <v>42817</v>
      </c>
      <c r="C1705" s="102">
        <v>12283.35</v>
      </c>
    </row>
    <row r="1706" spans="1:3">
      <c r="A1706" s="102" t="s">
        <v>353</v>
      </c>
      <c r="B1706" s="103">
        <v>42816</v>
      </c>
      <c r="C1706" s="102">
        <v>12207.85</v>
      </c>
    </row>
    <row r="1707" spans="1:3">
      <c r="A1707" s="102" t="s">
        <v>353</v>
      </c>
      <c r="B1707" s="103">
        <v>42815</v>
      </c>
      <c r="C1707" s="102">
        <v>12330.92</v>
      </c>
    </row>
    <row r="1708" spans="1:3">
      <c r="A1708" s="102" t="s">
        <v>353</v>
      </c>
      <c r="B1708" s="103">
        <v>42814</v>
      </c>
      <c r="C1708" s="102">
        <v>12338.14</v>
      </c>
    </row>
    <row r="1709" spans="1:3">
      <c r="A1709" s="102" t="s">
        <v>353</v>
      </c>
      <c r="B1709" s="103">
        <v>42811</v>
      </c>
      <c r="C1709" s="102">
        <v>12383.04</v>
      </c>
    </row>
    <row r="1710" spans="1:3">
      <c r="A1710" s="102" t="s">
        <v>353</v>
      </c>
      <c r="B1710" s="103">
        <v>42810</v>
      </c>
      <c r="C1710" s="102">
        <v>12374.48</v>
      </c>
    </row>
    <row r="1711" spans="1:3">
      <c r="A1711" s="102" t="s">
        <v>353</v>
      </c>
      <c r="B1711" s="103">
        <v>42809</v>
      </c>
      <c r="C1711" s="102">
        <v>12278.23</v>
      </c>
    </row>
    <row r="1712" spans="1:3">
      <c r="A1712" s="102" t="s">
        <v>353</v>
      </c>
      <c r="B1712" s="103">
        <v>42808</v>
      </c>
      <c r="C1712" s="102">
        <v>12281.22</v>
      </c>
    </row>
    <row r="1713" spans="1:3">
      <c r="A1713" s="102" t="s">
        <v>353</v>
      </c>
      <c r="B1713" s="103">
        <v>42804</v>
      </c>
      <c r="C1713" s="102">
        <v>12066.4</v>
      </c>
    </row>
    <row r="1714" spans="1:3">
      <c r="A1714" s="102" t="s">
        <v>353</v>
      </c>
      <c r="B1714" s="103">
        <v>42803</v>
      </c>
      <c r="C1714" s="102">
        <v>12056.17</v>
      </c>
    </row>
    <row r="1715" spans="1:3">
      <c r="A1715" s="102" t="s">
        <v>353</v>
      </c>
      <c r="B1715" s="103">
        <v>42802</v>
      </c>
      <c r="C1715" s="102">
        <v>12050.77</v>
      </c>
    </row>
    <row r="1716" spans="1:3">
      <c r="A1716" s="102" t="s">
        <v>353</v>
      </c>
      <c r="B1716" s="103">
        <v>42801</v>
      </c>
      <c r="C1716" s="102">
        <v>12081.34</v>
      </c>
    </row>
    <row r="1717" spans="1:3">
      <c r="A1717" s="102" t="s">
        <v>353</v>
      </c>
      <c r="B1717" s="103">
        <v>42800</v>
      </c>
      <c r="C1717" s="102">
        <v>12103.68</v>
      </c>
    </row>
    <row r="1718" spans="1:3">
      <c r="A1718" s="102" t="s">
        <v>353</v>
      </c>
      <c r="B1718" s="103">
        <v>42797</v>
      </c>
      <c r="C1718" s="102">
        <v>12014.7</v>
      </c>
    </row>
    <row r="1719" spans="1:3">
      <c r="A1719" s="102" t="s">
        <v>353</v>
      </c>
      <c r="B1719" s="103">
        <v>42796</v>
      </c>
      <c r="C1719" s="102">
        <v>12017.63</v>
      </c>
    </row>
    <row r="1720" spans="1:3">
      <c r="A1720" s="102" t="s">
        <v>353</v>
      </c>
      <c r="B1720" s="103">
        <v>42795</v>
      </c>
      <c r="C1720" s="102">
        <v>12079.8</v>
      </c>
    </row>
    <row r="1721" spans="1:3">
      <c r="A1721" s="102" t="s">
        <v>353</v>
      </c>
      <c r="B1721" s="103">
        <v>42794</v>
      </c>
      <c r="C1721" s="102">
        <v>11990.44</v>
      </c>
    </row>
    <row r="1722" spans="1:3">
      <c r="A1722" s="102" t="s">
        <v>353</v>
      </c>
      <c r="B1722" s="103">
        <v>42793</v>
      </c>
      <c r="C1722" s="102">
        <v>12009.8</v>
      </c>
    </row>
    <row r="1723" spans="1:3">
      <c r="A1723" s="102" t="s">
        <v>353</v>
      </c>
      <c r="B1723" s="103">
        <v>42789</v>
      </c>
      <c r="C1723" s="102">
        <v>12067.61</v>
      </c>
    </row>
    <row r="1724" spans="1:3">
      <c r="A1724" s="102" t="s">
        <v>353</v>
      </c>
      <c r="B1724" s="103">
        <v>42788</v>
      </c>
      <c r="C1724" s="102">
        <v>12050.54</v>
      </c>
    </row>
    <row r="1725" spans="1:3">
      <c r="A1725" s="102" t="s">
        <v>353</v>
      </c>
      <c r="B1725" s="103">
        <v>42787</v>
      </c>
      <c r="C1725" s="102">
        <v>12024.88</v>
      </c>
    </row>
    <row r="1726" spans="1:3">
      <c r="A1726" s="102" t="s">
        <v>353</v>
      </c>
      <c r="B1726" s="103">
        <v>42786</v>
      </c>
      <c r="C1726" s="102">
        <v>11986.21</v>
      </c>
    </row>
    <row r="1727" spans="1:3">
      <c r="A1727" s="102" t="s">
        <v>353</v>
      </c>
      <c r="B1727" s="103">
        <v>42783</v>
      </c>
      <c r="C1727" s="102">
        <v>11908.56</v>
      </c>
    </row>
    <row r="1728" spans="1:3">
      <c r="A1728" s="102" t="s">
        <v>353</v>
      </c>
      <c r="B1728" s="103">
        <v>42782</v>
      </c>
      <c r="C1728" s="102">
        <v>11849.55</v>
      </c>
    </row>
    <row r="1729" spans="1:3">
      <c r="A1729" s="102" t="s">
        <v>353</v>
      </c>
      <c r="B1729" s="103">
        <v>42781</v>
      </c>
      <c r="C1729" s="102">
        <v>11776.57</v>
      </c>
    </row>
    <row r="1730" spans="1:3">
      <c r="A1730" s="102" t="s">
        <v>353</v>
      </c>
      <c r="B1730" s="103">
        <v>42780</v>
      </c>
      <c r="C1730" s="102">
        <v>11865.43</v>
      </c>
    </row>
    <row r="1731" spans="1:3">
      <c r="A1731" s="102" t="s">
        <v>353</v>
      </c>
      <c r="B1731" s="103">
        <v>42779</v>
      </c>
      <c r="C1731" s="102">
        <v>11882.38</v>
      </c>
    </row>
    <row r="1732" spans="1:3">
      <c r="A1732" s="102" t="s">
        <v>353</v>
      </c>
      <c r="B1732" s="103">
        <v>42776</v>
      </c>
      <c r="C1732" s="102">
        <v>11866.82</v>
      </c>
    </row>
    <row r="1733" spans="1:3">
      <c r="A1733" s="102" t="s">
        <v>353</v>
      </c>
      <c r="B1733" s="103">
        <v>42775</v>
      </c>
      <c r="C1733" s="102">
        <v>11846.42</v>
      </c>
    </row>
    <row r="1734" spans="1:3">
      <c r="A1734" s="102" t="s">
        <v>353</v>
      </c>
      <c r="B1734" s="103">
        <v>42774</v>
      </c>
      <c r="C1734" s="102">
        <v>11833.8</v>
      </c>
    </row>
    <row r="1735" spans="1:3">
      <c r="A1735" s="102" t="s">
        <v>353</v>
      </c>
      <c r="B1735" s="103">
        <v>42773</v>
      </c>
      <c r="C1735" s="102">
        <v>11832.78</v>
      </c>
    </row>
    <row r="1736" spans="1:3">
      <c r="A1736" s="102" t="s">
        <v>353</v>
      </c>
      <c r="B1736" s="103">
        <v>42772</v>
      </c>
      <c r="C1736" s="102">
        <v>11874.73</v>
      </c>
    </row>
    <row r="1737" spans="1:3">
      <c r="A1737" s="102" t="s">
        <v>353</v>
      </c>
      <c r="B1737" s="103">
        <v>42769</v>
      </c>
      <c r="C1737" s="102">
        <v>11793.62</v>
      </c>
    </row>
    <row r="1738" spans="1:3">
      <c r="A1738" s="102" t="s">
        <v>353</v>
      </c>
      <c r="B1738" s="103">
        <v>42768</v>
      </c>
      <c r="C1738" s="102">
        <v>11784.61</v>
      </c>
    </row>
    <row r="1739" spans="1:3">
      <c r="A1739" s="102" t="s">
        <v>353</v>
      </c>
      <c r="B1739" s="103">
        <v>42767</v>
      </c>
      <c r="C1739" s="102">
        <v>11758.63</v>
      </c>
    </row>
    <row r="1740" spans="1:3">
      <c r="A1740" s="102" t="s">
        <v>353</v>
      </c>
      <c r="B1740" s="103">
        <v>42766</v>
      </c>
      <c r="C1740" s="102">
        <v>11548.15</v>
      </c>
    </row>
    <row r="1741" spans="1:3">
      <c r="A1741" s="102" t="s">
        <v>353</v>
      </c>
      <c r="B1741" s="103">
        <v>42765</v>
      </c>
      <c r="C1741" s="102">
        <v>11644.53</v>
      </c>
    </row>
    <row r="1742" spans="1:3">
      <c r="A1742" s="102" t="s">
        <v>353</v>
      </c>
      <c r="B1742" s="103">
        <v>42762</v>
      </c>
      <c r="C1742" s="102">
        <v>11656</v>
      </c>
    </row>
    <row r="1743" spans="1:3">
      <c r="A1743" s="102" t="s">
        <v>353</v>
      </c>
      <c r="B1743" s="103">
        <v>42760</v>
      </c>
      <c r="C1743" s="102">
        <v>11604.09</v>
      </c>
    </row>
    <row r="1744" spans="1:3">
      <c r="A1744" s="102" t="s">
        <v>353</v>
      </c>
      <c r="B1744" s="103">
        <v>42759</v>
      </c>
      <c r="C1744" s="102">
        <v>11432.83</v>
      </c>
    </row>
    <row r="1745" spans="1:3">
      <c r="A1745" s="102" t="s">
        <v>353</v>
      </c>
      <c r="B1745" s="103">
        <v>42758</v>
      </c>
      <c r="C1745" s="102">
        <v>11319.09</v>
      </c>
    </row>
    <row r="1746" spans="1:3">
      <c r="A1746" s="102" t="s">
        <v>353</v>
      </c>
      <c r="B1746" s="103">
        <v>42755</v>
      </c>
      <c r="C1746" s="102">
        <v>11260.99</v>
      </c>
    </row>
    <row r="1747" spans="1:3">
      <c r="A1747" s="102" t="s">
        <v>353</v>
      </c>
      <c r="B1747" s="103">
        <v>42754</v>
      </c>
      <c r="C1747" s="102">
        <v>11376.62</v>
      </c>
    </row>
    <row r="1748" spans="1:3">
      <c r="A1748" s="102" t="s">
        <v>353</v>
      </c>
      <c r="B1748" s="103">
        <v>42753</v>
      </c>
      <c r="C1748" s="102">
        <v>11352.22</v>
      </c>
    </row>
    <row r="1749" spans="1:3">
      <c r="A1749" s="102" t="s">
        <v>353</v>
      </c>
      <c r="B1749" s="103">
        <v>42752</v>
      </c>
      <c r="C1749" s="102">
        <v>11326.62</v>
      </c>
    </row>
    <row r="1750" spans="1:3">
      <c r="A1750" s="102" t="s">
        <v>353</v>
      </c>
      <c r="B1750" s="103">
        <v>42751</v>
      </c>
      <c r="C1750" s="102">
        <v>11346.57</v>
      </c>
    </row>
    <row r="1751" spans="1:3">
      <c r="A1751" s="102" t="s">
        <v>353</v>
      </c>
      <c r="B1751" s="103">
        <v>42748</v>
      </c>
      <c r="C1751" s="102">
        <v>11329.78</v>
      </c>
    </row>
    <row r="1752" spans="1:3">
      <c r="A1752" s="102" t="s">
        <v>353</v>
      </c>
      <c r="B1752" s="103">
        <v>42747</v>
      </c>
      <c r="C1752" s="102">
        <v>11339.04</v>
      </c>
    </row>
    <row r="1753" spans="1:3">
      <c r="A1753" s="102" t="s">
        <v>353</v>
      </c>
      <c r="B1753" s="103">
        <v>42746</v>
      </c>
      <c r="C1753" s="102">
        <v>11303.19</v>
      </c>
    </row>
    <row r="1754" spans="1:3">
      <c r="A1754" s="102" t="s">
        <v>353</v>
      </c>
      <c r="B1754" s="103">
        <v>42745</v>
      </c>
      <c r="C1754" s="102">
        <v>11179.04</v>
      </c>
    </row>
    <row r="1755" spans="1:3">
      <c r="A1755" s="102" t="s">
        <v>353</v>
      </c>
      <c r="B1755" s="103">
        <v>42744</v>
      </c>
      <c r="C1755" s="102">
        <v>11108.2</v>
      </c>
    </row>
    <row r="1756" spans="1:3">
      <c r="A1756" s="102" t="s">
        <v>353</v>
      </c>
      <c r="B1756" s="103">
        <v>42741</v>
      </c>
      <c r="C1756" s="102">
        <v>11118.62</v>
      </c>
    </row>
    <row r="1757" spans="1:3">
      <c r="A1757" s="102" t="s">
        <v>353</v>
      </c>
      <c r="B1757" s="103">
        <v>42740</v>
      </c>
      <c r="C1757" s="102">
        <v>11159.12</v>
      </c>
    </row>
    <row r="1758" spans="1:3">
      <c r="A1758" s="102" t="s">
        <v>353</v>
      </c>
      <c r="B1758" s="103">
        <v>42739</v>
      </c>
      <c r="C1758" s="102">
        <v>11046.76</v>
      </c>
    </row>
    <row r="1759" spans="1:3">
      <c r="A1759" s="102" t="s">
        <v>353</v>
      </c>
      <c r="B1759" s="103">
        <v>42738</v>
      </c>
      <c r="C1759" s="102">
        <v>11049.08</v>
      </c>
    </row>
    <row r="1760" spans="1:3">
      <c r="A1760" s="102" t="s">
        <v>353</v>
      </c>
      <c r="B1760" s="103">
        <v>42737</v>
      </c>
      <c r="C1760" s="102">
        <v>11031.91</v>
      </c>
    </row>
    <row r="1761" spans="1:3">
      <c r="A1761" s="102" t="s">
        <v>353</v>
      </c>
      <c r="B1761" s="103">
        <v>42734</v>
      </c>
      <c r="C1761" s="102">
        <v>11040.41</v>
      </c>
    </row>
    <row r="1762" spans="1:3">
      <c r="A1762" s="102" t="s">
        <v>353</v>
      </c>
      <c r="B1762" s="103">
        <v>42733</v>
      </c>
      <c r="C1762" s="102">
        <v>10929.53</v>
      </c>
    </row>
    <row r="1763" spans="1:3">
      <c r="A1763" s="102" t="s">
        <v>353</v>
      </c>
      <c r="B1763" s="103">
        <v>42732</v>
      </c>
      <c r="C1763" s="102">
        <v>10836.85</v>
      </c>
    </row>
    <row r="1764" spans="1:3">
      <c r="A1764" s="102" t="s">
        <v>353</v>
      </c>
      <c r="B1764" s="103">
        <v>42731</v>
      </c>
      <c r="C1764" s="102">
        <v>10834.12</v>
      </c>
    </row>
    <row r="1765" spans="1:3">
      <c r="A1765" s="102" t="s">
        <v>353</v>
      </c>
      <c r="B1765" s="103">
        <v>42730</v>
      </c>
      <c r="C1765" s="102">
        <v>10666.06</v>
      </c>
    </row>
    <row r="1766" spans="1:3">
      <c r="A1766" s="102" t="s">
        <v>353</v>
      </c>
      <c r="B1766" s="103">
        <v>42727</v>
      </c>
      <c r="C1766" s="102">
        <v>10770.6</v>
      </c>
    </row>
    <row r="1767" spans="1:3">
      <c r="A1767" s="102" t="s">
        <v>353</v>
      </c>
      <c r="B1767" s="103">
        <v>42726</v>
      </c>
      <c r="C1767" s="102">
        <v>10761.65</v>
      </c>
    </row>
    <row r="1768" spans="1:3">
      <c r="A1768" s="102" t="s">
        <v>353</v>
      </c>
      <c r="B1768" s="103">
        <v>42725</v>
      </c>
      <c r="C1768" s="102">
        <v>10872.49</v>
      </c>
    </row>
    <row r="1769" spans="1:3">
      <c r="A1769" s="102" t="s">
        <v>353</v>
      </c>
      <c r="B1769" s="103">
        <v>42724</v>
      </c>
      <c r="C1769" s="102">
        <v>10900.96</v>
      </c>
    </row>
    <row r="1770" spans="1:3">
      <c r="A1770" s="102" t="s">
        <v>353</v>
      </c>
      <c r="B1770" s="103">
        <v>42723</v>
      </c>
      <c r="C1770" s="102">
        <v>10930.55</v>
      </c>
    </row>
    <row r="1771" spans="1:3">
      <c r="A1771" s="102" t="s">
        <v>353</v>
      </c>
      <c r="B1771" s="103">
        <v>42720</v>
      </c>
      <c r="C1771" s="102">
        <v>10977.91</v>
      </c>
    </row>
    <row r="1772" spans="1:3">
      <c r="A1772" s="102" t="s">
        <v>353</v>
      </c>
      <c r="B1772" s="103">
        <v>42719</v>
      </c>
      <c r="C1772" s="102">
        <v>10997.01</v>
      </c>
    </row>
    <row r="1773" spans="1:3">
      <c r="A1773" s="102" t="s">
        <v>353</v>
      </c>
      <c r="B1773" s="103">
        <v>42718</v>
      </c>
      <c r="C1773" s="102">
        <v>11035.88</v>
      </c>
    </row>
    <row r="1774" spans="1:3">
      <c r="A1774" s="102" t="s">
        <v>353</v>
      </c>
      <c r="B1774" s="103">
        <v>42717</v>
      </c>
      <c r="C1774" s="102">
        <v>11088.99</v>
      </c>
    </row>
    <row r="1775" spans="1:3">
      <c r="A1775" s="102" t="s">
        <v>353</v>
      </c>
      <c r="B1775" s="103">
        <v>42716</v>
      </c>
      <c r="C1775" s="102">
        <v>11020.15</v>
      </c>
    </row>
    <row r="1776" spans="1:3">
      <c r="A1776" s="102" t="s">
        <v>353</v>
      </c>
      <c r="B1776" s="103">
        <v>42713</v>
      </c>
      <c r="C1776" s="102">
        <v>11142.82</v>
      </c>
    </row>
    <row r="1777" spans="1:3">
      <c r="A1777" s="102" t="s">
        <v>353</v>
      </c>
      <c r="B1777" s="103">
        <v>42712</v>
      </c>
      <c r="C1777" s="102">
        <v>11122.75</v>
      </c>
    </row>
    <row r="1778" spans="1:3">
      <c r="A1778" s="102" t="s">
        <v>353</v>
      </c>
      <c r="B1778" s="103">
        <v>42711</v>
      </c>
      <c r="C1778" s="102">
        <v>10927.43</v>
      </c>
    </row>
    <row r="1779" spans="1:3">
      <c r="A1779" s="102" t="s">
        <v>353</v>
      </c>
      <c r="B1779" s="103">
        <v>42710</v>
      </c>
      <c r="C1779" s="102">
        <v>10982.89</v>
      </c>
    </row>
    <row r="1780" spans="1:3">
      <c r="A1780" s="102" t="s">
        <v>353</v>
      </c>
      <c r="B1780" s="103">
        <v>42709</v>
      </c>
      <c r="C1780" s="102">
        <v>10963.49</v>
      </c>
    </row>
    <row r="1781" spans="1:3">
      <c r="A1781" s="102" t="s">
        <v>353</v>
      </c>
      <c r="B1781" s="103">
        <v>42706</v>
      </c>
      <c r="C1781" s="102">
        <v>10906.86</v>
      </c>
    </row>
    <row r="1782" spans="1:3">
      <c r="A1782" s="102" t="s">
        <v>353</v>
      </c>
      <c r="B1782" s="103">
        <v>42705</v>
      </c>
      <c r="C1782" s="102">
        <v>11050</v>
      </c>
    </row>
    <row r="1783" spans="1:3">
      <c r="A1783" s="102" t="s">
        <v>353</v>
      </c>
      <c r="B1783" s="103">
        <v>42704</v>
      </c>
      <c r="C1783" s="102">
        <v>11092.59</v>
      </c>
    </row>
    <row r="1784" spans="1:3">
      <c r="A1784" s="102" t="s">
        <v>353</v>
      </c>
      <c r="B1784" s="103">
        <v>42703</v>
      </c>
      <c r="C1784" s="102">
        <v>10981.54</v>
      </c>
    </row>
    <row r="1785" spans="1:3">
      <c r="A1785" s="102" t="s">
        <v>353</v>
      </c>
      <c r="B1785" s="103">
        <v>42702</v>
      </c>
      <c r="C1785" s="102">
        <v>10960.97</v>
      </c>
    </row>
    <row r="1786" spans="1:3">
      <c r="A1786" s="102" t="s">
        <v>353</v>
      </c>
      <c r="B1786" s="103">
        <v>42699</v>
      </c>
      <c r="C1786" s="102">
        <v>10943.99</v>
      </c>
    </row>
    <row r="1787" spans="1:3">
      <c r="A1787" s="102" t="s">
        <v>353</v>
      </c>
      <c r="B1787" s="103">
        <v>42698</v>
      </c>
      <c r="C1787" s="102">
        <v>10743.28</v>
      </c>
    </row>
    <row r="1788" spans="1:3">
      <c r="A1788" s="102" t="s">
        <v>353</v>
      </c>
      <c r="B1788" s="103">
        <v>42697</v>
      </c>
      <c r="C1788" s="102">
        <v>10834.59</v>
      </c>
    </row>
    <row r="1789" spans="1:3">
      <c r="A1789" s="102" t="s">
        <v>353</v>
      </c>
      <c r="B1789" s="103">
        <v>42696</v>
      </c>
      <c r="C1789" s="102">
        <v>10792.82</v>
      </c>
    </row>
    <row r="1790" spans="1:3">
      <c r="A1790" s="102" t="s">
        <v>353</v>
      </c>
      <c r="B1790" s="103">
        <v>42695</v>
      </c>
      <c r="C1790" s="102">
        <v>10694.09</v>
      </c>
    </row>
    <row r="1791" spans="1:3">
      <c r="A1791" s="102" t="s">
        <v>353</v>
      </c>
      <c r="B1791" s="103">
        <v>42692</v>
      </c>
      <c r="C1791" s="102">
        <v>10889.64</v>
      </c>
    </row>
    <row r="1792" spans="1:3">
      <c r="A1792" s="102" t="s">
        <v>353</v>
      </c>
      <c r="B1792" s="103">
        <v>42691</v>
      </c>
      <c r="C1792" s="102">
        <v>10897.55</v>
      </c>
    </row>
    <row r="1793" spans="1:3">
      <c r="A1793" s="102" t="s">
        <v>353</v>
      </c>
      <c r="B1793" s="103">
        <v>42690</v>
      </c>
      <c r="C1793" s="102">
        <v>10940.23</v>
      </c>
    </row>
    <row r="1794" spans="1:3">
      <c r="A1794" s="102" t="s">
        <v>353</v>
      </c>
      <c r="B1794" s="103">
        <v>42689</v>
      </c>
      <c r="C1794" s="102">
        <v>10935.99</v>
      </c>
    </row>
    <row r="1795" spans="1:3">
      <c r="A1795" s="102" t="s">
        <v>353</v>
      </c>
      <c r="B1795" s="103">
        <v>42685</v>
      </c>
      <c r="C1795" s="102">
        <v>11189.3</v>
      </c>
    </row>
    <row r="1796" spans="1:3">
      <c r="A1796" s="102" t="s">
        <v>353</v>
      </c>
      <c r="B1796" s="103">
        <v>42684</v>
      </c>
      <c r="C1796" s="102">
        <v>11498.79</v>
      </c>
    </row>
    <row r="1797" spans="1:3">
      <c r="A1797" s="102" t="s">
        <v>353</v>
      </c>
      <c r="B1797" s="103">
        <v>42683</v>
      </c>
      <c r="C1797" s="102">
        <v>11372.35</v>
      </c>
    </row>
    <row r="1798" spans="1:3">
      <c r="A1798" s="102" t="s">
        <v>353</v>
      </c>
      <c r="B1798" s="103">
        <v>42682</v>
      </c>
      <c r="C1798" s="102">
        <v>11522.76</v>
      </c>
    </row>
    <row r="1799" spans="1:3">
      <c r="A1799" s="102" t="s">
        <v>353</v>
      </c>
      <c r="B1799" s="103">
        <v>42681</v>
      </c>
      <c r="C1799" s="102">
        <v>11460.08</v>
      </c>
    </row>
    <row r="1800" spans="1:3">
      <c r="A1800" s="102" t="s">
        <v>353</v>
      </c>
      <c r="B1800" s="103">
        <v>42678</v>
      </c>
      <c r="C1800" s="102">
        <v>11374.71</v>
      </c>
    </row>
    <row r="1801" spans="1:3">
      <c r="A1801" s="102" t="s">
        <v>353</v>
      </c>
      <c r="B1801" s="103">
        <v>42677</v>
      </c>
      <c r="C1801" s="102">
        <v>11443.72</v>
      </c>
    </row>
    <row r="1802" spans="1:3">
      <c r="A1802" s="102" t="s">
        <v>353</v>
      </c>
      <c r="B1802" s="103">
        <v>42676</v>
      </c>
      <c r="C1802" s="102">
        <v>11479.94</v>
      </c>
    </row>
    <row r="1803" spans="1:3">
      <c r="A1803" s="102" t="s">
        <v>353</v>
      </c>
      <c r="B1803" s="103">
        <v>42675</v>
      </c>
      <c r="C1803" s="102">
        <v>11631.33</v>
      </c>
    </row>
    <row r="1804" spans="1:3">
      <c r="A1804" s="102" t="s">
        <v>353</v>
      </c>
      <c r="B1804" s="103">
        <v>42673</v>
      </c>
      <c r="C1804" s="102">
        <v>11628.32</v>
      </c>
    </row>
    <row r="1805" spans="1:3">
      <c r="A1805" s="102" t="s">
        <v>353</v>
      </c>
      <c r="B1805" s="103">
        <v>42671</v>
      </c>
      <c r="C1805" s="102">
        <v>11644.89</v>
      </c>
    </row>
    <row r="1806" spans="1:3">
      <c r="A1806" s="102" t="s">
        <v>353</v>
      </c>
      <c r="B1806" s="103">
        <v>42670</v>
      </c>
      <c r="C1806" s="102">
        <v>11614.18</v>
      </c>
    </row>
    <row r="1807" spans="1:3">
      <c r="A1807" s="102" t="s">
        <v>353</v>
      </c>
      <c r="B1807" s="103">
        <v>42669</v>
      </c>
      <c r="C1807" s="102">
        <v>11612.99</v>
      </c>
    </row>
    <row r="1808" spans="1:3">
      <c r="A1808" s="102" t="s">
        <v>353</v>
      </c>
      <c r="B1808" s="103">
        <v>42668</v>
      </c>
      <c r="C1808" s="102">
        <v>11715.45</v>
      </c>
    </row>
    <row r="1809" spans="1:3">
      <c r="A1809" s="102" t="s">
        <v>353</v>
      </c>
      <c r="B1809" s="103">
        <v>42667</v>
      </c>
      <c r="C1809" s="102">
        <v>11739.24</v>
      </c>
    </row>
    <row r="1810" spans="1:3">
      <c r="A1810" s="102" t="s">
        <v>353</v>
      </c>
      <c r="B1810" s="103">
        <v>42664</v>
      </c>
      <c r="C1810" s="102">
        <v>11716.57</v>
      </c>
    </row>
    <row r="1811" spans="1:3">
      <c r="A1811" s="102" t="s">
        <v>353</v>
      </c>
      <c r="B1811" s="103">
        <v>42663</v>
      </c>
      <c r="C1811" s="102">
        <v>11717.04</v>
      </c>
    </row>
    <row r="1812" spans="1:3">
      <c r="A1812" s="102" t="s">
        <v>353</v>
      </c>
      <c r="B1812" s="103">
        <v>42662</v>
      </c>
      <c r="C1812" s="102">
        <v>11662.81</v>
      </c>
    </row>
    <row r="1813" spans="1:3">
      <c r="A1813" s="102" t="s">
        <v>353</v>
      </c>
      <c r="B1813" s="103">
        <v>42661</v>
      </c>
      <c r="C1813" s="102">
        <v>11688.13</v>
      </c>
    </row>
    <row r="1814" spans="1:3">
      <c r="A1814" s="102" t="s">
        <v>353</v>
      </c>
      <c r="B1814" s="103">
        <v>42660</v>
      </c>
      <c r="C1814" s="102">
        <v>11475.97</v>
      </c>
    </row>
    <row r="1815" spans="1:3">
      <c r="A1815" s="102" t="s">
        <v>353</v>
      </c>
      <c r="B1815" s="103">
        <v>42657</v>
      </c>
      <c r="C1815" s="102">
        <v>11560.81</v>
      </c>
    </row>
    <row r="1816" spans="1:3">
      <c r="A1816" s="102" t="s">
        <v>353</v>
      </c>
      <c r="B1816" s="103">
        <v>42656</v>
      </c>
      <c r="C1816" s="102">
        <v>11547.3</v>
      </c>
    </row>
    <row r="1817" spans="1:3">
      <c r="A1817" s="102" t="s">
        <v>353</v>
      </c>
      <c r="B1817" s="103">
        <v>42653</v>
      </c>
      <c r="C1817" s="102">
        <v>11729.75</v>
      </c>
    </row>
    <row r="1818" spans="1:3">
      <c r="A1818" s="102" t="s">
        <v>353</v>
      </c>
      <c r="B1818" s="103">
        <v>42650</v>
      </c>
      <c r="C1818" s="102">
        <v>11714.65</v>
      </c>
    </row>
    <row r="1819" spans="1:3">
      <c r="A1819" s="102" t="s">
        <v>353</v>
      </c>
      <c r="B1819" s="103">
        <v>42649</v>
      </c>
      <c r="C1819" s="102">
        <v>11730.75</v>
      </c>
    </row>
    <row r="1820" spans="1:3">
      <c r="A1820" s="102" t="s">
        <v>353</v>
      </c>
      <c r="B1820" s="103">
        <v>42648</v>
      </c>
      <c r="C1820" s="102">
        <v>11777.1</v>
      </c>
    </row>
    <row r="1821" spans="1:3">
      <c r="A1821" s="102" t="s">
        <v>353</v>
      </c>
      <c r="B1821" s="103">
        <v>42647</v>
      </c>
      <c r="C1821" s="102">
        <v>11811.04</v>
      </c>
    </row>
    <row r="1822" spans="1:3">
      <c r="A1822" s="102" t="s">
        <v>353</v>
      </c>
      <c r="B1822" s="103">
        <v>42646</v>
      </c>
      <c r="C1822" s="102">
        <v>11769.16</v>
      </c>
    </row>
    <row r="1823" spans="1:3">
      <c r="A1823" s="102" t="s">
        <v>353</v>
      </c>
      <c r="B1823" s="103">
        <v>42643</v>
      </c>
      <c r="C1823" s="102">
        <v>11598.22</v>
      </c>
    </row>
    <row r="1824" spans="1:3">
      <c r="A1824" s="102" t="s">
        <v>353</v>
      </c>
      <c r="B1824" s="103">
        <v>42642</v>
      </c>
      <c r="C1824" s="102">
        <v>11571.4</v>
      </c>
    </row>
    <row r="1825" spans="1:3">
      <c r="A1825" s="102" t="s">
        <v>353</v>
      </c>
      <c r="B1825" s="103">
        <v>42641</v>
      </c>
      <c r="C1825" s="102">
        <v>11778.71</v>
      </c>
    </row>
    <row r="1826" spans="1:3">
      <c r="A1826" s="102" t="s">
        <v>353</v>
      </c>
      <c r="B1826" s="103">
        <v>42640</v>
      </c>
      <c r="C1826" s="102">
        <v>11726.49</v>
      </c>
    </row>
    <row r="1827" spans="1:3">
      <c r="A1827" s="102" t="s">
        <v>353</v>
      </c>
      <c r="B1827" s="103">
        <v>42639</v>
      </c>
      <c r="C1827" s="102">
        <v>11748.91</v>
      </c>
    </row>
    <row r="1828" spans="1:3">
      <c r="A1828" s="102" t="s">
        <v>353</v>
      </c>
      <c r="B1828" s="103">
        <v>42636</v>
      </c>
      <c r="C1828" s="102">
        <v>11895.07</v>
      </c>
    </row>
    <row r="1829" spans="1:3">
      <c r="A1829" s="102" t="s">
        <v>353</v>
      </c>
      <c r="B1829" s="103">
        <v>42635</v>
      </c>
      <c r="C1829" s="102">
        <v>11943.44</v>
      </c>
    </row>
    <row r="1830" spans="1:3">
      <c r="A1830" s="102" t="s">
        <v>353</v>
      </c>
      <c r="B1830" s="103">
        <v>42634</v>
      </c>
      <c r="C1830" s="102">
        <v>11821.52</v>
      </c>
    </row>
    <row r="1831" spans="1:3">
      <c r="A1831" s="102" t="s">
        <v>353</v>
      </c>
      <c r="B1831" s="103">
        <v>42633</v>
      </c>
      <c r="C1831" s="102">
        <v>11819.83</v>
      </c>
    </row>
    <row r="1832" spans="1:3">
      <c r="A1832" s="102" t="s">
        <v>353</v>
      </c>
      <c r="B1832" s="103">
        <v>42632</v>
      </c>
      <c r="C1832" s="102">
        <v>11863.61</v>
      </c>
    </row>
    <row r="1833" spans="1:3">
      <c r="A1833" s="102" t="s">
        <v>353</v>
      </c>
      <c r="B1833" s="103">
        <v>42629</v>
      </c>
      <c r="C1833" s="102">
        <v>11825.12</v>
      </c>
    </row>
    <row r="1834" spans="1:3">
      <c r="A1834" s="102" t="s">
        <v>353</v>
      </c>
      <c r="B1834" s="103">
        <v>42628</v>
      </c>
      <c r="C1834" s="102">
        <v>11774.9</v>
      </c>
    </row>
    <row r="1835" spans="1:3">
      <c r="A1835" s="102" t="s">
        <v>353</v>
      </c>
      <c r="B1835" s="103">
        <v>42627</v>
      </c>
      <c r="C1835" s="102">
        <v>11751.93</v>
      </c>
    </row>
    <row r="1836" spans="1:3">
      <c r="A1836" s="102" t="s">
        <v>353</v>
      </c>
      <c r="B1836" s="103">
        <v>42625</v>
      </c>
      <c r="C1836" s="102">
        <v>11737</v>
      </c>
    </row>
    <row r="1837" spans="1:3">
      <c r="A1837" s="102" t="s">
        <v>353</v>
      </c>
      <c r="B1837" s="103">
        <v>42622</v>
      </c>
      <c r="C1837" s="102">
        <v>11940.12</v>
      </c>
    </row>
    <row r="1838" spans="1:3">
      <c r="A1838" s="102" t="s">
        <v>353</v>
      </c>
      <c r="B1838" s="103">
        <v>42621</v>
      </c>
      <c r="C1838" s="102">
        <v>12055.6</v>
      </c>
    </row>
    <row r="1839" spans="1:3">
      <c r="A1839" s="102" t="s">
        <v>353</v>
      </c>
      <c r="B1839" s="103">
        <v>42620</v>
      </c>
      <c r="C1839" s="102">
        <v>12005.43</v>
      </c>
    </row>
    <row r="1840" spans="1:3">
      <c r="A1840" s="102" t="s">
        <v>353</v>
      </c>
      <c r="B1840" s="103">
        <v>42619</v>
      </c>
      <c r="C1840" s="102">
        <v>12037.72</v>
      </c>
    </row>
    <row r="1841" spans="1:3">
      <c r="A1841" s="102" t="s">
        <v>353</v>
      </c>
      <c r="B1841" s="103">
        <v>42615</v>
      </c>
      <c r="C1841" s="102">
        <v>11857.76</v>
      </c>
    </row>
    <row r="1842" spans="1:3">
      <c r="A1842" s="102" t="s">
        <v>353</v>
      </c>
      <c r="B1842" s="103">
        <v>42614</v>
      </c>
      <c r="C1842" s="102">
        <v>11810.69</v>
      </c>
    </row>
    <row r="1843" spans="1:3">
      <c r="A1843" s="102" t="s">
        <v>353</v>
      </c>
      <c r="B1843" s="103">
        <v>42613</v>
      </c>
      <c r="C1843" s="102">
        <v>11826.19</v>
      </c>
    </row>
    <row r="1844" spans="1:3">
      <c r="A1844" s="102" t="s">
        <v>353</v>
      </c>
      <c r="B1844" s="103">
        <v>42612</v>
      </c>
      <c r="C1844" s="102">
        <v>11766.04</v>
      </c>
    </row>
    <row r="1845" spans="1:3">
      <c r="A1845" s="102" t="s">
        <v>353</v>
      </c>
      <c r="B1845" s="103">
        <v>42611</v>
      </c>
      <c r="C1845" s="102">
        <v>11581.83</v>
      </c>
    </row>
    <row r="1846" spans="1:3">
      <c r="A1846" s="102" t="s">
        <v>353</v>
      </c>
      <c r="B1846" s="103">
        <v>42608</v>
      </c>
      <c r="C1846" s="102">
        <v>11534.92</v>
      </c>
    </row>
    <row r="1847" spans="1:3">
      <c r="A1847" s="102" t="s">
        <v>353</v>
      </c>
      <c r="B1847" s="103">
        <v>42607</v>
      </c>
      <c r="C1847" s="102">
        <v>11561.34</v>
      </c>
    </row>
    <row r="1848" spans="1:3">
      <c r="A1848" s="102" t="s">
        <v>353</v>
      </c>
      <c r="B1848" s="103">
        <v>42606</v>
      </c>
      <c r="C1848" s="102">
        <v>11639.48</v>
      </c>
    </row>
    <row r="1849" spans="1:3">
      <c r="A1849" s="102" t="s">
        <v>353</v>
      </c>
      <c r="B1849" s="103">
        <v>42605</v>
      </c>
      <c r="C1849" s="102">
        <v>11615.7</v>
      </c>
    </row>
    <row r="1850" spans="1:3">
      <c r="A1850" s="102" t="s">
        <v>353</v>
      </c>
      <c r="B1850" s="103">
        <v>42604</v>
      </c>
      <c r="C1850" s="102">
        <v>11611.02</v>
      </c>
    </row>
    <row r="1851" spans="1:3">
      <c r="A1851" s="102" t="s">
        <v>353</v>
      </c>
      <c r="B1851" s="103">
        <v>42601</v>
      </c>
      <c r="C1851" s="102">
        <v>11661.82</v>
      </c>
    </row>
    <row r="1852" spans="1:3">
      <c r="A1852" s="102" t="s">
        <v>353</v>
      </c>
      <c r="B1852" s="103">
        <v>42600</v>
      </c>
      <c r="C1852" s="102">
        <v>11670.37</v>
      </c>
    </row>
    <row r="1853" spans="1:3">
      <c r="A1853" s="102" t="s">
        <v>353</v>
      </c>
      <c r="B1853" s="103">
        <v>42599</v>
      </c>
      <c r="C1853" s="102">
        <v>11598.72</v>
      </c>
    </row>
    <row r="1854" spans="1:3">
      <c r="A1854" s="102" t="s">
        <v>353</v>
      </c>
      <c r="B1854" s="103">
        <v>42598</v>
      </c>
      <c r="C1854" s="102">
        <v>11623.61</v>
      </c>
    </row>
    <row r="1855" spans="1:3">
      <c r="A1855" s="102" t="s">
        <v>353</v>
      </c>
      <c r="B1855" s="103">
        <v>42594</v>
      </c>
      <c r="C1855" s="102">
        <v>11663.43</v>
      </c>
    </row>
    <row r="1856" spans="1:3">
      <c r="A1856" s="102" t="s">
        <v>353</v>
      </c>
      <c r="B1856" s="103">
        <v>42593</v>
      </c>
      <c r="C1856" s="102">
        <v>11555.84</v>
      </c>
    </row>
    <row r="1857" spans="1:3">
      <c r="A1857" s="102" t="s">
        <v>353</v>
      </c>
      <c r="B1857" s="103">
        <v>42592</v>
      </c>
      <c r="C1857" s="102">
        <v>11532.49</v>
      </c>
    </row>
    <row r="1858" spans="1:3">
      <c r="A1858" s="102" t="s">
        <v>353</v>
      </c>
      <c r="B1858" s="103">
        <v>42591</v>
      </c>
      <c r="C1858" s="102">
        <v>11669.7</v>
      </c>
    </row>
    <row r="1859" spans="1:3">
      <c r="A1859" s="102" t="s">
        <v>353</v>
      </c>
      <c r="B1859" s="103">
        <v>42590</v>
      </c>
      <c r="C1859" s="102">
        <v>11713.58</v>
      </c>
    </row>
    <row r="1860" spans="1:3">
      <c r="A1860" s="102" t="s">
        <v>353</v>
      </c>
      <c r="B1860" s="103">
        <v>42587</v>
      </c>
      <c r="C1860" s="102">
        <v>11675.68</v>
      </c>
    </row>
    <row r="1861" spans="1:3">
      <c r="A1861" s="102" t="s">
        <v>353</v>
      </c>
      <c r="B1861" s="103">
        <v>42586</v>
      </c>
      <c r="C1861" s="102">
        <v>11498.13</v>
      </c>
    </row>
    <row r="1862" spans="1:3">
      <c r="A1862" s="102" t="s">
        <v>353</v>
      </c>
      <c r="B1862" s="103">
        <v>42585</v>
      </c>
      <c r="C1862" s="102">
        <v>11489.74</v>
      </c>
    </row>
    <row r="1863" spans="1:3">
      <c r="A1863" s="102" t="s">
        <v>353</v>
      </c>
      <c r="B1863" s="103">
        <v>42584</v>
      </c>
      <c r="C1863" s="102">
        <v>11594.65</v>
      </c>
    </row>
    <row r="1864" spans="1:3">
      <c r="A1864" s="102" t="s">
        <v>353</v>
      </c>
      <c r="B1864" s="103">
        <v>42583</v>
      </c>
      <c r="C1864" s="102">
        <v>11612.19</v>
      </c>
    </row>
    <row r="1865" spans="1:3">
      <c r="A1865" s="102" t="s">
        <v>353</v>
      </c>
      <c r="B1865" s="103">
        <v>42580</v>
      </c>
      <c r="C1865" s="102">
        <v>11614.8</v>
      </c>
    </row>
    <row r="1866" spans="1:3">
      <c r="A1866" s="102" t="s">
        <v>353</v>
      </c>
      <c r="B1866" s="103">
        <v>42579</v>
      </c>
      <c r="C1866" s="102">
        <v>11652.18</v>
      </c>
    </row>
    <row r="1867" spans="1:3">
      <c r="A1867" s="102" t="s">
        <v>353</v>
      </c>
      <c r="B1867" s="103">
        <v>42578</v>
      </c>
      <c r="C1867" s="102">
        <v>11579.64</v>
      </c>
    </row>
    <row r="1868" spans="1:3">
      <c r="A1868" s="102" t="s">
        <v>353</v>
      </c>
      <c r="B1868" s="103">
        <v>42577</v>
      </c>
      <c r="C1868" s="102">
        <v>11545.78</v>
      </c>
    </row>
    <row r="1869" spans="1:3">
      <c r="A1869" s="102" t="s">
        <v>353</v>
      </c>
      <c r="B1869" s="103">
        <v>42576</v>
      </c>
      <c r="C1869" s="102">
        <v>11606.29</v>
      </c>
    </row>
    <row r="1870" spans="1:3">
      <c r="A1870" s="102" t="s">
        <v>353</v>
      </c>
      <c r="B1870" s="103">
        <v>42573</v>
      </c>
      <c r="C1870" s="102">
        <v>11477.47</v>
      </c>
    </row>
    <row r="1871" spans="1:3">
      <c r="A1871" s="102" t="s">
        <v>353</v>
      </c>
      <c r="B1871" s="103">
        <v>42572</v>
      </c>
      <c r="C1871" s="102">
        <v>11435.64</v>
      </c>
    </row>
    <row r="1872" spans="1:3">
      <c r="A1872" s="102" t="s">
        <v>353</v>
      </c>
      <c r="B1872" s="103">
        <v>42571</v>
      </c>
      <c r="C1872" s="102">
        <v>11508.07</v>
      </c>
    </row>
    <row r="1873" spans="1:3">
      <c r="A1873" s="102" t="s">
        <v>353</v>
      </c>
      <c r="B1873" s="103">
        <v>42570</v>
      </c>
      <c r="C1873" s="102">
        <v>11457.95</v>
      </c>
    </row>
    <row r="1874" spans="1:3">
      <c r="A1874" s="102" t="s">
        <v>353</v>
      </c>
      <c r="B1874" s="103">
        <v>42569</v>
      </c>
      <c r="C1874" s="102">
        <v>11431.25</v>
      </c>
    </row>
    <row r="1875" spans="1:3">
      <c r="A1875" s="102" t="s">
        <v>353</v>
      </c>
      <c r="B1875" s="103">
        <v>42566</v>
      </c>
      <c r="C1875" s="102">
        <v>11474.04</v>
      </c>
    </row>
    <row r="1876" spans="1:3">
      <c r="A1876" s="102" t="s">
        <v>353</v>
      </c>
      <c r="B1876" s="103">
        <v>42565</v>
      </c>
      <c r="C1876" s="102">
        <v>11497.65</v>
      </c>
    </row>
    <row r="1877" spans="1:3">
      <c r="A1877" s="102" t="s">
        <v>353</v>
      </c>
      <c r="B1877" s="103">
        <v>42564</v>
      </c>
      <c r="C1877" s="102">
        <v>11436.09</v>
      </c>
    </row>
    <row r="1878" spans="1:3">
      <c r="A1878" s="102" t="s">
        <v>353</v>
      </c>
      <c r="B1878" s="103">
        <v>42563</v>
      </c>
      <c r="C1878" s="102">
        <v>11438.19</v>
      </c>
    </row>
    <row r="1879" spans="1:3">
      <c r="A1879" s="102" t="s">
        <v>353</v>
      </c>
      <c r="B1879" s="103">
        <v>42562</v>
      </c>
      <c r="C1879" s="102">
        <v>11366.82</v>
      </c>
    </row>
    <row r="1880" spans="1:3">
      <c r="A1880" s="102" t="s">
        <v>353</v>
      </c>
      <c r="B1880" s="103">
        <v>42559</v>
      </c>
      <c r="C1880" s="102">
        <v>11172.39</v>
      </c>
    </row>
    <row r="1881" spans="1:3">
      <c r="A1881" s="102" t="s">
        <v>353</v>
      </c>
      <c r="B1881" s="103">
        <v>42558</v>
      </c>
      <c r="C1881" s="102">
        <v>11192.11</v>
      </c>
    </row>
    <row r="1882" spans="1:3">
      <c r="A1882" s="102" t="s">
        <v>353</v>
      </c>
      <c r="B1882" s="103">
        <v>42556</v>
      </c>
      <c r="C1882" s="102">
        <v>11186.41</v>
      </c>
    </row>
    <row r="1883" spans="1:3">
      <c r="A1883" s="102" t="s">
        <v>353</v>
      </c>
      <c r="B1883" s="103">
        <v>42555</v>
      </c>
      <c r="C1883" s="102">
        <v>11233.09</v>
      </c>
    </row>
    <row r="1884" spans="1:3">
      <c r="A1884" s="102" t="s">
        <v>353</v>
      </c>
      <c r="B1884" s="103">
        <v>42552</v>
      </c>
      <c r="C1884" s="102">
        <v>11175.85</v>
      </c>
    </row>
    <row r="1885" spans="1:3">
      <c r="A1885" s="102" t="s">
        <v>353</v>
      </c>
      <c r="B1885" s="103">
        <v>42551</v>
      </c>
      <c r="C1885" s="102">
        <v>11121.39</v>
      </c>
    </row>
    <row r="1886" spans="1:3">
      <c r="A1886" s="102" t="s">
        <v>353</v>
      </c>
      <c r="B1886" s="103">
        <v>42550</v>
      </c>
      <c r="C1886" s="102">
        <v>11009.02</v>
      </c>
    </row>
    <row r="1887" spans="1:3">
      <c r="A1887" s="102" t="s">
        <v>353</v>
      </c>
      <c r="B1887" s="103">
        <v>42549</v>
      </c>
      <c r="C1887" s="102">
        <v>10899.91</v>
      </c>
    </row>
    <row r="1888" spans="1:3">
      <c r="A1888" s="102" t="s">
        <v>353</v>
      </c>
      <c r="B1888" s="103">
        <v>42548</v>
      </c>
      <c r="C1888" s="102">
        <v>10855.5</v>
      </c>
    </row>
    <row r="1889" spans="1:3">
      <c r="A1889" s="102" t="s">
        <v>353</v>
      </c>
      <c r="B1889" s="103">
        <v>42545</v>
      </c>
      <c r="C1889" s="102">
        <v>10847.29</v>
      </c>
    </row>
    <row r="1890" spans="1:3">
      <c r="A1890" s="102" t="s">
        <v>353</v>
      </c>
      <c r="B1890" s="103">
        <v>42544</v>
      </c>
      <c r="C1890" s="102">
        <v>11091.16</v>
      </c>
    </row>
    <row r="1891" spans="1:3">
      <c r="A1891" s="102" t="s">
        <v>353</v>
      </c>
      <c r="B1891" s="103">
        <v>42543</v>
      </c>
      <c r="C1891" s="102">
        <v>11000.82</v>
      </c>
    </row>
    <row r="1892" spans="1:3">
      <c r="A1892" s="102" t="s">
        <v>353</v>
      </c>
      <c r="B1892" s="103">
        <v>42542</v>
      </c>
      <c r="C1892" s="102">
        <v>11020.11</v>
      </c>
    </row>
    <row r="1893" spans="1:3">
      <c r="A1893" s="102" t="s">
        <v>353</v>
      </c>
      <c r="B1893" s="103">
        <v>42541</v>
      </c>
      <c r="C1893" s="102">
        <v>11045.03</v>
      </c>
    </row>
    <row r="1894" spans="1:3">
      <c r="A1894" s="102" t="s">
        <v>353</v>
      </c>
      <c r="B1894" s="103">
        <v>42538</v>
      </c>
      <c r="C1894" s="102">
        <v>10953.44</v>
      </c>
    </row>
    <row r="1895" spans="1:3">
      <c r="A1895" s="102" t="s">
        <v>353</v>
      </c>
      <c r="B1895" s="103">
        <v>42537</v>
      </c>
      <c r="C1895" s="102">
        <v>10913.97</v>
      </c>
    </row>
    <row r="1896" spans="1:3">
      <c r="A1896" s="102" t="s">
        <v>353</v>
      </c>
      <c r="B1896" s="103">
        <v>42536</v>
      </c>
      <c r="C1896" s="102">
        <v>10990.64</v>
      </c>
    </row>
    <row r="1897" spans="1:3">
      <c r="A1897" s="102" t="s">
        <v>353</v>
      </c>
      <c r="B1897" s="103">
        <v>42535</v>
      </c>
      <c r="C1897" s="102">
        <v>10859.76</v>
      </c>
    </row>
    <row r="1898" spans="1:3">
      <c r="A1898" s="102" t="s">
        <v>353</v>
      </c>
      <c r="B1898" s="103">
        <v>42534</v>
      </c>
      <c r="C1898" s="102">
        <v>10862.06</v>
      </c>
    </row>
    <row r="1899" spans="1:3">
      <c r="A1899" s="102" t="s">
        <v>353</v>
      </c>
      <c r="B1899" s="103">
        <v>42531</v>
      </c>
      <c r="C1899" s="102">
        <v>10941.7</v>
      </c>
    </row>
    <row r="1900" spans="1:3">
      <c r="A1900" s="102" t="s">
        <v>353</v>
      </c>
      <c r="B1900" s="103">
        <v>42530</v>
      </c>
      <c r="C1900" s="102">
        <v>10986.64</v>
      </c>
    </row>
    <row r="1901" spans="1:3">
      <c r="A1901" s="102" t="s">
        <v>353</v>
      </c>
      <c r="B1901" s="103">
        <v>42529</v>
      </c>
      <c r="C1901" s="102">
        <v>11068.75</v>
      </c>
    </row>
    <row r="1902" spans="1:3">
      <c r="A1902" s="102" t="s">
        <v>353</v>
      </c>
      <c r="B1902" s="103">
        <v>42528</v>
      </c>
      <c r="C1902" s="102">
        <v>11059.93</v>
      </c>
    </row>
    <row r="1903" spans="1:3">
      <c r="A1903" s="102" t="s">
        <v>353</v>
      </c>
      <c r="B1903" s="103">
        <v>42527</v>
      </c>
      <c r="C1903" s="102">
        <v>10972.45</v>
      </c>
    </row>
    <row r="1904" spans="1:3">
      <c r="A1904" s="102" t="s">
        <v>353</v>
      </c>
      <c r="B1904" s="103">
        <v>42524</v>
      </c>
      <c r="C1904" s="102">
        <v>10992.21</v>
      </c>
    </row>
    <row r="1905" spans="1:3">
      <c r="A1905" s="102" t="s">
        <v>353</v>
      </c>
      <c r="B1905" s="103">
        <v>42523</v>
      </c>
      <c r="C1905" s="102">
        <v>10986.77</v>
      </c>
    </row>
    <row r="1906" spans="1:3">
      <c r="A1906" s="102" t="s">
        <v>353</v>
      </c>
      <c r="B1906" s="103">
        <v>42522</v>
      </c>
      <c r="C1906" s="102">
        <v>10934.62</v>
      </c>
    </row>
    <row r="1907" spans="1:3">
      <c r="A1907" s="102" t="s">
        <v>353</v>
      </c>
      <c r="B1907" s="103">
        <v>42521</v>
      </c>
      <c r="C1907" s="102">
        <v>10908.07</v>
      </c>
    </row>
    <row r="1908" spans="1:3">
      <c r="A1908" s="102" t="s">
        <v>353</v>
      </c>
      <c r="B1908" s="103">
        <v>42520</v>
      </c>
      <c r="C1908" s="102">
        <v>10932.7</v>
      </c>
    </row>
    <row r="1909" spans="1:3">
      <c r="A1909" s="102" t="s">
        <v>353</v>
      </c>
      <c r="B1909" s="103">
        <v>42517</v>
      </c>
      <c r="C1909" s="102">
        <v>10884.88</v>
      </c>
    </row>
    <row r="1910" spans="1:3">
      <c r="A1910" s="102" t="s">
        <v>353</v>
      </c>
      <c r="B1910" s="103">
        <v>42516</v>
      </c>
      <c r="C1910" s="102">
        <v>10768.78</v>
      </c>
    </row>
    <row r="1911" spans="1:3">
      <c r="A1911" s="102" t="s">
        <v>353</v>
      </c>
      <c r="B1911" s="103">
        <v>42515</v>
      </c>
      <c r="C1911" s="102">
        <v>10588.92</v>
      </c>
    </row>
    <row r="1912" spans="1:3">
      <c r="A1912" s="102" t="s">
        <v>353</v>
      </c>
      <c r="B1912" s="103">
        <v>42514</v>
      </c>
      <c r="C1912" s="102">
        <v>10340.65</v>
      </c>
    </row>
    <row r="1913" spans="1:3">
      <c r="A1913" s="102" t="s">
        <v>353</v>
      </c>
      <c r="B1913" s="103">
        <v>42513</v>
      </c>
      <c r="C1913" s="102">
        <v>10316.91</v>
      </c>
    </row>
    <row r="1914" spans="1:3">
      <c r="A1914" s="102" t="s">
        <v>353</v>
      </c>
      <c r="B1914" s="103">
        <v>42510</v>
      </c>
      <c r="C1914" s="102">
        <v>10341.790000000001</v>
      </c>
    </row>
    <row r="1915" spans="1:3">
      <c r="A1915" s="102" t="s">
        <v>353</v>
      </c>
      <c r="B1915" s="103">
        <v>42509</v>
      </c>
      <c r="C1915" s="102">
        <v>10386.75</v>
      </c>
    </row>
    <row r="1916" spans="1:3">
      <c r="A1916" s="102" t="s">
        <v>353</v>
      </c>
      <c r="B1916" s="103">
        <v>42508</v>
      </c>
      <c r="C1916" s="102">
        <v>10502.51</v>
      </c>
    </row>
    <row r="1917" spans="1:3">
      <c r="A1917" s="102" t="s">
        <v>353</v>
      </c>
      <c r="B1917" s="103">
        <v>42507</v>
      </c>
      <c r="C1917" s="102">
        <v>10530.03</v>
      </c>
    </row>
    <row r="1918" spans="1:3">
      <c r="A1918" s="102" t="s">
        <v>353</v>
      </c>
      <c r="B1918" s="103">
        <v>42506</v>
      </c>
      <c r="C1918" s="102">
        <v>10489.97</v>
      </c>
    </row>
    <row r="1919" spans="1:3">
      <c r="A1919" s="102" t="s">
        <v>353</v>
      </c>
      <c r="B1919" s="103">
        <v>42503</v>
      </c>
      <c r="C1919" s="102">
        <v>10428.780000000001</v>
      </c>
    </row>
    <row r="1920" spans="1:3">
      <c r="A1920" s="102" t="s">
        <v>353</v>
      </c>
      <c r="B1920" s="103">
        <v>42502</v>
      </c>
      <c r="C1920" s="102">
        <v>10542.93</v>
      </c>
    </row>
    <row r="1921" spans="1:3">
      <c r="A1921" s="102" t="s">
        <v>353</v>
      </c>
      <c r="B1921" s="103">
        <v>42501</v>
      </c>
      <c r="C1921" s="102">
        <v>10474.1</v>
      </c>
    </row>
    <row r="1922" spans="1:3">
      <c r="A1922" s="102" t="s">
        <v>353</v>
      </c>
      <c r="B1922" s="103">
        <v>42500</v>
      </c>
      <c r="C1922" s="102">
        <v>10526.11</v>
      </c>
    </row>
    <row r="1923" spans="1:3">
      <c r="A1923" s="102" t="s">
        <v>353</v>
      </c>
      <c r="B1923" s="103">
        <v>42499</v>
      </c>
      <c r="C1923" s="102">
        <v>10497.09</v>
      </c>
    </row>
    <row r="1924" spans="1:3">
      <c r="A1924" s="102" t="s">
        <v>353</v>
      </c>
      <c r="B1924" s="103">
        <v>42496</v>
      </c>
      <c r="C1924" s="102">
        <v>10320.120000000001</v>
      </c>
    </row>
    <row r="1925" spans="1:3">
      <c r="A1925" s="102" t="s">
        <v>353</v>
      </c>
      <c r="B1925" s="103">
        <v>42495</v>
      </c>
      <c r="C1925" s="102">
        <v>10322.82</v>
      </c>
    </row>
    <row r="1926" spans="1:3">
      <c r="A1926" s="102" t="s">
        <v>353</v>
      </c>
      <c r="B1926" s="103">
        <v>42494</v>
      </c>
      <c r="C1926" s="102">
        <v>10283.01</v>
      </c>
    </row>
    <row r="1927" spans="1:3">
      <c r="A1927" s="102" t="s">
        <v>353</v>
      </c>
      <c r="B1927" s="103">
        <v>42493</v>
      </c>
      <c r="C1927" s="102">
        <v>10336.969999999999</v>
      </c>
    </row>
    <row r="1928" spans="1:3">
      <c r="A1928" s="102" t="s">
        <v>353</v>
      </c>
      <c r="B1928" s="103">
        <v>42492</v>
      </c>
      <c r="C1928" s="102">
        <v>10415.52</v>
      </c>
    </row>
    <row r="1929" spans="1:3">
      <c r="A1929" s="102" t="s">
        <v>353</v>
      </c>
      <c r="B1929" s="103">
        <v>42489</v>
      </c>
      <c r="C1929" s="102">
        <v>10474.15</v>
      </c>
    </row>
    <row r="1930" spans="1:3">
      <c r="A1930" s="102" t="s">
        <v>353</v>
      </c>
      <c r="B1930" s="103">
        <v>42488</v>
      </c>
      <c r="C1930" s="102">
        <v>10470.709999999999</v>
      </c>
    </row>
    <row r="1931" spans="1:3">
      <c r="A1931" s="102" t="s">
        <v>353</v>
      </c>
      <c r="B1931" s="103">
        <v>42487</v>
      </c>
      <c r="C1931" s="102">
        <v>10647.74</v>
      </c>
    </row>
    <row r="1932" spans="1:3">
      <c r="A1932" s="102" t="s">
        <v>353</v>
      </c>
      <c r="B1932" s="103">
        <v>42486</v>
      </c>
      <c r="C1932" s="102">
        <v>10624.72</v>
      </c>
    </row>
    <row r="1933" spans="1:3">
      <c r="A1933" s="102" t="s">
        <v>353</v>
      </c>
      <c r="B1933" s="103">
        <v>42485</v>
      </c>
      <c r="C1933" s="102">
        <v>10481.120000000001</v>
      </c>
    </row>
    <row r="1934" spans="1:3">
      <c r="A1934" s="102" t="s">
        <v>353</v>
      </c>
      <c r="B1934" s="103">
        <v>42482</v>
      </c>
      <c r="C1934" s="102">
        <v>10540.19</v>
      </c>
    </row>
    <row r="1935" spans="1:3">
      <c r="A1935" s="102" t="s">
        <v>353</v>
      </c>
      <c r="B1935" s="103">
        <v>42481</v>
      </c>
      <c r="C1935" s="102">
        <v>10557.22</v>
      </c>
    </row>
    <row r="1936" spans="1:3">
      <c r="A1936" s="102" t="s">
        <v>353</v>
      </c>
      <c r="B1936" s="103">
        <v>42480</v>
      </c>
      <c r="C1936" s="102">
        <v>10560.79</v>
      </c>
    </row>
    <row r="1937" spans="1:3">
      <c r="A1937" s="102" t="s">
        <v>353</v>
      </c>
      <c r="B1937" s="103">
        <v>42478</v>
      </c>
      <c r="C1937" s="102">
        <v>10560.74</v>
      </c>
    </row>
    <row r="1938" spans="1:3">
      <c r="A1938" s="102" t="s">
        <v>353</v>
      </c>
      <c r="B1938" s="103">
        <v>42473</v>
      </c>
      <c r="C1938" s="102">
        <v>10475.02</v>
      </c>
    </row>
    <row r="1939" spans="1:3">
      <c r="A1939" s="102" t="s">
        <v>353</v>
      </c>
      <c r="B1939" s="103">
        <v>42472</v>
      </c>
      <c r="C1939" s="102">
        <v>10286.18</v>
      </c>
    </row>
    <row r="1940" spans="1:3">
      <c r="A1940" s="102" t="s">
        <v>353</v>
      </c>
      <c r="B1940" s="103">
        <v>42471</v>
      </c>
      <c r="C1940" s="102">
        <v>10236.11</v>
      </c>
    </row>
    <row r="1941" spans="1:3">
      <c r="A1941" s="102" t="s">
        <v>353</v>
      </c>
      <c r="B1941" s="103">
        <v>42468</v>
      </c>
      <c r="C1941" s="102">
        <v>10081.01</v>
      </c>
    </row>
    <row r="1942" spans="1:3">
      <c r="A1942" s="102" t="s">
        <v>353</v>
      </c>
      <c r="B1942" s="103">
        <v>42467</v>
      </c>
      <c r="C1942" s="102">
        <v>10069.36</v>
      </c>
    </row>
    <row r="1943" spans="1:3">
      <c r="A1943" s="102" t="s">
        <v>353</v>
      </c>
      <c r="B1943" s="103">
        <v>42466</v>
      </c>
      <c r="C1943" s="102">
        <v>10159.98</v>
      </c>
    </row>
    <row r="1944" spans="1:3">
      <c r="A1944" s="102" t="s">
        <v>353</v>
      </c>
      <c r="B1944" s="103">
        <v>42465</v>
      </c>
      <c r="C1944" s="102">
        <v>10145.1</v>
      </c>
    </row>
    <row r="1945" spans="1:3">
      <c r="A1945" s="102" t="s">
        <v>353</v>
      </c>
      <c r="B1945" s="103">
        <v>42464</v>
      </c>
      <c r="C1945" s="102">
        <v>10352.69</v>
      </c>
    </row>
    <row r="1946" spans="1:3">
      <c r="A1946" s="102" t="s">
        <v>353</v>
      </c>
      <c r="B1946" s="103">
        <v>42461</v>
      </c>
      <c r="C1946" s="102">
        <v>10291.69</v>
      </c>
    </row>
    <row r="1947" spans="1:3">
      <c r="A1947" s="102" t="s">
        <v>353</v>
      </c>
      <c r="B1947" s="103">
        <v>42460</v>
      </c>
      <c r="C1947" s="102">
        <v>10325.5</v>
      </c>
    </row>
    <row r="1948" spans="1:3">
      <c r="A1948" s="102" t="s">
        <v>353</v>
      </c>
      <c r="B1948" s="103">
        <v>42459</v>
      </c>
      <c r="C1948" s="102">
        <v>10321.200000000001</v>
      </c>
    </row>
    <row r="1949" spans="1:3">
      <c r="A1949" s="102" t="s">
        <v>353</v>
      </c>
      <c r="B1949" s="103">
        <v>42458</v>
      </c>
      <c r="C1949" s="102">
        <v>10135.49</v>
      </c>
    </row>
    <row r="1950" spans="1:3">
      <c r="A1950" s="102" t="s">
        <v>353</v>
      </c>
      <c r="B1950" s="103">
        <v>42457</v>
      </c>
      <c r="C1950" s="102">
        <v>10159.66</v>
      </c>
    </row>
    <row r="1951" spans="1:3">
      <c r="A1951" s="102" t="s">
        <v>353</v>
      </c>
      <c r="B1951" s="103">
        <v>42452</v>
      </c>
      <c r="C1951" s="102">
        <v>10294.93</v>
      </c>
    </row>
    <row r="1952" spans="1:3">
      <c r="A1952" s="102" t="s">
        <v>353</v>
      </c>
      <c r="B1952" s="103">
        <v>42451</v>
      </c>
      <c r="C1952" s="102">
        <v>10292.77</v>
      </c>
    </row>
    <row r="1953" spans="1:3">
      <c r="A1953" s="102" t="s">
        <v>353</v>
      </c>
      <c r="B1953" s="103">
        <v>42450</v>
      </c>
      <c r="C1953" s="102">
        <v>10278.299999999999</v>
      </c>
    </row>
    <row r="1954" spans="1:3">
      <c r="A1954" s="102" t="s">
        <v>353</v>
      </c>
      <c r="B1954" s="103">
        <v>42447</v>
      </c>
      <c r="C1954" s="102">
        <v>10143.6</v>
      </c>
    </row>
    <row r="1955" spans="1:3">
      <c r="A1955" s="102" t="s">
        <v>353</v>
      </c>
      <c r="B1955" s="103">
        <v>42446</v>
      </c>
      <c r="C1955" s="102">
        <v>10021.129999999999</v>
      </c>
    </row>
    <row r="1956" spans="1:3">
      <c r="A1956" s="102" t="s">
        <v>353</v>
      </c>
      <c r="B1956" s="103">
        <v>42445</v>
      </c>
      <c r="C1956" s="102">
        <v>9997.9</v>
      </c>
    </row>
    <row r="1957" spans="1:3">
      <c r="A1957" s="102" t="s">
        <v>353</v>
      </c>
      <c r="B1957" s="103">
        <v>42444</v>
      </c>
      <c r="C1957" s="102">
        <v>9944.76</v>
      </c>
    </row>
    <row r="1958" spans="1:3">
      <c r="A1958" s="102" t="s">
        <v>353</v>
      </c>
      <c r="B1958" s="103">
        <v>42443</v>
      </c>
      <c r="C1958" s="102">
        <v>10048.89</v>
      </c>
    </row>
    <row r="1959" spans="1:3">
      <c r="A1959" s="102" t="s">
        <v>353</v>
      </c>
      <c r="B1959" s="103">
        <v>42440</v>
      </c>
      <c r="C1959" s="102">
        <v>10001.18</v>
      </c>
    </row>
    <row r="1960" spans="1:3">
      <c r="A1960" s="102" t="s">
        <v>353</v>
      </c>
      <c r="B1960" s="103">
        <v>42439</v>
      </c>
      <c r="C1960" s="102">
        <v>9969.15</v>
      </c>
    </row>
    <row r="1961" spans="1:3">
      <c r="A1961" s="102" t="s">
        <v>353</v>
      </c>
      <c r="B1961" s="103">
        <v>42438</v>
      </c>
      <c r="C1961" s="102">
        <v>10029.959999999999</v>
      </c>
    </row>
    <row r="1962" spans="1:3">
      <c r="A1962" s="102" t="s">
        <v>353</v>
      </c>
      <c r="B1962" s="103">
        <v>42437</v>
      </c>
      <c r="C1962" s="102">
        <v>9967.99</v>
      </c>
    </row>
    <row r="1963" spans="1:3">
      <c r="A1963" s="102" t="s">
        <v>353</v>
      </c>
      <c r="B1963" s="103">
        <v>42433</v>
      </c>
      <c r="C1963" s="102">
        <v>9968.09</v>
      </c>
    </row>
    <row r="1964" spans="1:3">
      <c r="A1964" s="102" t="s">
        <v>353</v>
      </c>
      <c r="B1964" s="103">
        <v>42432</v>
      </c>
      <c r="C1964" s="102">
        <v>9955.1</v>
      </c>
    </row>
    <row r="1965" spans="1:3">
      <c r="A1965" s="102" t="s">
        <v>353</v>
      </c>
      <c r="B1965" s="103">
        <v>42431</v>
      </c>
      <c r="C1965" s="102">
        <v>9812.68</v>
      </c>
    </row>
    <row r="1966" spans="1:3">
      <c r="A1966" s="102" t="s">
        <v>353</v>
      </c>
      <c r="B1966" s="103">
        <v>42430</v>
      </c>
      <c r="C1966" s="102">
        <v>9617.51</v>
      </c>
    </row>
    <row r="1967" spans="1:3">
      <c r="A1967" s="102" t="s">
        <v>353</v>
      </c>
      <c r="B1967" s="103">
        <v>42429</v>
      </c>
      <c r="C1967" s="102">
        <v>9304.26</v>
      </c>
    </row>
    <row r="1968" spans="1:3">
      <c r="A1968" s="102" t="s">
        <v>353</v>
      </c>
      <c r="B1968" s="103">
        <v>42426</v>
      </c>
      <c r="C1968" s="102">
        <v>9361.1</v>
      </c>
    </row>
    <row r="1969" spans="1:3">
      <c r="A1969" s="102" t="s">
        <v>353</v>
      </c>
      <c r="B1969" s="103">
        <v>42425</v>
      </c>
      <c r="C1969" s="102">
        <v>9282.3799999999992</v>
      </c>
    </row>
    <row r="1970" spans="1:3">
      <c r="A1970" s="102" t="s">
        <v>353</v>
      </c>
      <c r="B1970" s="103">
        <v>42424</v>
      </c>
      <c r="C1970" s="102">
        <v>9346.39</v>
      </c>
    </row>
    <row r="1971" spans="1:3">
      <c r="A1971" s="102" t="s">
        <v>353</v>
      </c>
      <c r="B1971" s="103">
        <v>42423</v>
      </c>
      <c r="C1971" s="102">
        <v>9467.41</v>
      </c>
    </row>
    <row r="1972" spans="1:3">
      <c r="A1972" s="102" t="s">
        <v>353</v>
      </c>
      <c r="B1972" s="103">
        <v>42422</v>
      </c>
      <c r="C1972" s="102">
        <v>9633.83</v>
      </c>
    </row>
    <row r="1973" spans="1:3">
      <c r="A1973" s="102" t="s">
        <v>353</v>
      </c>
      <c r="B1973" s="103">
        <v>42419</v>
      </c>
      <c r="C1973" s="102">
        <v>9601.77</v>
      </c>
    </row>
    <row r="1974" spans="1:3">
      <c r="A1974" s="102" t="s">
        <v>353</v>
      </c>
      <c r="B1974" s="103">
        <v>42418</v>
      </c>
      <c r="C1974" s="102">
        <v>9576.4599999999991</v>
      </c>
    </row>
    <row r="1975" spans="1:3">
      <c r="A1975" s="102" t="s">
        <v>353</v>
      </c>
      <c r="B1975" s="103">
        <v>42417</v>
      </c>
      <c r="C1975" s="102">
        <v>9465.52</v>
      </c>
    </row>
    <row r="1976" spans="1:3">
      <c r="A1976" s="102" t="s">
        <v>353</v>
      </c>
      <c r="B1976" s="103">
        <v>42416</v>
      </c>
      <c r="C1976" s="102">
        <v>9385.36</v>
      </c>
    </row>
    <row r="1977" spans="1:3">
      <c r="A1977" s="102" t="s">
        <v>353</v>
      </c>
      <c r="B1977" s="103">
        <v>42415</v>
      </c>
      <c r="C1977" s="102">
        <v>9537.74</v>
      </c>
    </row>
    <row r="1978" spans="1:3">
      <c r="A1978" s="102" t="s">
        <v>353</v>
      </c>
      <c r="B1978" s="103">
        <v>42412</v>
      </c>
      <c r="C1978" s="102">
        <v>9295.41</v>
      </c>
    </row>
    <row r="1979" spans="1:3">
      <c r="A1979" s="102" t="s">
        <v>353</v>
      </c>
      <c r="B1979" s="103">
        <v>42411</v>
      </c>
      <c r="C1979" s="102">
        <v>9289.2900000000009</v>
      </c>
    </row>
    <row r="1980" spans="1:3">
      <c r="A1980" s="102" t="s">
        <v>353</v>
      </c>
      <c r="B1980" s="103">
        <v>42410</v>
      </c>
      <c r="C1980" s="102">
        <v>9607.98</v>
      </c>
    </row>
    <row r="1981" spans="1:3">
      <c r="A1981" s="102" t="s">
        <v>353</v>
      </c>
      <c r="B1981" s="103">
        <v>42409</v>
      </c>
      <c r="C1981" s="102">
        <v>9717.8700000000008</v>
      </c>
    </row>
    <row r="1982" spans="1:3">
      <c r="A1982" s="102" t="s">
        <v>353</v>
      </c>
      <c r="B1982" s="103">
        <v>42408</v>
      </c>
      <c r="C1982" s="102">
        <v>9836.41</v>
      </c>
    </row>
    <row r="1983" spans="1:3">
      <c r="A1983" s="102" t="s">
        <v>353</v>
      </c>
      <c r="B1983" s="103">
        <v>42405</v>
      </c>
      <c r="C1983" s="102">
        <v>9972.0499999999993</v>
      </c>
    </row>
    <row r="1984" spans="1:3">
      <c r="A1984" s="102" t="s">
        <v>353</v>
      </c>
      <c r="B1984" s="103">
        <v>42404</v>
      </c>
      <c r="C1984" s="102">
        <v>9857.82</v>
      </c>
    </row>
    <row r="1985" spans="1:3">
      <c r="A1985" s="102" t="s">
        <v>353</v>
      </c>
      <c r="B1985" s="103">
        <v>42403</v>
      </c>
      <c r="C1985" s="102">
        <v>9801.6200000000008</v>
      </c>
    </row>
    <row r="1986" spans="1:3">
      <c r="A1986" s="102" t="s">
        <v>353</v>
      </c>
      <c r="B1986" s="103">
        <v>42402</v>
      </c>
      <c r="C1986" s="102">
        <v>9925.98</v>
      </c>
    </row>
    <row r="1987" spans="1:3">
      <c r="A1987" s="102" t="s">
        <v>353</v>
      </c>
      <c r="B1987" s="103">
        <v>42401</v>
      </c>
      <c r="C1987" s="102">
        <v>10058.69</v>
      </c>
    </row>
    <row r="1988" spans="1:3">
      <c r="A1988" s="102" t="s">
        <v>353</v>
      </c>
      <c r="B1988" s="103">
        <v>42398</v>
      </c>
      <c r="C1988" s="102">
        <v>10068.86</v>
      </c>
    </row>
    <row r="1989" spans="1:3">
      <c r="A1989" s="102" t="s">
        <v>353</v>
      </c>
      <c r="B1989" s="103">
        <v>42397</v>
      </c>
      <c r="C1989" s="102">
        <v>9883.94</v>
      </c>
    </row>
    <row r="1990" spans="1:3">
      <c r="A1990" s="102" t="s">
        <v>353</v>
      </c>
      <c r="B1990" s="103">
        <v>42396</v>
      </c>
      <c r="C1990" s="102">
        <v>9901.35</v>
      </c>
    </row>
    <row r="1991" spans="1:3">
      <c r="A1991" s="102" t="s">
        <v>353</v>
      </c>
      <c r="B1991" s="103">
        <v>42394</v>
      </c>
      <c r="C1991" s="102">
        <v>9898.2800000000007</v>
      </c>
    </row>
    <row r="1992" spans="1:3">
      <c r="A1992" s="102" t="s">
        <v>353</v>
      </c>
      <c r="B1992" s="103">
        <v>42391</v>
      </c>
      <c r="C1992" s="102">
        <v>9879.1299999999992</v>
      </c>
    </row>
    <row r="1993" spans="1:3">
      <c r="A1993" s="102" t="s">
        <v>353</v>
      </c>
      <c r="B1993" s="103">
        <v>42390</v>
      </c>
      <c r="C1993" s="102">
        <v>9685.2900000000009</v>
      </c>
    </row>
    <row r="1994" spans="1:3">
      <c r="A1994" s="102" t="s">
        <v>353</v>
      </c>
      <c r="B1994" s="103">
        <v>42389</v>
      </c>
      <c r="C1994" s="102">
        <v>9727.77</v>
      </c>
    </row>
    <row r="1995" spans="1:3">
      <c r="A1995" s="102" t="s">
        <v>353</v>
      </c>
      <c r="B1995" s="103">
        <v>42388</v>
      </c>
      <c r="C1995" s="102">
        <v>9895.18</v>
      </c>
    </row>
    <row r="1996" spans="1:3">
      <c r="A1996" s="102" t="s">
        <v>353</v>
      </c>
      <c r="B1996" s="103">
        <v>42387</v>
      </c>
      <c r="C1996" s="102">
        <v>9783.26</v>
      </c>
    </row>
    <row r="1997" spans="1:3">
      <c r="A1997" s="102" t="s">
        <v>353</v>
      </c>
      <c r="B1997" s="103">
        <v>42384</v>
      </c>
      <c r="C1997" s="102">
        <v>9898.7999999999993</v>
      </c>
    </row>
    <row r="1998" spans="1:3">
      <c r="A1998" s="102" t="s">
        <v>353</v>
      </c>
      <c r="B1998" s="103">
        <v>42383</v>
      </c>
      <c r="C1998" s="102">
        <v>10030.530000000001</v>
      </c>
    </row>
    <row r="1999" spans="1:3">
      <c r="A1999" s="102" t="s">
        <v>353</v>
      </c>
      <c r="B1999" s="103">
        <v>42382</v>
      </c>
      <c r="C1999" s="102">
        <v>10064.620000000001</v>
      </c>
    </row>
    <row r="2000" spans="1:3">
      <c r="A2000" s="102" t="s">
        <v>353</v>
      </c>
      <c r="B2000" s="103">
        <v>42381</v>
      </c>
      <c r="C2000" s="102">
        <v>9995.25</v>
      </c>
    </row>
    <row r="2001" spans="1:3">
      <c r="A2001" s="102" t="s">
        <v>353</v>
      </c>
      <c r="B2001" s="103">
        <v>42380</v>
      </c>
      <c r="C2001" s="102">
        <v>10066.57</v>
      </c>
    </row>
    <row r="2002" spans="1:3">
      <c r="A2002" s="102" t="s">
        <v>353</v>
      </c>
      <c r="B2002" s="103">
        <v>42377</v>
      </c>
      <c r="C2002" s="102">
        <v>10116.450000000001</v>
      </c>
    </row>
    <row r="2003" spans="1:3">
      <c r="A2003" s="102" t="s">
        <v>353</v>
      </c>
      <c r="B2003" s="103">
        <v>42376</v>
      </c>
      <c r="C2003" s="102">
        <v>10072.450000000001</v>
      </c>
    </row>
    <row r="2004" spans="1:3">
      <c r="A2004" s="102" t="s">
        <v>353</v>
      </c>
      <c r="B2004" s="103">
        <v>42375</v>
      </c>
      <c r="C2004" s="102">
        <v>10302.32</v>
      </c>
    </row>
    <row r="2005" spans="1:3">
      <c r="A2005" s="102" t="s">
        <v>353</v>
      </c>
      <c r="B2005" s="103">
        <v>42374</v>
      </c>
      <c r="C2005" s="102">
        <v>10360.42</v>
      </c>
    </row>
    <row r="2006" spans="1:3">
      <c r="A2006" s="102" t="s">
        <v>353</v>
      </c>
      <c r="B2006" s="103">
        <v>42373</v>
      </c>
      <c r="C2006" s="102">
        <v>10369.24</v>
      </c>
    </row>
    <row r="2007" spans="1:3">
      <c r="A2007" s="102" t="s">
        <v>353</v>
      </c>
      <c r="B2007" s="103">
        <v>42370</v>
      </c>
      <c r="C2007" s="102">
        <v>10598</v>
      </c>
    </row>
    <row r="2008" spans="1:3">
      <c r="A2008" s="102" t="s">
        <v>353</v>
      </c>
      <c r="B2008" s="103">
        <v>42369</v>
      </c>
      <c r="C2008" s="102">
        <v>10575.63</v>
      </c>
    </row>
    <row r="2009" spans="1:3">
      <c r="A2009" s="102" t="s">
        <v>353</v>
      </c>
      <c r="B2009" s="103">
        <v>42368</v>
      </c>
      <c r="C2009" s="102">
        <v>10508.91</v>
      </c>
    </row>
    <row r="2010" spans="1:3">
      <c r="A2010" s="102" t="s">
        <v>353</v>
      </c>
      <c r="B2010" s="103">
        <v>42367</v>
      </c>
      <c r="C2010" s="102">
        <v>10552.46</v>
      </c>
    </row>
    <row r="2011" spans="1:3">
      <c r="A2011" s="102" t="s">
        <v>353</v>
      </c>
      <c r="B2011" s="103">
        <v>42366</v>
      </c>
      <c r="C2011" s="102">
        <v>10547.37</v>
      </c>
    </row>
    <row r="2012" spans="1:3">
      <c r="A2012" s="102" t="s">
        <v>353</v>
      </c>
      <c r="B2012" s="103">
        <v>42362</v>
      </c>
      <c r="C2012" s="102">
        <v>10462.08</v>
      </c>
    </row>
    <row r="2013" spans="1:3">
      <c r="A2013" s="102" t="s">
        <v>353</v>
      </c>
      <c r="B2013" s="103">
        <v>42361</v>
      </c>
      <c r="C2013" s="102">
        <v>10468.61</v>
      </c>
    </row>
    <row r="2014" spans="1:3">
      <c r="A2014" s="102" t="s">
        <v>353</v>
      </c>
      <c r="B2014" s="103">
        <v>42360</v>
      </c>
      <c r="C2014" s="102">
        <v>10362.35</v>
      </c>
    </row>
    <row r="2015" spans="1:3">
      <c r="A2015" s="102" t="s">
        <v>353</v>
      </c>
      <c r="B2015" s="103">
        <v>42359</v>
      </c>
      <c r="C2015" s="102">
        <v>10426.69</v>
      </c>
    </row>
    <row r="2016" spans="1:3">
      <c r="A2016" s="102" t="s">
        <v>353</v>
      </c>
      <c r="B2016" s="103">
        <v>42356</v>
      </c>
      <c r="C2016" s="102">
        <v>10330.16</v>
      </c>
    </row>
    <row r="2017" spans="1:3">
      <c r="A2017" s="102" t="s">
        <v>353</v>
      </c>
      <c r="B2017" s="103">
        <v>42355</v>
      </c>
      <c r="C2017" s="102">
        <v>10439.83</v>
      </c>
    </row>
    <row r="2018" spans="1:3">
      <c r="A2018" s="102" t="s">
        <v>353</v>
      </c>
      <c r="B2018" s="103">
        <v>42354</v>
      </c>
      <c r="C2018" s="102">
        <v>10315.450000000001</v>
      </c>
    </row>
    <row r="2019" spans="1:3">
      <c r="A2019" s="102" t="s">
        <v>353</v>
      </c>
      <c r="B2019" s="103">
        <v>42353</v>
      </c>
      <c r="C2019" s="102">
        <v>10248.91</v>
      </c>
    </row>
    <row r="2020" spans="1:3">
      <c r="A2020" s="102" t="s">
        <v>353</v>
      </c>
      <c r="B2020" s="103">
        <v>42352</v>
      </c>
      <c r="C2020" s="102">
        <v>10181.25</v>
      </c>
    </row>
    <row r="2021" spans="1:3">
      <c r="A2021" s="102" t="s">
        <v>353</v>
      </c>
      <c r="B2021" s="103">
        <v>42349</v>
      </c>
      <c r="C2021" s="102">
        <v>10128.57</v>
      </c>
    </row>
    <row r="2022" spans="1:3">
      <c r="A2022" s="102" t="s">
        <v>353</v>
      </c>
      <c r="B2022" s="103">
        <v>42348</v>
      </c>
      <c r="C2022" s="102">
        <v>10225.540000000001</v>
      </c>
    </row>
    <row r="2023" spans="1:3">
      <c r="A2023" s="102" t="s">
        <v>353</v>
      </c>
      <c r="B2023" s="103">
        <v>42347</v>
      </c>
      <c r="C2023" s="102">
        <v>10131.26</v>
      </c>
    </row>
    <row r="2024" spans="1:3">
      <c r="A2024" s="102" t="s">
        <v>353</v>
      </c>
      <c r="B2024" s="103">
        <v>42346</v>
      </c>
      <c r="C2024" s="102">
        <v>10250.030000000001</v>
      </c>
    </row>
    <row r="2025" spans="1:3">
      <c r="A2025" s="102" t="s">
        <v>353</v>
      </c>
      <c r="B2025" s="103">
        <v>42345</v>
      </c>
      <c r="C2025" s="102">
        <v>10334.77</v>
      </c>
    </row>
    <row r="2026" spans="1:3">
      <c r="A2026" s="102" t="s">
        <v>353</v>
      </c>
      <c r="B2026" s="103">
        <v>42342</v>
      </c>
      <c r="C2026" s="102">
        <v>10356.709999999999</v>
      </c>
    </row>
    <row r="2027" spans="1:3">
      <c r="A2027" s="102" t="s">
        <v>353</v>
      </c>
      <c r="B2027" s="103">
        <v>42341</v>
      </c>
      <c r="C2027" s="102">
        <v>10466.19</v>
      </c>
    </row>
    <row r="2028" spans="1:3">
      <c r="A2028" s="102" t="s">
        <v>353</v>
      </c>
      <c r="B2028" s="103">
        <v>42340</v>
      </c>
      <c r="C2028" s="102">
        <v>10555.62</v>
      </c>
    </row>
    <row r="2029" spans="1:3">
      <c r="A2029" s="102" t="s">
        <v>353</v>
      </c>
      <c r="B2029" s="103">
        <v>42339</v>
      </c>
      <c r="C2029" s="102">
        <v>10586.99</v>
      </c>
    </row>
    <row r="2030" spans="1:3">
      <c r="A2030" s="102" t="s">
        <v>353</v>
      </c>
      <c r="B2030" s="103">
        <v>42338</v>
      </c>
      <c r="C2030" s="102">
        <v>10560.84</v>
      </c>
    </row>
    <row r="2031" spans="1:3">
      <c r="A2031" s="102" t="s">
        <v>353</v>
      </c>
      <c r="B2031" s="103">
        <v>42335</v>
      </c>
      <c r="C2031" s="102">
        <v>10570.76</v>
      </c>
    </row>
    <row r="2032" spans="1:3">
      <c r="A2032" s="102" t="s">
        <v>353</v>
      </c>
      <c r="B2032" s="103">
        <v>42334</v>
      </c>
      <c r="C2032" s="102">
        <v>10492.35</v>
      </c>
    </row>
    <row r="2033" spans="1:3">
      <c r="A2033" s="102" t="s">
        <v>353</v>
      </c>
      <c r="B2033" s="103">
        <v>42332</v>
      </c>
      <c r="C2033" s="102">
        <v>10422.86</v>
      </c>
    </row>
    <row r="2034" spans="1:3">
      <c r="A2034" s="102" t="s">
        <v>353</v>
      </c>
      <c r="B2034" s="103">
        <v>42331</v>
      </c>
      <c r="C2034" s="102">
        <v>10446.4</v>
      </c>
    </row>
    <row r="2035" spans="1:3">
      <c r="A2035" s="102" t="s">
        <v>353</v>
      </c>
      <c r="B2035" s="103">
        <v>42328</v>
      </c>
      <c r="C2035" s="102">
        <v>10456.11</v>
      </c>
    </row>
    <row r="2036" spans="1:3">
      <c r="A2036" s="102" t="s">
        <v>353</v>
      </c>
      <c r="B2036" s="103">
        <v>42327</v>
      </c>
      <c r="C2036" s="102">
        <v>10437.709999999999</v>
      </c>
    </row>
    <row r="2037" spans="1:3">
      <c r="A2037" s="102" t="s">
        <v>353</v>
      </c>
      <c r="B2037" s="103">
        <v>42326</v>
      </c>
      <c r="C2037" s="102">
        <v>10290.030000000001</v>
      </c>
    </row>
    <row r="2038" spans="1:3">
      <c r="A2038" s="102" t="s">
        <v>353</v>
      </c>
      <c r="B2038" s="103">
        <v>42325</v>
      </c>
      <c r="C2038" s="102">
        <v>10430.780000000001</v>
      </c>
    </row>
    <row r="2039" spans="1:3">
      <c r="A2039" s="102" t="s">
        <v>353</v>
      </c>
      <c r="B2039" s="103">
        <v>42324</v>
      </c>
      <c r="C2039" s="102">
        <v>10389.64</v>
      </c>
    </row>
    <row r="2040" spans="1:3">
      <c r="A2040" s="102" t="s">
        <v>353</v>
      </c>
      <c r="B2040" s="103">
        <v>42321</v>
      </c>
      <c r="C2040" s="102">
        <v>10330.6</v>
      </c>
    </row>
    <row r="2041" spans="1:3">
      <c r="A2041" s="102" t="s">
        <v>353</v>
      </c>
      <c r="B2041" s="103">
        <v>42319</v>
      </c>
      <c r="C2041" s="102">
        <v>10414.07</v>
      </c>
    </row>
    <row r="2042" spans="1:3">
      <c r="A2042" s="102" t="s">
        <v>353</v>
      </c>
      <c r="B2042" s="103">
        <v>42318</v>
      </c>
      <c r="C2042" s="102">
        <v>10358.65</v>
      </c>
    </row>
    <row r="2043" spans="1:3">
      <c r="A2043" s="102" t="s">
        <v>353</v>
      </c>
      <c r="B2043" s="103">
        <v>42317</v>
      </c>
      <c r="C2043" s="102">
        <v>10531.91</v>
      </c>
    </row>
    <row r="2044" spans="1:3">
      <c r="A2044" s="102" t="s">
        <v>353</v>
      </c>
      <c r="B2044" s="103">
        <v>42314</v>
      </c>
      <c r="C2044" s="102">
        <v>10583.88</v>
      </c>
    </row>
    <row r="2045" spans="1:3">
      <c r="A2045" s="102" t="s">
        <v>353</v>
      </c>
      <c r="B2045" s="103">
        <v>42313</v>
      </c>
      <c r="C2045" s="102">
        <v>10585.41</v>
      </c>
    </row>
    <row r="2046" spans="1:3">
      <c r="A2046" s="102" t="s">
        <v>353</v>
      </c>
      <c r="B2046" s="103">
        <v>42312</v>
      </c>
      <c r="C2046" s="102">
        <v>10698.19</v>
      </c>
    </row>
    <row r="2047" spans="1:3">
      <c r="A2047" s="102" t="s">
        <v>353</v>
      </c>
      <c r="B2047" s="103">
        <v>42311</v>
      </c>
      <c r="C2047" s="102">
        <v>10725.48</v>
      </c>
    </row>
    <row r="2048" spans="1:3">
      <c r="A2048" s="102" t="s">
        <v>353</v>
      </c>
      <c r="B2048" s="103">
        <v>42310</v>
      </c>
      <c r="C2048" s="102">
        <v>10712.32</v>
      </c>
    </row>
    <row r="2049" spans="1:3">
      <c r="A2049" s="102" t="s">
        <v>353</v>
      </c>
      <c r="B2049" s="103">
        <v>42307</v>
      </c>
      <c r="C2049" s="102">
        <v>10732.25</v>
      </c>
    </row>
    <row r="2050" spans="1:3">
      <c r="A2050" s="102" t="s">
        <v>353</v>
      </c>
      <c r="B2050" s="103">
        <v>42306</v>
      </c>
      <c r="C2050" s="102">
        <v>10792.35</v>
      </c>
    </row>
    <row r="2051" spans="1:3">
      <c r="A2051" s="102" t="s">
        <v>353</v>
      </c>
      <c r="B2051" s="103">
        <v>42305</v>
      </c>
      <c r="C2051" s="102">
        <v>10871.42</v>
      </c>
    </row>
    <row r="2052" spans="1:3">
      <c r="A2052" s="102" t="s">
        <v>353</v>
      </c>
      <c r="B2052" s="103">
        <v>42304</v>
      </c>
      <c r="C2052" s="102">
        <v>10953.26</v>
      </c>
    </row>
    <row r="2053" spans="1:3">
      <c r="A2053" s="102" t="s">
        <v>353</v>
      </c>
      <c r="B2053" s="103">
        <v>42303</v>
      </c>
      <c r="C2053" s="102">
        <v>10990.02</v>
      </c>
    </row>
    <row r="2054" spans="1:3">
      <c r="A2054" s="102" t="s">
        <v>353</v>
      </c>
      <c r="B2054" s="103">
        <v>42300</v>
      </c>
      <c r="C2054" s="102">
        <v>11036.44</v>
      </c>
    </row>
    <row r="2055" spans="1:3">
      <c r="A2055" s="102" t="s">
        <v>353</v>
      </c>
      <c r="B2055" s="103">
        <v>42298</v>
      </c>
      <c r="C2055" s="102">
        <v>10976.65</v>
      </c>
    </row>
    <row r="2056" spans="1:3">
      <c r="A2056" s="102" t="s">
        <v>353</v>
      </c>
      <c r="B2056" s="103">
        <v>42297</v>
      </c>
      <c r="C2056" s="102">
        <v>10989</v>
      </c>
    </row>
    <row r="2057" spans="1:3">
      <c r="A2057" s="102" t="s">
        <v>353</v>
      </c>
      <c r="B2057" s="103">
        <v>42296</v>
      </c>
      <c r="C2057" s="102">
        <v>11006.79</v>
      </c>
    </row>
    <row r="2058" spans="1:3">
      <c r="A2058" s="102" t="s">
        <v>353</v>
      </c>
      <c r="B2058" s="103">
        <v>42293</v>
      </c>
      <c r="C2058" s="102">
        <v>10956.47</v>
      </c>
    </row>
    <row r="2059" spans="1:3">
      <c r="A2059" s="102" t="s">
        <v>353</v>
      </c>
      <c r="B2059" s="103">
        <v>42292</v>
      </c>
      <c r="C2059" s="102">
        <v>10872.82</v>
      </c>
    </row>
    <row r="2060" spans="1:3">
      <c r="A2060" s="102" t="s">
        <v>353</v>
      </c>
      <c r="B2060" s="103">
        <v>42291</v>
      </c>
      <c r="C2060" s="102">
        <v>10777.67</v>
      </c>
    </row>
    <row r="2061" spans="1:3">
      <c r="A2061" s="102" t="s">
        <v>353</v>
      </c>
      <c r="B2061" s="103">
        <v>42290</v>
      </c>
      <c r="C2061" s="102">
        <v>10809.32</v>
      </c>
    </row>
    <row r="2062" spans="1:3">
      <c r="A2062" s="102" t="s">
        <v>353</v>
      </c>
      <c r="B2062" s="103">
        <v>42289</v>
      </c>
      <c r="C2062" s="102">
        <v>10825.14</v>
      </c>
    </row>
    <row r="2063" spans="1:3">
      <c r="A2063" s="102" t="s">
        <v>353</v>
      </c>
      <c r="B2063" s="103">
        <v>42286</v>
      </c>
      <c r="C2063" s="102">
        <v>10886.38</v>
      </c>
    </row>
    <row r="2064" spans="1:3">
      <c r="A2064" s="102" t="s">
        <v>353</v>
      </c>
      <c r="B2064" s="103">
        <v>42285</v>
      </c>
      <c r="C2064" s="102">
        <v>10806.18</v>
      </c>
    </row>
    <row r="2065" spans="1:3">
      <c r="A2065" s="102" t="s">
        <v>353</v>
      </c>
      <c r="B2065" s="103">
        <v>42284</v>
      </c>
      <c r="C2065" s="102">
        <v>10870.04</v>
      </c>
    </row>
    <row r="2066" spans="1:3">
      <c r="A2066" s="102" t="s">
        <v>353</v>
      </c>
      <c r="B2066" s="103">
        <v>42283</v>
      </c>
      <c r="C2066" s="102">
        <v>10837.5</v>
      </c>
    </row>
    <row r="2067" spans="1:3">
      <c r="A2067" s="102" t="s">
        <v>353</v>
      </c>
      <c r="B2067" s="103">
        <v>42282</v>
      </c>
      <c r="C2067" s="102">
        <v>10792.79</v>
      </c>
    </row>
    <row r="2068" spans="1:3">
      <c r="A2068" s="102" t="s">
        <v>353</v>
      </c>
      <c r="B2068" s="103">
        <v>42278</v>
      </c>
      <c r="C2068" s="102">
        <v>10568.94</v>
      </c>
    </row>
    <row r="2069" spans="1:3">
      <c r="A2069" s="102" t="s">
        <v>353</v>
      </c>
      <c r="B2069" s="103">
        <v>42277</v>
      </c>
      <c r="C2069" s="102">
        <v>10566.29</v>
      </c>
    </row>
    <row r="2070" spans="1:3">
      <c r="A2070" s="102" t="s">
        <v>353</v>
      </c>
      <c r="B2070" s="103">
        <v>42276</v>
      </c>
      <c r="C2070" s="102">
        <v>10425.93</v>
      </c>
    </row>
    <row r="2071" spans="1:3">
      <c r="A2071" s="102" t="s">
        <v>353</v>
      </c>
      <c r="B2071" s="103">
        <v>42275</v>
      </c>
      <c r="C2071" s="102">
        <v>10362.68</v>
      </c>
    </row>
    <row r="2072" spans="1:3">
      <c r="A2072" s="102" t="s">
        <v>353</v>
      </c>
      <c r="B2072" s="103">
        <v>42271</v>
      </c>
      <c r="C2072" s="102">
        <v>10459.44</v>
      </c>
    </row>
    <row r="2073" spans="1:3">
      <c r="A2073" s="102" t="s">
        <v>353</v>
      </c>
      <c r="B2073" s="103">
        <v>42270</v>
      </c>
      <c r="C2073" s="102">
        <v>10429.44</v>
      </c>
    </row>
    <row r="2074" spans="1:3">
      <c r="A2074" s="102" t="s">
        <v>353</v>
      </c>
      <c r="B2074" s="103">
        <v>42269</v>
      </c>
      <c r="C2074" s="102">
        <v>10384.35</v>
      </c>
    </row>
    <row r="2075" spans="1:3">
      <c r="A2075" s="102" t="s">
        <v>353</v>
      </c>
      <c r="B2075" s="103">
        <v>42268</v>
      </c>
      <c r="C2075" s="102">
        <v>10603.8</v>
      </c>
    </row>
    <row r="2076" spans="1:3">
      <c r="A2076" s="102" t="s">
        <v>353</v>
      </c>
      <c r="B2076" s="103">
        <v>42265</v>
      </c>
      <c r="C2076" s="102">
        <v>10609.87</v>
      </c>
    </row>
    <row r="2077" spans="1:3">
      <c r="A2077" s="102" t="s">
        <v>353</v>
      </c>
      <c r="B2077" s="103">
        <v>42263</v>
      </c>
      <c r="C2077" s="102">
        <v>10499.73</v>
      </c>
    </row>
    <row r="2078" spans="1:3">
      <c r="A2078" s="102" t="s">
        <v>353</v>
      </c>
      <c r="B2078" s="103">
        <v>42262</v>
      </c>
      <c r="C2078" s="102">
        <v>10406.56</v>
      </c>
    </row>
    <row r="2079" spans="1:3">
      <c r="A2079" s="102" t="s">
        <v>353</v>
      </c>
      <c r="B2079" s="103">
        <v>42261</v>
      </c>
      <c r="C2079" s="102">
        <v>10463.93</v>
      </c>
    </row>
    <row r="2080" spans="1:3">
      <c r="A2080" s="102" t="s">
        <v>353</v>
      </c>
      <c r="B2080" s="103">
        <v>42258</v>
      </c>
      <c r="C2080" s="102">
        <v>10353.540000000001</v>
      </c>
    </row>
    <row r="2081" spans="1:3">
      <c r="A2081" s="102" t="s">
        <v>353</v>
      </c>
      <c r="B2081" s="103">
        <v>42257</v>
      </c>
      <c r="C2081" s="102">
        <v>10351.93</v>
      </c>
    </row>
    <row r="2082" spans="1:3">
      <c r="A2082" s="102" t="s">
        <v>353</v>
      </c>
      <c r="B2082" s="103">
        <v>42256</v>
      </c>
      <c r="C2082" s="102">
        <v>10392.450000000001</v>
      </c>
    </row>
    <row r="2083" spans="1:3">
      <c r="A2083" s="102" t="s">
        <v>353</v>
      </c>
      <c r="B2083" s="103">
        <v>42255</v>
      </c>
      <c r="C2083" s="102">
        <v>10219.209999999999</v>
      </c>
    </row>
    <row r="2084" spans="1:3">
      <c r="A2084" s="102" t="s">
        <v>353</v>
      </c>
      <c r="B2084" s="103">
        <v>42254</v>
      </c>
      <c r="C2084" s="102">
        <v>10047.15</v>
      </c>
    </row>
    <row r="2085" spans="1:3">
      <c r="A2085" s="102" t="s">
        <v>353</v>
      </c>
      <c r="B2085" s="103">
        <v>42251</v>
      </c>
      <c r="C2085" s="102">
        <v>10173.65</v>
      </c>
    </row>
    <row r="2086" spans="1:3">
      <c r="A2086" s="102" t="s">
        <v>353</v>
      </c>
      <c r="B2086" s="103">
        <v>42250</v>
      </c>
      <c r="C2086" s="102">
        <v>10396.83</v>
      </c>
    </row>
    <row r="2087" spans="1:3">
      <c r="A2087" s="102" t="s">
        <v>353</v>
      </c>
      <c r="B2087" s="103">
        <v>42249</v>
      </c>
      <c r="C2087" s="102">
        <v>10254.61</v>
      </c>
    </row>
    <row r="2088" spans="1:3">
      <c r="A2088" s="102" t="s">
        <v>353</v>
      </c>
      <c r="B2088" s="103">
        <v>42248</v>
      </c>
      <c r="C2088" s="102">
        <v>10346.16</v>
      </c>
    </row>
    <row r="2089" spans="1:3">
      <c r="A2089" s="102" t="s">
        <v>353</v>
      </c>
      <c r="B2089" s="103">
        <v>42247</v>
      </c>
      <c r="C2089" s="102">
        <v>10588.8</v>
      </c>
    </row>
    <row r="2090" spans="1:3">
      <c r="A2090" s="102" t="s">
        <v>353</v>
      </c>
      <c r="B2090" s="103">
        <v>42244</v>
      </c>
      <c r="C2090" s="102">
        <v>10629.49</v>
      </c>
    </row>
    <row r="2091" spans="1:3">
      <c r="A2091" s="102" t="s">
        <v>353</v>
      </c>
      <c r="B2091" s="103">
        <v>42243</v>
      </c>
      <c r="C2091" s="102">
        <v>10557.5</v>
      </c>
    </row>
    <row r="2092" spans="1:3">
      <c r="A2092" s="102" t="s">
        <v>353</v>
      </c>
      <c r="B2092" s="103">
        <v>42242</v>
      </c>
      <c r="C2092" s="102">
        <v>10348.4</v>
      </c>
    </row>
    <row r="2093" spans="1:3">
      <c r="A2093" s="102" t="s">
        <v>353</v>
      </c>
      <c r="B2093" s="103">
        <v>42241</v>
      </c>
      <c r="C2093" s="102">
        <v>10465.459999999999</v>
      </c>
    </row>
    <row r="2094" spans="1:3">
      <c r="A2094" s="102" t="s">
        <v>353</v>
      </c>
      <c r="B2094" s="103">
        <v>42240</v>
      </c>
      <c r="C2094" s="102">
        <v>10370.27</v>
      </c>
    </row>
    <row r="2095" spans="1:3">
      <c r="A2095" s="102" t="s">
        <v>353</v>
      </c>
      <c r="B2095" s="103">
        <v>42237</v>
      </c>
      <c r="C2095" s="102">
        <v>11022.22</v>
      </c>
    </row>
    <row r="2096" spans="1:3">
      <c r="A2096" s="102" t="s">
        <v>353</v>
      </c>
      <c r="B2096" s="103">
        <v>42236</v>
      </c>
      <c r="C2096" s="102">
        <v>11118.95</v>
      </c>
    </row>
    <row r="2097" spans="1:3">
      <c r="A2097" s="102" t="s">
        <v>353</v>
      </c>
      <c r="B2097" s="103">
        <v>42235</v>
      </c>
      <c r="C2097" s="102">
        <v>11281.26</v>
      </c>
    </row>
    <row r="2098" spans="1:3">
      <c r="A2098" s="102" t="s">
        <v>353</v>
      </c>
      <c r="B2098" s="103">
        <v>42234</v>
      </c>
      <c r="C2098" s="102">
        <v>11243.28</v>
      </c>
    </row>
    <row r="2099" spans="1:3">
      <c r="A2099" s="102" t="s">
        <v>353</v>
      </c>
      <c r="B2099" s="103">
        <v>42233</v>
      </c>
      <c r="C2099" s="102">
        <v>11257.56</v>
      </c>
    </row>
    <row r="2100" spans="1:3">
      <c r="A2100" s="102" t="s">
        <v>353</v>
      </c>
      <c r="B2100" s="103">
        <v>42230</v>
      </c>
      <c r="C2100" s="102">
        <v>11312.32</v>
      </c>
    </row>
    <row r="2101" spans="1:3">
      <c r="A2101" s="102" t="s">
        <v>353</v>
      </c>
      <c r="B2101" s="103">
        <v>42229</v>
      </c>
      <c r="C2101" s="102">
        <v>11095.98</v>
      </c>
    </row>
    <row r="2102" spans="1:3">
      <c r="A2102" s="102" t="s">
        <v>353</v>
      </c>
      <c r="B2102" s="103">
        <v>42228</v>
      </c>
      <c r="C2102" s="102">
        <v>11086.67</v>
      </c>
    </row>
    <row r="2103" spans="1:3">
      <c r="A2103" s="102" t="s">
        <v>353</v>
      </c>
      <c r="B2103" s="103">
        <v>42227</v>
      </c>
      <c r="C2103" s="102">
        <v>11236.57</v>
      </c>
    </row>
    <row r="2104" spans="1:3">
      <c r="A2104" s="102" t="s">
        <v>353</v>
      </c>
      <c r="B2104" s="103">
        <v>42226</v>
      </c>
      <c r="C2104" s="102">
        <v>11320.25</v>
      </c>
    </row>
    <row r="2105" spans="1:3">
      <c r="A2105" s="102" t="s">
        <v>353</v>
      </c>
      <c r="B2105" s="103">
        <v>42223</v>
      </c>
      <c r="C2105" s="102">
        <v>11372.02</v>
      </c>
    </row>
    <row r="2106" spans="1:3">
      <c r="A2106" s="102" t="s">
        <v>353</v>
      </c>
      <c r="B2106" s="103">
        <v>42222</v>
      </c>
      <c r="C2106" s="102">
        <v>11402.67</v>
      </c>
    </row>
    <row r="2107" spans="1:3">
      <c r="A2107" s="102" t="s">
        <v>353</v>
      </c>
      <c r="B2107" s="103">
        <v>42221</v>
      </c>
      <c r="C2107" s="102">
        <v>11375.18</v>
      </c>
    </row>
    <row r="2108" spans="1:3">
      <c r="A2108" s="102" t="s">
        <v>353</v>
      </c>
      <c r="B2108" s="103">
        <v>42220</v>
      </c>
      <c r="C2108" s="102">
        <v>11307.41</v>
      </c>
    </row>
    <row r="2109" spans="1:3">
      <c r="A2109" s="102" t="s">
        <v>353</v>
      </c>
      <c r="B2109" s="103">
        <v>42219</v>
      </c>
      <c r="C2109" s="102">
        <v>11342.11</v>
      </c>
    </row>
    <row r="2110" spans="1:3">
      <c r="A2110" s="102" t="s">
        <v>353</v>
      </c>
      <c r="B2110" s="103">
        <v>42216</v>
      </c>
      <c r="C2110" s="102">
        <v>11328.56</v>
      </c>
    </row>
    <row r="2111" spans="1:3">
      <c r="A2111" s="102" t="s">
        <v>353</v>
      </c>
      <c r="B2111" s="103">
        <v>42215</v>
      </c>
      <c r="C2111" s="102">
        <v>11180.79</v>
      </c>
    </row>
    <row r="2112" spans="1:3">
      <c r="A2112" s="102" t="s">
        <v>353</v>
      </c>
      <c r="B2112" s="103">
        <v>42214</v>
      </c>
      <c r="C2112" s="102">
        <v>11118.71</v>
      </c>
    </row>
    <row r="2113" spans="1:3">
      <c r="A2113" s="102" t="s">
        <v>353</v>
      </c>
      <c r="B2113" s="103">
        <v>42213</v>
      </c>
      <c r="C2113" s="102">
        <v>11068.18</v>
      </c>
    </row>
    <row r="2114" spans="1:3">
      <c r="A2114" s="102" t="s">
        <v>353</v>
      </c>
      <c r="B2114" s="103">
        <v>42212</v>
      </c>
      <c r="C2114" s="102">
        <v>11100.03</v>
      </c>
    </row>
    <row r="2115" spans="1:3">
      <c r="A2115" s="102" t="s">
        <v>353</v>
      </c>
      <c r="B2115" s="103">
        <v>42209</v>
      </c>
      <c r="C2115" s="102">
        <v>11313.22</v>
      </c>
    </row>
    <row r="2116" spans="1:3">
      <c r="A2116" s="102" t="s">
        <v>353</v>
      </c>
      <c r="B2116" s="103">
        <v>42208</v>
      </c>
      <c r="C2116" s="102">
        <v>11403.83</v>
      </c>
    </row>
    <row r="2117" spans="1:3">
      <c r="A2117" s="102" t="s">
        <v>353</v>
      </c>
      <c r="B2117" s="103">
        <v>42207</v>
      </c>
      <c r="C2117" s="102">
        <v>11459.27</v>
      </c>
    </row>
    <row r="2118" spans="1:3">
      <c r="A2118" s="102" t="s">
        <v>353</v>
      </c>
      <c r="B2118" s="103">
        <v>42206</v>
      </c>
      <c r="C2118" s="102">
        <v>11320.88</v>
      </c>
    </row>
    <row r="2119" spans="1:3">
      <c r="A2119" s="102" t="s">
        <v>353</v>
      </c>
      <c r="B2119" s="103">
        <v>42205</v>
      </c>
      <c r="C2119" s="102">
        <v>11419.13</v>
      </c>
    </row>
    <row r="2120" spans="1:3">
      <c r="A2120" s="102" t="s">
        <v>353</v>
      </c>
      <c r="B2120" s="103">
        <v>42202</v>
      </c>
      <c r="C2120" s="102">
        <v>11424.87</v>
      </c>
    </row>
    <row r="2121" spans="1:3">
      <c r="A2121" s="102" t="s">
        <v>353</v>
      </c>
      <c r="B2121" s="103">
        <v>42201</v>
      </c>
      <c r="C2121" s="102">
        <v>11422.48</v>
      </c>
    </row>
    <row r="2122" spans="1:3">
      <c r="A2122" s="102" t="s">
        <v>353</v>
      </c>
      <c r="B2122" s="103">
        <v>42200</v>
      </c>
      <c r="C2122" s="102">
        <v>11309.1</v>
      </c>
    </row>
    <row r="2123" spans="1:3">
      <c r="A2123" s="102" t="s">
        <v>353</v>
      </c>
      <c r="B2123" s="103">
        <v>42199</v>
      </c>
      <c r="C2123" s="102">
        <v>11210.85</v>
      </c>
    </row>
    <row r="2124" spans="1:3">
      <c r="A2124" s="102" t="s">
        <v>353</v>
      </c>
      <c r="B2124" s="103">
        <v>42198</v>
      </c>
      <c r="C2124" s="102">
        <v>11217.67</v>
      </c>
    </row>
    <row r="2125" spans="1:3">
      <c r="A2125" s="102" t="s">
        <v>353</v>
      </c>
      <c r="B2125" s="103">
        <v>42195</v>
      </c>
      <c r="C2125" s="102">
        <v>11086.29</v>
      </c>
    </row>
    <row r="2126" spans="1:3">
      <c r="A2126" s="102" t="s">
        <v>353</v>
      </c>
      <c r="B2126" s="103">
        <v>42194</v>
      </c>
      <c r="C2126" s="102">
        <v>11043.14</v>
      </c>
    </row>
    <row r="2127" spans="1:3">
      <c r="A2127" s="102" t="s">
        <v>353</v>
      </c>
      <c r="B2127" s="103">
        <v>42193</v>
      </c>
      <c r="C2127" s="102">
        <v>11084.34</v>
      </c>
    </row>
    <row r="2128" spans="1:3">
      <c r="A2128" s="102" t="s">
        <v>353</v>
      </c>
      <c r="B2128" s="103">
        <v>42192</v>
      </c>
      <c r="C2128" s="102">
        <v>11279.56</v>
      </c>
    </row>
    <row r="2129" spans="1:3">
      <c r="A2129" s="102" t="s">
        <v>353</v>
      </c>
      <c r="B2129" s="103">
        <v>42191</v>
      </c>
      <c r="C2129" s="102">
        <v>11294.6</v>
      </c>
    </row>
    <row r="2130" spans="1:3">
      <c r="A2130" s="102" t="s">
        <v>353</v>
      </c>
      <c r="B2130" s="103">
        <v>42188</v>
      </c>
      <c r="C2130" s="102">
        <v>11244.49</v>
      </c>
    </row>
    <row r="2131" spans="1:3">
      <c r="A2131" s="102" t="s">
        <v>353</v>
      </c>
      <c r="B2131" s="103">
        <v>42187</v>
      </c>
      <c r="C2131" s="102">
        <v>11191.5</v>
      </c>
    </row>
    <row r="2132" spans="1:3">
      <c r="A2132" s="102" t="s">
        <v>353</v>
      </c>
      <c r="B2132" s="103">
        <v>42186</v>
      </c>
      <c r="C2132" s="102">
        <v>11197.83</v>
      </c>
    </row>
    <row r="2133" spans="1:3">
      <c r="A2133" s="102" t="s">
        <v>353</v>
      </c>
      <c r="B2133" s="103">
        <v>42185</v>
      </c>
      <c r="C2133" s="102">
        <v>11085.87</v>
      </c>
    </row>
    <row r="2134" spans="1:3">
      <c r="A2134" s="102" t="s">
        <v>353</v>
      </c>
      <c r="B2134" s="103">
        <v>42184</v>
      </c>
      <c r="C2134" s="102">
        <v>11019.47</v>
      </c>
    </row>
    <row r="2135" spans="1:3">
      <c r="A2135" s="102" t="s">
        <v>353</v>
      </c>
      <c r="B2135" s="103">
        <v>42181</v>
      </c>
      <c r="C2135" s="102">
        <v>11102.52</v>
      </c>
    </row>
    <row r="2136" spans="1:3">
      <c r="A2136" s="102" t="s">
        <v>353</v>
      </c>
      <c r="B2136" s="103">
        <v>42180</v>
      </c>
      <c r="C2136" s="102">
        <v>11124.95</v>
      </c>
    </row>
    <row r="2137" spans="1:3">
      <c r="A2137" s="102" t="s">
        <v>353</v>
      </c>
      <c r="B2137" s="103">
        <v>42179</v>
      </c>
      <c r="C2137" s="102">
        <v>11075.71</v>
      </c>
    </row>
    <row r="2138" spans="1:3">
      <c r="A2138" s="102" t="s">
        <v>353</v>
      </c>
      <c r="B2138" s="103">
        <v>42178</v>
      </c>
      <c r="C2138" s="102">
        <v>11102.6</v>
      </c>
    </row>
    <row r="2139" spans="1:3">
      <c r="A2139" s="102" t="s">
        <v>353</v>
      </c>
      <c r="B2139" s="103">
        <v>42177</v>
      </c>
      <c r="C2139" s="102">
        <v>11064.89</v>
      </c>
    </row>
    <row r="2140" spans="1:3">
      <c r="A2140" s="102" t="s">
        <v>353</v>
      </c>
      <c r="B2140" s="103">
        <v>42174</v>
      </c>
      <c r="C2140" s="102">
        <v>10894.44</v>
      </c>
    </row>
    <row r="2141" spans="1:3">
      <c r="A2141" s="102" t="s">
        <v>353</v>
      </c>
      <c r="B2141" s="103">
        <v>42173</v>
      </c>
      <c r="C2141" s="102">
        <v>10825.96</v>
      </c>
    </row>
    <row r="2142" spans="1:3">
      <c r="A2142" s="102" t="s">
        <v>353</v>
      </c>
      <c r="B2142" s="103">
        <v>42172</v>
      </c>
      <c r="C2142" s="102">
        <v>10715.85</v>
      </c>
    </row>
    <row r="2143" spans="1:3">
      <c r="A2143" s="102" t="s">
        <v>353</v>
      </c>
      <c r="B2143" s="103">
        <v>42171</v>
      </c>
      <c r="C2143" s="102">
        <v>10657.23</v>
      </c>
    </row>
    <row r="2144" spans="1:3">
      <c r="A2144" s="102" t="s">
        <v>353</v>
      </c>
      <c r="B2144" s="103">
        <v>42170</v>
      </c>
      <c r="C2144" s="102">
        <v>10612.12</v>
      </c>
    </row>
    <row r="2145" spans="1:3">
      <c r="A2145" s="102" t="s">
        <v>353</v>
      </c>
      <c r="B2145" s="103">
        <v>42167</v>
      </c>
      <c r="C2145" s="102">
        <v>10562.76</v>
      </c>
    </row>
    <row r="2146" spans="1:3">
      <c r="A2146" s="102" t="s">
        <v>353</v>
      </c>
      <c r="B2146" s="103">
        <v>42166</v>
      </c>
      <c r="C2146" s="102">
        <v>10539.53</v>
      </c>
    </row>
    <row r="2147" spans="1:3">
      <c r="A2147" s="102" t="s">
        <v>353</v>
      </c>
      <c r="B2147" s="103">
        <v>42165</v>
      </c>
      <c r="C2147" s="102">
        <v>10750.07</v>
      </c>
    </row>
    <row r="2148" spans="1:3">
      <c r="A2148" s="102" t="s">
        <v>353</v>
      </c>
      <c r="B2148" s="103">
        <v>42164</v>
      </c>
      <c r="C2148" s="102">
        <v>10615.01</v>
      </c>
    </row>
    <row r="2149" spans="1:3">
      <c r="A2149" s="102" t="s">
        <v>353</v>
      </c>
      <c r="B2149" s="103">
        <v>42163</v>
      </c>
      <c r="C2149" s="102">
        <v>10643.82</v>
      </c>
    </row>
    <row r="2150" spans="1:3">
      <c r="A2150" s="102" t="s">
        <v>353</v>
      </c>
      <c r="B2150" s="103">
        <v>42160</v>
      </c>
      <c r="C2150" s="102">
        <v>10737.17</v>
      </c>
    </row>
    <row r="2151" spans="1:3">
      <c r="A2151" s="102" t="s">
        <v>353</v>
      </c>
      <c r="B2151" s="103">
        <v>42159</v>
      </c>
      <c r="C2151" s="102">
        <v>10754.83</v>
      </c>
    </row>
    <row r="2152" spans="1:3">
      <c r="A2152" s="102" t="s">
        <v>353</v>
      </c>
      <c r="B2152" s="103">
        <v>42158</v>
      </c>
      <c r="C2152" s="102">
        <v>10752.52</v>
      </c>
    </row>
    <row r="2153" spans="1:3">
      <c r="A2153" s="102" t="s">
        <v>353</v>
      </c>
      <c r="B2153" s="103">
        <v>42157</v>
      </c>
      <c r="C2153" s="102">
        <v>10876.52</v>
      </c>
    </row>
    <row r="2154" spans="1:3">
      <c r="A2154" s="102" t="s">
        <v>353</v>
      </c>
      <c r="B2154" s="103">
        <v>42156</v>
      </c>
      <c r="C2154" s="102">
        <v>11136.64</v>
      </c>
    </row>
    <row r="2155" spans="1:3">
      <c r="A2155" s="102" t="s">
        <v>353</v>
      </c>
      <c r="B2155" s="103">
        <v>42153</v>
      </c>
      <c r="C2155" s="102">
        <v>11135.85</v>
      </c>
    </row>
    <row r="2156" spans="1:3">
      <c r="A2156" s="102" t="s">
        <v>353</v>
      </c>
      <c r="B2156" s="103">
        <v>42152</v>
      </c>
      <c r="C2156" s="102">
        <v>10984.45</v>
      </c>
    </row>
    <row r="2157" spans="1:3">
      <c r="A2157" s="102" t="s">
        <v>353</v>
      </c>
      <c r="B2157" s="103">
        <v>42151</v>
      </c>
      <c r="C2157" s="102">
        <v>11001.96</v>
      </c>
    </row>
    <row r="2158" spans="1:3">
      <c r="A2158" s="102" t="s">
        <v>353</v>
      </c>
      <c r="B2158" s="103">
        <v>42150</v>
      </c>
      <c r="C2158" s="102">
        <v>11008.25</v>
      </c>
    </row>
    <row r="2159" spans="1:3">
      <c r="A2159" s="102" t="s">
        <v>353</v>
      </c>
      <c r="B2159" s="103">
        <v>42149</v>
      </c>
      <c r="C2159" s="102">
        <v>11049</v>
      </c>
    </row>
    <row r="2160" spans="1:3">
      <c r="A2160" s="102" t="s">
        <v>353</v>
      </c>
      <c r="B2160" s="103">
        <v>42146</v>
      </c>
      <c r="C2160" s="102">
        <v>11166.12</v>
      </c>
    </row>
    <row r="2161" spans="1:3">
      <c r="A2161" s="102" t="s">
        <v>353</v>
      </c>
      <c r="B2161" s="103">
        <v>42145</v>
      </c>
      <c r="C2161" s="102">
        <v>11116</v>
      </c>
    </row>
    <row r="2162" spans="1:3">
      <c r="A2162" s="102" t="s">
        <v>353</v>
      </c>
      <c r="B2162" s="103">
        <v>42144</v>
      </c>
      <c r="C2162" s="102">
        <v>11118.14</v>
      </c>
    </row>
    <row r="2163" spans="1:3">
      <c r="A2163" s="102" t="s">
        <v>353</v>
      </c>
      <c r="B2163" s="103">
        <v>42143</v>
      </c>
      <c r="C2163" s="102">
        <v>11042.12</v>
      </c>
    </row>
    <row r="2164" spans="1:3">
      <c r="A2164" s="102" t="s">
        <v>353</v>
      </c>
      <c r="B2164" s="103">
        <v>42142</v>
      </c>
      <c r="C2164" s="102">
        <v>11052.7</v>
      </c>
    </row>
    <row r="2165" spans="1:3">
      <c r="A2165" s="102" t="s">
        <v>353</v>
      </c>
      <c r="B2165" s="103">
        <v>42139</v>
      </c>
      <c r="C2165" s="102">
        <v>10905.75</v>
      </c>
    </row>
    <row r="2166" spans="1:3">
      <c r="A2166" s="102" t="s">
        <v>353</v>
      </c>
      <c r="B2166" s="103">
        <v>42138</v>
      </c>
      <c r="C2166" s="102">
        <v>10855.42</v>
      </c>
    </row>
    <row r="2167" spans="1:3">
      <c r="A2167" s="102" t="s">
        <v>353</v>
      </c>
      <c r="B2167" s="103">
        <v>42137</v>
      </c>
      <c r="C2167" s="102">
        <v>10870.3</v>
      </c>
    </row>
    <row r="2168" spans="1:3">
      <c r="A2168" s="102" t="s">
        <v>353</v>
      </c>
      <c r="B2168" s="103">
        <v>42136</v>
      </c>
      <c r="C2168" s="102">
        <v>10727.03</v>
      </c>
    </row>
    <row r="2169" spans="1:3">
      <c r="A2169" s="102" t="s">
        <v>353</v>
      </c>
      <c r="B2169" s="103">
        <v>42135</v>
      </c>
      <c r="C2169" s="102">
        <v>10988.82</v>
      </c>
    </row>
    <row r="2170" spans="1:3">
      <c r="A2170" s="102" t="s">
        <v>353</v>
      </c>
      <c r="B2170" s="103">
        <v>42132</v>
      </c>
      <c r="C2170" s="102">
        <v>10812.25</v>
      </c>
    </row>
    <row r="2171" spans="1:3">
      <c r="A2171" s="102" t="s">
        <v>353</v>
      </c>
      <c r="B2171" s="103">
        <v>42131</v>
      </c>
      <c r="C2171" s="102">
        <v>10630.43</v>
      </c>
    </row>
    <row r="2172" spans="1:3">
      <c r="A2172" s="102" t="s">
        <v>353</v>
      </c>
      <c r="B2172" s="103">
        <v>42130</v>
      </c>
      <c r="C2172" s="102">
        <v>10682.81</v>
      </c>
    </row>
    <row r="2173" spans="1:3">
      <c r="A2173" s="102" t="s">
        <v>353</v>
      </c>
      <c r="B2173" s="103">
        <v>42129</v>
      </c>
      <c r="C2173" s="102">
        <v>10983.33</v>
      </c>
    </row>
    <row r="2174" spans="1:3">
      <c r="A2174" s="102" t="s">
        <v>353</v>
      </c>
      <c r="B2174" s="103">
        <v>42128</v>
      </c>
      <c r="C2174" s="102">
        <v>10992.81</v>
      </c>
    </row>
    <row r="2175" spans="1:3">
      <c r="A2175" s="102" t="s">
        <v>353</v>
      </c>
      <c r="B2175" s="103">
        <v>42124</v>
      </c>
      <c r="C2175" s="102">
        <v>10794.27</v>
      </c>
    </row>
    <row r="2176" spans="1:3">
      <c r="A2176" s="102" t="s">
        <v>353</v>
      </c>
      <c r="B2176" s="103">
        <v>42123</v>
      </c>
      <c r="C2176" s="102">
        <v>10871.15</v>
      </c>
    </row>
    <row r="2177" spans="1:3">
      <c r="A2177" s="102" t="s">
        <v>353</v>
      </c>
      <c r="B2177" s="103">
        <v>42122</v>
      </c>
      <c r="C2177" s="102">
        <v>10931.63</v>
      </c>
    </row>
    <row r="2178" spans="1:3">
      <c r="A2178" s="102" t="s">
        <v>353</v>
      </c>
      <c r="B2178" s="103">
        <v>42121</v>
      </c>
      <c r="C2178" s="102">
        <v>10836.88</v>
      </c>
    </row>
    <row r="2179" spans="1:3">
      <c r="A2179" s="102" t="s">
        <v>353</v>
      </c>
      <c r="B2179" s="103">
        <v>42118</v>
      </c>
      <c r="C2179" s="102">
        <v>10957.58</v>
      </c>
    </row>
    <row r="2180" spans="1:3">
      <c r="A2180" s="102" t="s">
        <v>353</v>
      </c>
      <c r="B2180" s="103">
        <v>42117</v>
      </c>
      <c r="C2180" s="102">
        <v>11079.67</v>
      </c>
    </row>
    <row r="2181" spans="1:3">
      <c r="A2181" s="102" t="s">
        <v>353</v>
      </c>
      <c r="B2181" s="103">
        <v>42116</v>
      </c>
      <c r="C2181" s="102">
        <v>11121.12</v>
      </c>
    </row>
    <row r="2182" spans="1:3">
      <c r="A2182" s="102" t="s">
        <v>353</v>
      </c>
      <c r="B2182" s="103">
        <v>42115</v>
      </c>
      <c r="C2182" s="102">
        <v>11052.56</v>
      </c>
    </row>
    <row r="2183" spans="1:3">
      <c r="A2183" s="102" t="s">
        <v>353</v>
      </c>
      <c r="B2183" s="103">
        <v>42114</v>
      </c>
      <c r="C2183" s="102">
        <v>11145.37</v>
      </c>
    </row>
    <row r="2184" spans="1:3">
      <c r="A2184" s="102" t="s">
        <v>353</v>
      </c>
      <c r="B2184" s="103">
        <v>42111</v>
      </c>
      <c r="C2184" s="102">
        <v>11353.68</v>
      </c>
    </row>
    <row r="2185" spans="1:3">
      <c r="A2185" s="102" t="s">
        <v>353</v>
      </c>
      <c r="B2185" s="103">
        <v>42110</v>
      </c>
      <c r="C2185" s="102">
        <v>11486.56</v>
      </c>
    </row>
    <row r="2186" spans="1:3">
      <c r="A2186" s="102" t="s">
        <v>353</v>
      </c>
      <c r="B2186" s="103">
        <v>42109</v>
      </c>
      <c r="C2186" s="102">
        <v>11543.96</v>
      </c>
    </row>
    <row r="2187" spans="1:3">
      <c r="A2187" s="102" t="s">
        <v>353</v>
      </c>
      <c r="B2187" s="103">
        <v>42107</v>
      </c>
      <c r="C2187" s="102">
        <v>11654.49</v>
      </c>
    </row>
    <row r="2188" spans="1:3">
      <c r="A2188" s="102" t="s">
        <v>353</v>
      </c>
      <c r="B2188" s="103">
        <v>42104</v>
      </c>
      <c r="C2188" s="102">
        <v>11583.75</v>
      </c>
    </row>
    <row r="2189" spans="1:3">
      <c r="A2189" s="102" t="s">
        <v>353</v>
      </c>
      <c r="B2189" s="103">
        <v>42103</v>
      </c>
      <c r="C2189" s="102">
        <v>11581.01</v>
      </c>
    </row>
    <row r="2190" spans="1:3">
      <c r="A2190" s="102" t="s">
        <v>353</v>
      </c>
      <c r="B2190" s="103">
        <v>42102</v>
      </c>
      <c r="C2190" s="102">
        <v>11496.74</v>
      </c>
    </row>
    <row r="2191" spans="1:3">
      <c r="A2191" s="102" t="s">
        <v>353</v>
      </c>
      <c r="B2191" s="103">
        <v>42101</v>
      </c>
      <c r="C2191" s="102">
        <v>11425.33</v>
      </c>
    </row>
    <row r="2192" spans="1:3">
      <c r="A2192" s="102" t="s">
        <v>353</v>
      </c>
      <c r="B2192" s="103">
        <v>42100</v>
      </c>
      <c r="C2192" s="102">
        <v>11424.83</v>
      </c>
    </row>
    <row r="2193" spans="1:3">
      <c r="A2193" s="102" t="s">
        <v>353</v>
      </c>
      <c r="B2193" s="103">
        <v>42095</v>
      </c>
      <c r="C2193" s="102">
        <v>11327.63</v>
      </c>
    </row>
    <row r="2194" spans="1:3">
      <c r="A2194" s="102" t="s">
        <v>353</v>
      </c>
      <c r="B2194" s="103">
        <v>42094</v>
      </c>
      <c r="C2194" s="102">
        <v>11201.99</v>
      </c>
    </row>
    <row r="2195" spans="1:3">
      <c r="A2195" s="102" t="s">
        <v>353</v>
      </c>
      <c r="B2195" s="103">
        <v>42093</v>
      </c>
      <c r="C2195" s="102">
        <v>11203.71</v>
      </c>
    </row>
    <row r="2196" spans="1:3">
      <c r="A2196" s="102" t="s">
        <v>353</v>
      </c>
      <c r="B2196" s="103">
        <v>42090</v>
      </c>
      <c r="C2196" s="102">
        <v>11004.63</v>
      </c>
    </row>
    <row r="2197" spans="1:3">
      <c r="A2197" s="102" t="s">
        <v>353</v>
      </c>
      <c r="B2197" s="103">
        <v>42089</v>
      </c>
      <c r="C2197" s="102">
        <v>11005.59</v>
      </c>
    </row>
    <row r="2198" spans="1:3">
      <c r="A2198" s="102" t="s">
        <v>353</v>
      </c>
      <c r="B2198" s="103">
        <v>42088</v>
      </c>
      <c r="C2198" s="102">
        <v>11254.51</v>
      </c>
    </row>
    <row r="2199" spans="1:3">
      <c r="A2199" s="102" t="s">
        <v>353</v>
      </c>
      <c r="B2199" s="103">
        <v>42087</v>
      </c>
      <c r="C2199" s="102">
        <v>11269.62</v>
      </c>
    </row>
    <row r="2200" spans="1:3">
      <c r="A2200" s="102" t="s">
        <v>353</v>
      </c>
      <c r="B2200" s="103">
        <v>42086</v>
      </c>
      <c r="C2200" s="102">
        <v>11277.98</v>
      </c>
    </row>
    <row r="2201" spans="1:3">
      <c r="A2201" s="102" t="s">
        <v>353</v>
      </c>
      <c r="B2201" s="103">
        <v>42083</v>
      </c>
      <c r="C2201" s="102">
        <v>11304.37</v>
      </c>
    </row>
    <row r="2202" spans="1:3">
      <c r="A2202" s="102" t="s">
        <v>353</v>
      </c>
      <c r="B2202" s="103">
        <v>42082</v>
      </c>
      <c r="C2202" s="102">
        <v>11380.91</v>
      </c>
    </row>
    <row r="2203" spans="1:3">
      <c r="A2203" s="102" t="s">
        <v>353</v>
      </c>
      <c r="B2203" s="103">
        <v>42081</v>
      </c>
      <c r="C2203" s="102">
        <v>11448.46</v>
      </c>
    </row>
    <row r="2204" spans="1:3">
      <c r="A2204" s="102" t="s">
        <v>353</v>
      </c>
      <c r="B2204" s="103">
        <v>42080</v>
      </c>
      <c r="C2204" s="102">
        <v>11497.78</v>
      </c>
    </row>
    <row r="2205" spans="1:3">
      <c r="A2205" s="102" t="s">
        <v>353</v>
      </c>
      <c r="B2205" s="103">
        <v>42079</v>
      </c>
      <c r="C2205" s="102">
        <v>11378.97</v>
      </c>
    </row>
    <row r="2206" spans="1:3">
      <c r="A2206" s="102" t="s">
        <v>353</v>
      </c>
      <c r="B2206" s="103">
        <v>42076</v>
      </c>
      <c r="C2206" s="102">
        <v>11398.21</v>
      </c>
    </row>
    <row r="2207" spans="1:3">
      <c r="A2207" s="102" t="s">
        <v>353</v>
      </c>
      <c r="B2207" s="103">
        <v>42075</v>
      </c>
      <c r="C2207" s="102">
        <v>11567.25</v>
      </c>
    </row>
    <row r="2208" spans="1:3">
      <c r="A2208" s="102" t="s">
        <v>353</v>
      </c>
      <c r="B2208" s="103">
        <v>42074</v>
      </c>
      <c r="C2208" s="102">
        <v>11466.5</v>
      </c>
    </row>
    <row r="2209" spans="1:3">
      <c r="A2209" s="102" t="s">
        <v>353</v>
      </c>
      <c r="B2209" s="103">
        <v>42073</v>
      </c>
      <c r="C2209" s="102">
        <v>11482.4</v>
      </c>
    </row>
    <row r="2210" spans="1:3">
      <c r="A2210" s="102" t="s">
        <v>353</v>
      </c>
      <c r="B2210" s="103">
        <v>42072</v>
      </c>
      <c r="C2210" s="102">
        <v>11541.34</v>
      </c>
    </row>
    <row r="2211" spans="1:3">
      <c r="A2211" s="102" t="s">
        <v>353</v>
      </c>
      <c r="B2211" s="103">
        <v>42068</v>
      </c>
      <c r="C2211" s="102">
        <v>11779.43</v>
      </c>
    </row>
    <row r="2212" spans="1:3">
      <c r="A2212" s="102" t="s">
        <v>353</v>
      </c>
      <c r="B2212" s="103">
        <v>42067</v>
      </c>
      <c r="C2212" s="102">
        <v>11759.58</v>
      </c>
    </row>
    <row r="2213" spans="1:3">
      <c r="A2213" s="102" t="s">
        <v>353</v>
      </c>
      <c r="B2213" s="103">
        <v>42066</v>
      </c>
      <c r="C2213" s="102">
        <v>11856.58</v>
      </c>
    </row>
    <row r="2214" spans="1:3">
      <c r="A2214" s="102" t="s">
        <v>353</v>
      </c>
      <c r="B2214" s="103">
        <v>42065</v>
      </c>
      <c r="C2214" s="102">
        <v>11796.73</v>
      </c>
    </row>
    <row r="2215" spans="1:3">
      <c r="A2215" s="102" t="s">
        <v>353</v>
      </c>
      <c r="B2215" s="103">
        <v>42063</v>
      </c>
      <c r="C2215" s="102">
        <v>11723.28</v>
      </c>
    </row>
    <row r="2216" spans="1:3">
      <c r="A2216" s="102" t="s">
        <v>353</v>
      </c>
      <c r="B2216" s="103">
        <v>42062</v>
      </c>
      <c r="C2216" s="102">
        <v>11647.9</v>
      </c>
    </row>
    <row r="2217" spans="1:3">
      <c r="A2217" s="102" t="s">
        <v>353</v>
      </c>
      <c r="B2217" s="103">
        <v>42061</v>
      </c>
      <c r="C2217" s="102">
        <v>11436.2</v>
      </c>
    </row>
    <row r="2218" spans="1:3">
      <c r="A2218" s="102" t="s">
        <v>353</v>
      </c>
      <c r="B2218" s="103">
        <v>42060</v>
      </c>
      <c r="C2218" s="102">
        <v>11546.02</v>
      </c>
    </row>
    <row r="2219" spans="1:3">
      <c r="A2219" s="102" t="s">
        <v>353</v>
      </c>
      <c r="B2219" s="103">
        <v>42059</v>
      </c>
      <c r="C2219" s="102">
        <v>11539.22</v>
      </c>
    </row>
    <row r="2220" spans="1:3">
      <c r="A2220" s="102" t="s">
        <v>353</v>
      </c>
      <c r="B2220" s="103">
        <v>42058</v>
      </c>
      <c r="C2220" s="102">
        <v>11529.79</v>
      </c>
    </row>
    <row r="2221" spans="1:3">
      <c r="A2221" s="102" t="s">
        <v>353</v>
      </c>
      <c r="B2221" s="103">
        <v>42055</v>
      </c>
      <c r="C2221" s="102">
        <v>11633.41</v>
      </c>
    </row>
    <row r="2222" spans="1:3">
      <c r="A2222" s="102" t="s">
        <v>353</v>
      </c>
      <c r="B2222" s="103">
        <v>42054</v>
      </c>
      <c r="C2222" s="102">
        <v>11714.65</v>
      </c>
    </row>
    <row r="2223" spans="1:3">
      <c r="A2223" s="102" t="s">
        <v>353</v>
      </c>
      <c r="B2223" s="103">
        <v>42053</v>
      </c>
      <c r="C2223" s="102">
        <v>11680.18</v>
      </c>
    </row>
    <row r="2224" spans="1:3">
      <c r="A2224" s="102" t="s">
        <v>353</v>
      </c>
      <c r="B2224" s="103">
        <v>42051</v>
      </c>
      <c r="C2224" s="102">
        <v>11600.46</v>
      </c>
    </row>
    <row r="2225" spans="1:3">
      <c r="A2225" s="102" t="s">
        <v>353</v>
      </c>
      <c r="B2225" s="103">
        <v>42048</v>
      </c>
      <c r="C2225" s="102">
        <v>11595.25</v>
      </c>
    </row>
    <row r="2226" spans="1:3">
      <c r="A2226" s="102" t="s">
        <v>353</v>
      </c>
      <c r="B2226" s="103">
        <v>42047</v>
      </c>
      <c r="C2226" s="102">
        <v>11471.52</v>
      </c>
    </row>
    <row r="2227" spans="1:3">
      <c r="A2227" s="102" t="s">
        <v>353</v>
      </c>
      <c r="B2227" s="103">
        <v>42046</v>
      </c>
      <c r="C2227" s="102">
        <v>11360.75</v>
      </c>
    </row>
    <row r="2228" spans="1:3">
      <c r="A2228" s="102" t="s">
        <v>353</v>
      </c>
      <c r="B2228" s="103">
        <v>42045</v>
      </c>
      <c r="C2228" s="102">
        <v>11279.29</v>
      </c>
    </row>
    <row r="2229" spans="1:3">
      <c r="A2229" s="102" t="s">
        <v>353</v>
      </c>
      <c r="B2229" s="103">
        <v>42044</v>
      </c>
      <c r="C2229" s="102">
        <v>11227.7</v>
      </c>
    </row>
    <row r="2230" spans="1:3">
      <c r="A2230" s="102" t="s">
        <v>353</v>
      </c>
      <c r="B2230" s="103">
        <v>42041</v>
      </c>
      <c r="C2230" s="102">
        <v>11405.06</v>
      </c>
    </row>
    <row r="2231" spans="1:3">
      <c r="A2231" s="102" t="s">
        <v>353</v>
      </c>
      <c r="B2231" s="103">
        <v>42040</v>
      </c>
      <c r="C2231" s="102">
        <v>11471.77</v>
      </c>
    </row>
    <row r="2232" spans="1:3">
      <c r="A2232" s="102" t="s">
        <v>353</v>
      </c>
      <c r="B2232" s="103">
        <v>42039</v>
      </c>
      <c r="C2232" s="102">
        <v>11487.57</v>
      </c>
    </row>
    <row r="2233" spans="1:3">
      <c r="A2233" s="102" t="s">
        <v>353</v>
      </c>
      <c r="B2233" s="103">
        <v>42038</v>
      </c>
      <c r="C2233" s="102">
        <v>11529.72</v>
      </c>
    </row>
    <row r="2234" spans="1:3">
      <c r="A2234" s="102" t="s">
        <v>353</v>
      </c>
      <c r="B2234" s="103">
        <v>42037</v>
      </c>
      <c r="C2234" s="102">
        <v>11583.49</v>
      </c>
    </row>
    <row r="2235" spans="1:3">
      <c r="A2235" s="102" t="s">
        <v>353</v>
      </c>
      <c r="B2235" s="103">
        <v>42034</v>
      </c>
      <c r="C2235" s="102">
        <v>11598.64</v>
      </c>
    </row>
    <row r="2236" spans="1:3">
      <c r="A2236" s="102" t="s">
        <v>353</v>
      </c>
      <c r="B2236" s="103">
        <v>42033</v>
      </c>
      <c r="C2236" s="102">
        <v>11787.53</v>
      </c>
    </row>
    <row r="2237" spans="1:3">
      <c r="A2237" s="102" t="s">
        <v>353</v>
      </c>
      <c r="B2237" s="103">
        <v>42032</v>
      </c>
      <c r="C2237" s="102">
        <v>11737.42</v>
      </c>
    </row>
    <row r="2238" spans="1:3">
      <c r="A2238" s="102" t="s">
        <v>353</v>
      </c>
      <c r="B2238" s="103">
        <v>42031</v>
      </c>
      <c r="C2238" s="102">
        <v>11732.39</v>
      </c>
    </row>
    <row r="2239" spans="1:3">
      <c r="A2239" s="102" t="s">
        <v>353</v>
      </c>
      <c r="B2239" s="103">
        <v>42027</v>
      </c>
      <c r="C2239" s="102">
        <v>11633.06</v>
      </c>
    </row>
    <row r="2240" spans="1:3">
      <c r="A2240" s="102" t="s">
        <v>353</v>
      </c>
      <c r="B2240" s="103">
        <v>42026</v>
      </c>
      <c r="C2240" s="102">
        <v>11535.32</v>
      </c>
    </row>
    <row r="2241" spans="1:3">
      <c r="A2241" s="102" t="s">
        <v>353</v>
      </c>
      <c r="B2241" s="103">
        <v>42025</v>
      </c>
      <c r="C2241" s="102">
        <v>11492.4</v>
      </c>
    </row>
    <row r="2242" spans="1:3">
      <c r="A2242" s="102" t="s">
        <v>353</v>
      </c>
      <c r="B2242" s="103">
        <v>42024</v>
      </c>
      <c r="C2242" s="102">
        <v>11447.77</v>
      </c>
    </row>
    <row r="2243" spans="1:3">
      <c r="A2243" s="102" t="s">
        <v>353</v>
      </c>
      <c r="B2243" s="103">
        <v>42023</v>
      </c>
      <c r="C2243" s="102">
        <v>11257.01</v>
      </c>
    </row>
    <row r="2244" spans="1:3">
      <c r="A2244" s="102" t="s">
        <v>353</v>
      </c>
      <c r="B2244" s="103">
        <v>42020</v>
      </c>
      <c r="C2244" s="102">
        <v>11208.42</v>
      </c>
    </row>
    <row r="2245" spans="1:3">
      <c r="A2245" s="102" t="s">
        <v>353</v>
      </c>
      <c r="B2245" s="103">
        <v>42019</v>
      </c>
      <c r="C2245" s="102">
        <v>11182.52</v>
      </c>
    </row>
    <row r="2246" spans="1:3">
      <c r="A2246" s="102" t="s">
        <v>353</v>
      </c>
      <c r="B2246" s="103">
        <v>42018</v>
      </c>
      <c r="C2246" s="102">
        <v>10897.36</v>
      </c>
    </row>
    <row r="2247" spans="1:3">
      <c r="A2247" s="102" t="s">
        <v>353</v>
      </c>
      <c r="B2247" s="103">
        <v>42017</v>
      </c>
      <c r="C2247" s="102">
        <v>10926.16</v>
      </c>
    </row>
    <row r="2248" spans="1:3">
      <c r="A2248" s="102" t="s">
        <v>353</v>
      </c>
      <c r="B2248" s="103">
        <v>42016</v>
      </c>
      <c r="C2248" s="102">
        <v>10957.22</v>
      </c>
    </row>
    <row r="2249" spans="1:3">
      <c r="A2249" s="102" t="s">
        <v>353</v>
      </c>
      <c r="B2249" s="103">
        <v>42013</v>
      </c>
      <c r="C2249" s="102">
        <v>10906.56</v>
      </c>
    </row>
    <row r="2250" spans="1:3">
      <c r="A2250" s="102" t="s">
        <v>353</v>
      </c>
      <c r="B2250" s="103">
        <v>42012</v>
      </c>
      <c r="C2250" s="102">
        <v>10840.84</v>
      </c>
    </row>
    <row r="2251" spans="1:3">
      <c r="A2251" s="102" t="s">
        <v>353</v>
      </c>
      <c r="B2251" s="103">
        <v>42011</v>
      </c>
      <c r="C2251" s="102">
        <v>10666.38</v>
      </c>
    </row>
    <row r="2252" spans="1:3">
      <c r="A2252" s="102" t="s">
        <v>353</v>
      </c>
      <c r="B2252" s="103">
        <v>42010</v>
      </c>
      <c r="C2252" s="102">
        <v>10699.62</v>
      </c>
    </row>
    <row r="2253" spans="1:3">
      <c r="A2253" s="102" t="s">
        <v>353</v>
      </c>
      <c r="B2253" s="103">
        <v>42009</v>
      </c>
      <c r="C2253" s="102">
        <v>11030.18</v>
      </c>
    </row>
    <row r="2254" spans="1:3">
      <c r="A2254" s="102" t="s">
        <v>353</v>
      </c>
      <c r="B2254" s="103">
        <v>42006</v>
      </c>
      <c r="C2254" s="102">
        <v>11052.57</v>
      </c>
    </row>
    <row r="2255" spans="1:3">
      <c r="A2255" s="102" t="s">
        <v>353</v>
      </c>
      <c r="B2255" s="103">
        <v>42005</v>
      </c>
      <c r="C2255" s="102">
        <v>10905.87</v>
      </c>
    </row>
    <row r="2256" spans="1:3">
      <c r="A2256" s="102" t="s">
        <v>353</v>
      </c>
      <c r="B2256" s="103">
        <v>42004</v>
      </c>
      <c r="C2256" s="102">
        <v>10904.18</v>
      </c>
    </row>
    <row r="2257" spans="1:3">
      <c r="A2257" s="102" t="s">
        <v>353</v>
      </c>
      <c r="B2257" s="103">
        <v>42003</v>
      </c>
      <c r="C2257" s="102">
        <v>10858.82</v>
      </c>
    </row>
    <row r="2258" spans="1:3">
      <c r="A2258" s="102" t="s">
        <v>353</v>
      </c>
      <c r="B2258" s="103">
        <v>42002</v>
      </c>
      <c r="C2258" s="102">
        <v>10856.23</v>
      </c>
    </row>
    <row r="2259" spans="1:3">
      <c r="A2259" s="102" t="s">
        <v>353</v>
      </c>
      <c r="B2259" s="103">
        <v>41999</v>
      </c>
      <c r="C2259" s="102">
        <v>10796.22</v>
      </c>
    </row>
    <row r="2260" spans="1:3">
      <c r="A2260" s="102" t="s">
        <v>353</v>
      </c>
      <c r="B2260" s="103">
        <v>41997</v>
      </c>
      <c r="C2260" s="102">
        <v>10761.16</v>
      </c>
    </row>
    <row r="2261" spans="1:3">
      <c r="A2261" s="102" t="s">
        <v>353</v>
      </c>
      <c r="B2261" s="103">
        <v>41996</v>
      </c>
      <c r="C2261" s="102">
        <v>10883.52</v>
      </c>
    </row>
    <row r="2262" spans="1:3">
      <c r="A2262" s="102" t="s">
        <v>353</v>
      </c>
      <c r="B2262" s="103">
        <v>41995</v>
      </c>
      <c r="C2262" s="102">
        <v>10958.56</v>
      </c>
    </row>
    <row r="2263" spans="1:3">
      <c r="A2263" s="102" t="s">
        <v>353</v>
      </c>
      <c r="B2263" s="103">
        <v>41992</v>
      </c>
      <c r="C2263" s="102">
        <v>10828.45</v>
      </c>
    </row>
    <row r="2264" spans="1:3">
      <c r="A2264" s="102" t="s">
        <v>353</v>
      </c>
      <c r="B2264" s="103">
        <v>41991</v>
      </c>
      <c r="C2264" s="102">
        <v>10741.73</v>
      </c>
    </row>
    <row r="2265" spans="1:3">
      <c r="A2265" s="102" t="s">
        <v>353</v>
      </c>
      <c r="B2265" s="103">
        <v>41990</v>
      </c>
      <c r="C2265" s="102">
        <v>10571.25</v>
      </c>
    </row>
    <row r="2266" spans="1:3">
      <c r="A2266" s="102" t="s">
        <v>353</v>
      </c>
      <c r="B2266" s="103">
        <v>41989</v>
      </c>
      <c r="C2266" s="102">
        <v>10620.96</v>
      </c>
    </row>
    <row r="2267" spans="1:3">
      <c r="A2267" s="102" t="s">
        <v>353</v>
      </c>
      <c r="B2267" s="103">
        <v>41988</v>
      </c>
      <c r="C2267" s="102">
        <v>10818.45</v>
      </c>
    </row>
    <row r="2268" spans="1:3">
      <c r="A2268" s="102" t="s">
        <v>353</v>
      </c>
      <c r="B2268" s="103">
        <v>41985</v>
      </c>
      <c r="C2268" s="102">
        <v>10824.36</v>
      </c>
    </row>
    <row r="2269" spans="1:3">
      <c r="A2269" s="102" t="s">
        <v>353</v>
      </c>
      <c r="B2269" s="103">
        <v>41984</v>
      </c>
      <c r="C2269" s="102">
        <v>10914.91</v>
      </c>
    </row>
    <row r="2270" spans="1:3">
      <c r="A2270" s="102" t="s">
        <v>353</v>
      </c>
      <c r="B2270" s="103">
        <v>41983</v>
      </c>
      <c r="C2270" s="102">
        <v>10997.53</v>
      </c>
    </row>
    <row r="2271" spans="1:3">
      <c r="A2271" s="102" t="s">
        <v>353</v>
      </c>
      <c r="B2271" s="103">
        <v>41982</v>
      </c>
      <c r="C2271" s="102">
        <v>10977.83</v>
      </c>
    </row>
    <row r="2272" spans="1:3">
      <c r="A2272" s="102" t="s">
        <v>353</v>
      </c>
      <c r="B2272" s="103">
        <v>41981</v>
      </c>
      <c r="C2272" s="102">
        <v>11106.22</v>
      </c>
    </row>
    <row r="2273" spans="1:3">
      <c r="A2273" s="102" t="s">
        <v>353</v>
      </c>
      <c r="B2273" s="103">
        <v>41978</v>
      </c>
      <c r="C2273" s="102">
        <v>11237.89</v>
      </c>
    </row>
    <row r="2274" spans="1:3">
      <c r="A2274" s="102" t="s">
        <v>353</v>
      </c>
      <c r="B2274" s="103">
        <v>41977</v>
      </c>
      <c r="C2274" s="102">
        <v>11272.28</v>
      </c>
    </row>
    <row r="2275" spans="1:3">
      <c r="A2275" s="102" t="s">
        <v>353</v>
      </c>
      <c r="B2275" s="103">
        <v>41976</v>
      </c>
      <c r="C2275" s="102">
        <v>11237.05</v>
      </c>
    </row>
    <row r="2276" spans="1:3">
      <c r="A2276" s="102" t="s">
        <v>353</v>
      </c>
      <c r="B2276" s="103">
        <v>41975</v>
      </c>
      <c r="C2276" s="102">
        <v>11219.98</v>
      </c>
    </row>
    <row r="2277" spans="1:3">
      <c r="A2277" s="102" t="s">
        <v>353</v>
      </c>
      <c r="B2277" s="103">
        <v>41974</v>
      </c>
      <c r="C2277" s="102">
        <v>11261.08</v>
      </c>
    </row>
    <row r="2278" spans="1:3">
      <c r="A2278" s="102" t="s">
        <v>353</v>
      </c>
      <c r="B2278" s="103">
        <v>41971</v>
      </c>
      <c r="C2278" s="102">
        <v>11303.65</v>
      </c>
    </row>
    <row r="2279" spans="1:3">
      <c r="A2279" s="102" t="s">
        <v>353</v>
      </c>
      <c r="B2279" s="103">
        <v>41970</v>
      </c>
      <c r="C2279" s="102">
        <v>11179.89</v>
      </c>
    </row>
    <row r="2280" spans="1:3">
      <c r="A2280" s="102" t="s">
        <v>353</v>
      </c>
      <c r="B2280" s="103">
        <v>41969</v>
      </c>
      <c r="C2280" s="102">
        <v>11155.59</v>
      </c>
    </row>
    <row r="2281" spans="1:3">
      <c r="A2281" s="102" t="s">
        <v>353</v>
      </c>
      <c r="B2281" s="103">
        <v>41968</v>
      </c>
      <c r="C2281" s="102">
        <v>11138.95</v>
      </c>
    </row>
    <row r="2282" spans="1:3">
      <c r="A2282" s="102" t="s">
        <v>353</v>
      </c>
      <c r="B2282" s="103">
        <v>41967</v>
      </c>
      <c r="C2282" s="102">
        <v>11227.19</v>
      </c>
    </row>
    <row r="2283" spans="1:3">
      <c r="A2283" s="102" t="s">
        <v>353</v>
      </c>
      <c r="B2283" s="103">
        <v>41964</v>
      </c>
      <c r="C2283" s="102">
        <v>11157.68</v>
      </c>
    </row>
    <row r="2284" spans="1:3">
      <c r="A2284" s="102" t="s">
        <v>353</v>
      </c>
      <c r="B2284" s="103">
        <v>41963</v>
      </c>
      <c r="C2284" s="102">
        <v>11058.39</v>
      </c>
    </row>
    <row r="2285" spans="1:3">
      <c r="A2285" s="102" t="s">
        <v>353</v>
      </c>
      <c r="B2285" s="103">
        <v>41962</v>
      </c>
      <c r="C2285" s="102">
        <v>11032.59</v>
      </c>
    </row>
    <row r="2286" spans="1:3">
      <c r="A2286" s="102" t="s">
        <v>353</v>
      </c>
      <c r="B2286" s="103">
        <v>41961</v>
      </c>
      <c r="C2286" s="102">
        <v>11089.98</v>
      </c>
    </row>
    <row r="2287" spans="1:3">
      <c r="A2287" s="102" t="s">
        <v>353</v>
      </c>
      <c r="B2287" s="103">
        <v>41960</v>
      </c>
      <c r="C2287" s="102">
        <v>11096.32</v>
      </c>
    </row>
    <row r="2288" spans="1:3">
      <c r="A2288" s="102" t="s">
        <v>353</v>
      </c>
      <c r="B2288" s="103">
        <v>41957</v>
      </c>
      <c r="C2288" s="102">
        <v>11042.61</v>
      </c>
    </row>
    <row r="2289" spans="1:3">
      <c r="A2289" s="102" t="s">
        <v>353</v>
      </c>
      <c r="B2289" s="103">
        <v>41956</v>
      </c>
      <c r="C2289" s="102">
        <v>11000.37</v>
      </c>
    </row>
    <row r="2290" spans="1:3">
      <c r="A2290" s="102" t="s">
        <v>353</v>
      </c>
      <c r="B2290" s="103">
        <v>41955</v>
      </c>
      <c r="C2290" s="102">
        <v>11033.19</v>
      </c>
    </row>
    <row r="2291" spans="1:3">
      <c r="A2291" s="102" t="s">
        <v>353</v>
      </c>
      <c r="B2291" s="103">
        <v>41954</v>
      </c>
      <c r="C2291" s="102">
        <v>11006.04</v>
      </c>
    </row>
    <row r="2292" spans="1:3">
      <c r="A2292" s="102" t="s">
        <v>353</v>
      </c>
      <c r="B2292" s="103">
        <v>41953</v>
      </c>
      <c r="C2292" s="102">
        <v>10981.77</v>
      </c>
    </row>
    <row r="2293" spans="1:3">
      <c r="A2293" s="102" t="s">
        <v>353</v>
      </c>
      <c r="B2293" s="103">
        <v>41950</v>
      </c>
      <c r="C2293" s="102">
        <v>10972.24</v>
      </c>
    </row>
    <row r="2294" spans="1:3">
      <c r="A2294" s="102" t="s">
        <v>353</v>
      </c>
      <c r="B2294" s="103">
        <v>41948</v>
      </c>
      <c r="C2294" s="102">
        <v>10973.95</v>
      </c>
    </row>
    <row r="2295" spans="1:3">
      <c r="A2295" s="102" t="s">
        <v>353</v>
      </c>
      <c r="B2295" s="103">
        <v>41946</v>
      </c>
      <c r="C2295" s="102">
        <v>10955.32</v>
      </c>
    </row>
    <row r="2296" spans="1:3">
      <c r="A2296" s="102" t="s">
        <v>353</v>
      </c>
      <c r="B2296" s="103">
        <v>41943</v>
      </c>
      <c r="C2296" s="102">
        <v>10952.14</v>
      </c>
    </row>
    <row r="2297" spans="1:3">
      <c r="A2297" s="102" t="s">
        <v>353</v>
      </c>
      <c r="B2297" s="103">
        <v>41942</v>
      </c>
      <c r="C2297" s="102">
        <v>10749.57</v>
      </c>
    </row>
    <row r="2298" spans="1:3">
      <c r="A2298" s="102" t="s">
        <v>353</v>
      </c>
      <c r="B2298" s="103">
        <v>41941</v>
      </c>
      <c r="C2298" s="102">
        <v>10645.96</v>
      </c>
    </row>
    <row r="2299" spans="1:3">
      <c r="A2299" s="102" t="s">
        <v>353</v>
      </c>
      <c r="B2299" s="103">
        <v>41940</v>
      </c>
      <c r="C2299" s="102">
        <v>10562.48</v>
      </c>
    </row>
    <row r="2300" spans="1:3">
      <c r="A2300" s="102" t="s">
        <v>353</v>
      </c>
      <c r="B2300" s="103">
        <v>41939</v>
      </c>
      <c r="C2300" s="102">
        <v>10515.22</v>
      </c>
    </row>
    <row r="2301" spans="1:3">
      <c r="A2301" s="102" t="s">
        <v>353</v>
      </c>
      <c r="B2301" s="103">
        <v>41935</v>
      </c>
      <c r="C2301" s="102">
        <v>10545.31</v>
      </c>
    </row>
    <row r="2302" spans="1:3">
      <c r="A2302" s="102" t="s">
        <v>353</v>
      </c>
      <c r="B2302" s="103">
        <v>41934</v>
      </c>
      <c r="C2302" s="102">
        <v>10520.79</v>
      </c>
    </row>
    <row r="2303" spans="1:3">
      <c r="A2303" s="102" t="s">
        <v>353</v>
      </c>
      <c r="B2303" s="103">
        <v>41933</v>
      </c>
      <c r="C2303" s="102">
        <v>10431.1</v>
      </c>
    </row>
    <row r="2304" spans="1:3">
      <c r="A2304" s="102" t="s">
        <v>353</v>
      </c>
      <c r="B2304" s="103">
        <v>41932</v>
      </c>
      <c r="C2304" s="102">
        <v>10367.030000000001</v>
      </c>
    </row>
    <row r="2305" spans="1:3">
      <c r="A2305" s="102" t="s">
        <v>353</v>
      </c>
      <c r="B2305" s="103">
        <v>41929</v>
      </c>
      <c r="C2305" s="102">
        <v>10235.83</v>
      </c>
    </row>
    <row r="2306" spans="1:3">
      <c r="A2306" s="102" t="s">
        <v>353</v>
      </c>
      <c r="B2306" s="103">
        <v>41928</v>
      </c>
      <c r="C2306" s="102">
        <v>10194.41</v>
      </c>
    </row>
    <row r="2307" spans="1:3">
      <c r="A2307" s="102" t="s">
        <v>353</v>
      </c>
      <c r="B2307" s="103">
        <v>41926</v>
      </c>
      <c r="C2307" s="102">
        <v>10342.43</v>
      </c>
    </row>
    <row r="2308" spans="1:3">
      <c r="A2308" s="102" t="s">
        <v>353</v>
      </c>
      <c r="B2308" s="103">
        <v>41925</v>
      </c>
      <c r="C2308" s="102">
        <v>10369.11</v>
      </c>
    </row>
    <row r="2309" spans="1:3">
      <c r="A2309" s="102" t="s">
        <v>353</v>
      </c>
      <c r="B2309" s="103">
        <v>41922</v>
      </c>
      <c r="C2309" s="102">
        <v>10337.14</v>
      </c>
    </row>
    <row r="2310" spans="1:3">
      <c r="A2310" s="102" t="s">
        <v>353</v>
      </c>
      <c r="B2310" s="103">
        <v>41921</v>
      </c>
      <c r="C2310" s="102">
        <v>10469.450000000001</v>
      </c>
    </row>
    <row r="2311" spans="1:3">
      <c r="A2311" s="102" t="s">
        <v>353</v>
      </c>
      <c r="B2311" s="103">
        <v>41920</v>
      </c>
      <c r="C2311" s="102">
        <v>10314.44</v>
      </c>
    </row>
    <row r="2312" spans="1:3">
      <c r="A2312" s="102" t="s">
        <v>353</v>
      </c>
      <c r="B2312" s="103">
        <v>41919</v>
      </c>
      <c r="C2312" s="102">
        <v>10327.23</v>
      </c>
    </row>
    <row r="2313" spans="1:3">
      <c r="A2313" s="102" t="s">
        <v>353</v>
      </c>
      <c r="B2313" s="103">
        <v>41913</v>
      </c>
      <c r="C2313" s="102">
        <v>10449.700000000001</v>
      </c>
    </row>
    <row r="2314" spans="1:3">
      <c r="A2314" s="102" t="s">
        <v>353</v>
      </c>
      <c r="B2314" s="103">
        <v>41912</v>
      </c>
      <c r="C2314" s="102">
        <v>10475.040000000001</v>
      </c>
    </row>
    <row r="2315" spans="1:3">
      <c r="A2315" s="102" t="s">
        <v>353</v>
      </c>
      <c r="B2315" s="103">
        <v>41911</v>
      </c>
      <c r="C2315" s="102">
        <v>10467.25</v>
      </c>
    </row>
    <row r="2316" spans="1:3">
      <c r="A2316" s="102" t="s">
        <v>353</v>
      </c>
      <c r="B2316" s="103">
        <v>41908</v>
      </c>
      <c r="C2316" s="102">
        <v>10480.36</v>
      </c>
    </row>
    <row r="2317" spans="1:3">
      <c r="A2317" s="102" t="s">
        <v>353</v>
      </c>
      <c r="B2317" s="103">
        <v>41907</v>
      </c>
      <c r="C2317" s="102">
        <v>10405.39</v>
      </c>
    </row>
    <row r="2318" spans="1:3">
      <c r="A2318" s="102" t="s">
        <v>353</v>
      </c>
      <c r="B2318" s="103">
        <v>41906</v>
      </c>
      <c r="C2318" s="102">
        <v>10524.5</v>
      </c>
    </row>
    <row r="2319" spans="1:3">
      <c r="A2319" s="102" t="s">
        <v>353</v>
      </c>
      <c r="B2319" s="103">
        <v>41905</v>
      </c>
      <c r="C2319" s="102">
        <v>10544.42</v>
      </c>
    </row>
    <row r="2320" spans="1:3">
      <c r="A2320" s="102" t="s">
        <v>353</v>
      </c>
      <c r="B2320" s="103">
        <v>41904</v>
      </c>
      <c r="C2320" s="102">
        <v>10713.74</v>
      </c>
    </row>
    <row r="2321" spans="1:3">
      <c r="A2321" s="102" t="s">
        <v>353</v>
      </c>
      <c r="B2321" s="103">
        <v>41901</v>
      </c>
      <c r="C2321" s="102">
        <v>10679.98</v>
      </c>
    </row>
    <row r="2322" spans="1:3">
      <c r="A2322" s="102" t="s">
        <v>353</v>
      </c>
      <c r="B2322" s="103">
        <v>41900</v>
      </c>
      <c r="C2322" s="102">
        <v>10671.16</v>
      </c>
    </row>
    <row r="2323" spans="1:3">
      <c r="A2323" s="102" t="s">
        <v>353</v>
      </c>
      <c r="B2323" s="103">
        <v>41899</v>
      </c>
      <c r="C2323" s="102">
        <v>10488.05</v>
      </c>
    </row>
    <row r="2324" spans="1:3">
      <c r="A2324" s="102" t="s">
        <v>353</v>
      </c>
      <c r="B2324" s="103">
        <v>41898</v>
      </c>
      <c r="C2324" s="102">
        <v>10432.030000000001</v>
      </c>
    </row>
    <row r="2325" spans="1:3">
      <c r="A2325" s="102" t="s">
        <v>353</v>
      </c>
      <c r="B2325" s="103">
        <v>41897</v>
      </c>
      <c r="C2325" s="102">
        <v>10575.5</v>
      </c>
    </row>
    <row r="2326" spans="1:3">
      <c r="A2326" s="102" t="s">
        <v>353</v>
      </c>
      <c r="B2326" s="103">
        <v>41894</v>
      </c>
      <c r="C2326" s="102">
        <v>10658.96</v>
      </c>
    </row>
    <row r="2327" spans="1:3">
      <c r="A2327" s="102" t="s">
        <v>353</v>
      </c>
      <c r="B2327" s="103">
        <v>41893</v>
      </c>
      <c r="C2327" s="102">
        <v>10632.96</v>
      </c>
    </row>
    <row r="2328" spans="1:3">
      <c r="A2328" s="102" t="s">
        <v>353</v>
      </c>
      <c r="B2328" s="103">
        <v>41892</v>
      </c>
      <c r="C2328" s="102">
        <v>10643.54</v>
      </c>
    </row>
    <row r="2329" spans="1:3">
      <c r="A2329" s="102" t="s">
        <v>353</v>
      </c>
      <c r="B2329" s="103">
        <v>41891</v>
      </c>
      <c r="C2329" s="102">
        <v>10720.95</v>
      </c>
    </row>
    <row r="2330" spans="1:3">
      <c r="A2330" s="102" t="s">
        <v>353</v>
      </c>
      <c r="B2330" s="103">
        <v>41890</v>
      </c>
      <c r="C2330" s="102">
        <v>10748.49</v>
      </c>
    </row>
    <row r="2331" spans="1:3">
      <c r="A2331" s="102" t="s">
        <v>353</v>
      </c>
      <c r="B2331" s="103">
        <v>41887</v>
      </c>
      <c r="C2331" s="102">
        <v>10633.24</v>
      </c>
    </row>
    <row r="2332" spans="1:3">
      <c r="A2332" s="102" t="s">
        <v>353</v>
      </c>
      <c r="B2332" s="103">
        <v>41886</v>
      </c>
      <c r="C2332" s="102">
        <v>10643.88</v>
      </c>
    </row>
    <row r="2333" spans="1:3">
      <c r="A2333" s="102" t="s">
        <v>353</v>
      </c>
      <c r="B2333" s="103">
        <v>41885</v>
      </c>
      <c r="C2333" s="102">
        <v>10667.5</v>
      </c>
    </row>
    <row r="2334" spans="1:3">
      <c r="A2334" s="102" t="s">
        <v>353</v>
      </c>
      <c r="B2334" s="103">
        <v>41884</v>
      </c>
      <c r="C2334" s="102">
        <v>10626.05</v>
      </c>
    </row>
    <row r="2335" spans="1:3">
      <c r="A2335" s="102" t="s">
        <v>353</v>
      </c>
      <c r="B2335" s="103">
        <v>41883</v>
      </c>
      <c r="C2335" s="102">
        <v>10553.26</v>
      </c>
    </row>
    <row r="2336" spans="1:3">
      <c r="A2336" s="102" t="s">
        <v>353</v>
      </c>
      <c r="B2336" s="103">
        <v>41879</v>
      </c>
      <c r="C2336" s="102">
        <v>10456.85</v>
      </c>
    </row>
    <row r="2337" spans="1:3">
      <c r="A2337" s="102" t="s">
        <v>353</v>
      </c>
      <c r="B2337" s="103">
        <v>41878</v>
      </c>
      <c r="C2337" s="102">
        <v>10432.780000000001</v>
      </c>
    </row>
    <row r="2338" spans="1:3">
      <c r="A2338" s="102" t="s">
        <v>353</v>
      </c>
      <c r="B2338" s="103">
        <v>41877</v>
      </c>
      <c r="C2338" s="102">
        <v>10390.39</v>
      </c>
    </row>
    <row r="2339" spans="1:3">
      <c r="A2339" s="102" t="s">
        <v>353</v>
      </c>
      <c r="B2339" s="103">
        <v>41876</v>
      </c>
      <c r="C2339" s="102">
        <v>10392.41</v>
      </c>
    </row>
    <row r="2340" spans="1:3">
      <c r="A2340" s="102" t="s">
        <v>353</v>
      </c>
      <c r="B2340" s="103">
        <v>41873</v>
      </c>
      <c r="C2340" s="102">
        <v>10401.48</v>
      </c>
    </row>
    <row r="2341" spans="1:3">
      <c r="A2341" s="102" t="s">
        <v>353</v>
      </c>
      <c r="B2341" s="103">
        <v>41872</v>
      </c>
      <c r="C2341" s="102">
        <v>10372.44</v>
      </c>
    </row>
    <row r="2342" spans="1:3">
      <c r="A2342" s="102" t="s">
        <v>353</v>
      </c>
      <c r="B2342" s="103">
        <v>41871</v>
      </c>
      <c r="C2342" s="102">
        <v>10350.280000000001</v>
      </c>
    </row>
    <row r="2343" spans="1:3">
      <c r="A2343" s="102" t="s">
        <v>353</v>
      </c>
      <c r="B2343" s="103">
        <v>41870</v>
      </c>
      <c r="C2343" s="102">
        <v>10379.049999999999</v>
      </c>
    </row>
    <row r="2344" spans="1:3">
      <c r="A2344" s="102" t="s">
        <v>353</v>
      </c>
      <c r="B2344" s="103">
        <v>41869</v>
      </c>
      <c r="C2344" s="102">
        <v>10348.219999999999</v>
      </c>
    </row>
    <row r="2345" spans="1:3">
      <c r="A2345" s="102" t="s">
        <v>353</v>
      </c>
      <c r="B2345" s="103">
        <v>41865</v>
      </c>
      <c r="C2345" s="102">
        <v>10239.76</v>
      </c>
    </row>
    <row r="2346" spans="1:3">
      <c r="A2346" s="102" t="s">
        <v>353</v>
      </c>
      <c r="B2346" s="103">
        <v>41864</v>
      </c>
      <c r="C2346" s="102">
        <v>10171.219999999999</v>
      </c>
    </row>
    <row r="2347" spans="1:3">
      <c r="A2347" s="102" t="s">
        <v>353</v>
      </c>
      <c r="B2347" s="103">
        <v>41863</v>
      </c>
      <c r="C2347" s="102">
        <v>10150.24</v>
      </c>
    </row>
    <row r="2348" spans="1:3">
      <c r="A2348" s="102" t="s">
        <v>353</v>
      </c>
      <c r="B2348" s="103">
        <v>41862</v>
      </c>
      <c r="C2348" s="102">
        <v>10017.44</v>
      </c>
    </row>
    <row r="2349" spans="1:3">
      <c r="A2349" s="102" t="s">
        <v>353</v>
      </c>
      <c r="B2349" s="103">
        <v>41859</v>
      </c>
      <c r="C2349" s="102">
        <v>9942.0300000000007</v>
      </c>
    </row>
    <row r="2350" spans="1:3">
      <c r="A2350" s="102" t="s">
        <v>353</v>
      </c>
      <c r="B2350" s="103">
        <v>41858</v>
      </c>
      <c r="C2350" s="102">
        <v>10046.98</v>
      </c>
    </row>
    <row r="2351" spans="1:3">
      <c r="A2351" s="102" t="s">
        <v>353</v>
      </c>
      <c r="B2351" s="103">
        <v>41857</v>
      </c>
      <c r="C2351" s="102">
        <v>10076.950000000001</v>
      </c>
    </row>
    <row r="2352" spans="1:3">
      <c r="A2352" s="102" t="s">
        <v>353</v>
      </c>
      <c r="B2352" s="103">
        <v>41856</v>
      </c>
      <c r="C2352" s="102">
        <v>10174.469999999999</v>
      </c>
    </row>
    <row r="2353" spans="1:3">
      <c r="A2353" s="102" t="s">
        <v>353</v>
      </c>
      <c r="B2353" s="103">
        <v>41855</v>
      </c>
      <c r="C2353" s="102">
        <v>10090.879999999999</v>
      </c>
    </row>
    <row r="2354" spans="1:3">
      <c r="A2354" s="102" t="s">
        <v>353</v>
      </c>
      <c r="B2354" s="103">
        <v>41852</v>
      </c>
      <c r="C2354" s="102">
        <v>9984.48</v>
      </c>
    </row>
    <row r="2355" spans="1:3">
      <c r="A2355" s="102" t="s">
        <v>353</v>
      </c>
      <c r="B2355" s="103">
        <v>41851</v>
      </c>
      <c r="C2355" s="102">
        <v>10140.34</v>
      </c>
    </row>
    <row r="2356" spans="1:3">
      <c r="A2356" s="102" t="s">
        <v>353</v>
      </c>
      <c r="B2356" s="103">
        <v>41850</v>
      </c>
      <c r="C2356" s="102">
        <v>10232.41</v>
      </c>
    </row>
    <row r="2357" spans="1:3">
      <c r="A2357" s="102" t="s">
        <v>353</v>
      </c>
      <c r="B2357" s="103">
        <v>41848</v>
      </c>
      <c r="C2357" s="102">
        <v>10175.950000000001</v>
      </c>
    </row>
    <row r="2358" spans="1:3">
      <c r="A2358" s="102" t="s">
        <v>353</v>
      </c>
      <c r="B2358" s="103">
        <v>41845</v>
      </c>
      <c r="C2358" s="102">
        <v>10223.52</v>
      </c>
    </row>
    <row r="2359" spans="1:3">
      <c r="A2359" s="102" t="s">
        <v>353</v>
      </c>
      <c r="B2359" s="103">
        <v>41844</v>
      </c>
      <c r="C2359" s="102">
        <v>10275.33</v>
      </c>
    </row>
    <row r="2360" spans="1:3">
      <c r="A2360" s="102" t="s">
        <v>353</v>
      </c>
      <c r="B2360" s="103">
        <v>41843</v>
      </c>
      <c r="C2360" s="102">
        <v>10229.290000000001</v>
      </c>
    </row>
    <row r="2361" spans="1:3">
      <c r="A2361" s="102" t="s">
        <v>353</v>
      </c>
      <c r="B2361" s="103">
        <v>41842</v>
      </c>
      <c r="C2361" s="102">
        <v>10191.98</v>
      </c>
    </row>
    <row r="2362" spans="1:3">
      <c r="A2362" s="102" t="s">
        <v>353</v>
      </c>
      <c r="B2362" s="103">
        <v>41841</v>
      </c>
      <c r="C2362" s="102">
        <v>10082.280000000001</v>
      </c>
    </row>
    <row r="2363" spans="1:3">
      <c r="A2363" s="102" t="s">
        <v>353</v>
      </c>
      <c r="B2363" s="103">
        <v>41838</v>
      </c>
      <c r="C2363" s="102">
        <v>10054.4</v>
      </c>
    </row>
    <row r="2364" spans="1:3">
      <c r="A2364" s="102" t="s">
        <v>353</v>
      </c>
      <c r="B2364" s="103">
        <v>41837</v>
      </c>
      <c r="C2364" s="102">
        <v>10023.67</v>
      </c>
    </row>
    <row r="2365" spans="1:3">
      <c r="A2365" s="102" t="s">
        <v>353</v>
      </c>
      <c r="B2365" s="103">
        <v>41836</v>
      </c>
      <c r="C2365" s="102">
        <v>9999.7099999999991</v>
      </c>
    </row>
    <row r="2366" spans="1:3">
      <c r="A2366" s="102" t="s">
        <v>353</v>
      </c>
      <c r="B2366" s="103">
        <v>41835</v>
      </c>
      <c r="C2366" s="102">
        <v>9871.51</v>
      </c>
    </row>
    <row r="2367" spans="1:3">
      <c r="A2367" s="102" t="s">
        <v>353</v>
      </c>
      <c r="B2367" s="103">
        <v>41834</v>
      </c>
      <c r="C2367" s="102">
        <v>9776.4599999999991</v>
      </c>
    </row>
    <row r="2368" spans="1:3">
      <c r="A2368" s="102" t="s">
        <v>353</v>
      </c>
      <c r="B2368" s="103">
        <v>41831</v>
      </c>
      <c r="C2368" s="102">
        <v>9781.6200000000008</v>
      </c>
    </row>
    <row r="2369" spans="1:3">
      <c r="A2369" s="102" t="s">
        <v>353</v>
      </c>
      <c r="B2369" s="103">
        <v>41830</v>
      </c>
      <c r="C2369" s="102">
        <v>9922.6</v>
      </c>
    </row>
    <row r="2370" spans="1:3">
      <c r="A2370" s="102" t="s">
        <v>353</v>
      </c>
      <c r="B2370" s="103">
        <v>41829</v>
      </c>
      <c r="C2370" s="102">
        <v>9945.17</v>
      </c>
    </row>
    <row r="2371" spans="1:3">
      <c r="A2371" s="102" t="s">
        <v>353</v>
      </c>
      <c r="B2371" s="103">
        <v>41828</v>
      </c>
      <c r="C2371" s="102">
        <v>9993.08</v>
      </c>
    </row>
    <row r="2372" spans="1:3">
      <c r="A2372" s="102" t="s">
        <v>353</v>
      </c>
      <c r="B2372" s="103">
        <v>41827</v>
      </c>
      <c r="C2372" s="102">
        <v>10208.02</v>
      </c>
    </row>
    <row r="2373" spans="1:3">
      <c r="A2373" s="102" t="s">
        <v>353</v>
      </c>
      <c r="B2373" s="103">
        <v>41824</v>
      </c>
      <c r="C2373" s="102">
        <v>10161.42</v>
      </c>
    </row>
    <row r="2374" spans="1:3">
      <c r="A2374" s="102" t="s">
        <v>353</v>
      </c>
      <c r="B2374" s="103">
        <v>41823</v>
      </c>
      <c r="C2374" s="102">
        <v>10105.89</v>
      </c>
    </row>
    <row r="2375" spans="1:3">
      <c r="A2375" s="102" t="s">
        <v>353</v>
      </c>
      <c r="B2375" s="103">
        <v>41822</v>
      </c>
      <c r="C2375" s="102">
        <v>10115.19</v>
      </c>
    </row>
    <row r="2376" spans="1:3">
      <c r="A2376" s="102" t="s">
        <v>353</v>
      </c>
      <c r="B2376" s="103">
        <v>41821</v>
      </c>
      <c r="C2376" s="102">
        <v>9996.74</v>
      </c>
    </row>
    <row r="2377" spans="1:3">
      <c r="A2377" s="102" t="s">
        <v>353</v>
      </c>
      <c r="B2377" s="103">
        <v>41820</v>
      </c>
      <c r="C2377" s="102">
        <v>9966.14</v>
      </c>
    </row>
    <row r="2378" spans="1:3">
      <c r="A2378" s="102" t="s">
        <v>353</v>
      </c>
      <c r="B2378" s="103">
        <v>41817</v>
      </c>
      <c r="C2378" s="102">
        <v>9831.9</v>
      </c>
    </row>
    <row r="2379" spans="1:3">
      <c r="A2379" s="102" t="s">
        <v>353</v>
      </c>
      <c r="B2379" s="103">
        <v>41816</v>
      </c>
      <c r="C2379" s="102">
        <v>9811.48</v>
      </c>
    </row>
    <row r="2380" spans="1:3">
      <c r="A2380" s="102" t="s">
        <v>353</v>
      </c>
      <c r="B2380" s="103">
        <v>41815</v>
      </c>
      <c r="C2380" s="102">
        <v>9911.0300000000007</v>
      </c>
    </row>
    <row r="2381" spans="1:3">
      <c r="A2381" s="102" t="s">
        <v>353</v>
      </c>
      <c r="B2381" s="103">
        <v>41814</v>
      </c>
      <c r="C2381" s="102">
        <v>9925.34</v>
      </c>
    </row>
    <row r="2382" spans="1:3">
      <c r="A2382" s="102" t="s">
        <v>353</v>
      </c>
      <c r="B2382" s="103">
        <v>41813</v>
      </c>
      <c r="C2382" s="102">
        <v>9811.6200000000008</v>
      </c>
    </row>
    <row r="2383" spans="1:3">
      <c r="A2383" s="102" t="s">
        <v>353</v>
      </c>
      <c r="B2383" s="103">
        <v>41810</v>
      </c>
      <c r="C2383" s="102">
        <v>9835.35</v>
      </c>
    </row>
    <row r="2384" spans="1:3">
      <c r="A2384" s="102" t="s">
        <v>353</v>
      </c>
      <c r="B2384" s="103">
        <v>41809</v>
      </c>
      <c r="C2384" s="102">
        <v>9873.61</v>
      </c>
    </row>
    <row r="2385" spans="1:3">
      <c r="A2385" s="102" t="s">
        <v>353</v>
      </c>
      <c r="B2385" s="103">
        <v>41808</v>
      </c>
      <c r="C2385" s="102">
        <v>9896.5499999999993</v>
      </c>
    </row>
    <row r="2386" spans="1:3">
      <c r="A2386" s="102" t="s">
        <v>353</v>
      </c>
      <c r="B2386" s="103">
        <v>41807</v>
      </c>
      <c r="C2386" s="102">
        <v>9992.7800000000007</v>
      </c>
    </row>
    <row r="2387" spans="1:3">
      <c r="A2387" s="102" t="s">
        <v>353</v>
      </c>
      <c r="B2387" s="103">
        <v>41806</v>
      </c>
      <c r="C2387" s="102">
        <v>9864.2900000000009</v>
      </c>
    </row>
    <row r="2388" spans="1:3">
      <c r="A2388" s="102" t="s">
        <v>353</v>
      </c>
      <c r="B2388" s="103">
        <v>41803</v>
      </c>
      <c r="C2388" s="102">
        <v>9874.4599999999991</v>
      </c>
    </row>
    <row r="2389" spans="1:3">
      <c r="A2389" s="102" t="s">
        <v>353</v>
      </c>
      <c r="B2389" s="103">
        <v>41802</v>
      </c>
      <c r="C2389" s="102">
        <v>10015.59</v>
      </c>
    </row>
    <row r="2390" spans="1:3">
      <c r="A2390" s="102" t="s">
        <v>353</v>
      </c>
      <c r="B2390" s="103">
        <v>41801</v>
      </c>
      <c r="C2390" s="102">
        <v>9982.86</v>
      </c>
    </row>
    <row r="2391" spans="1:3">
      <c r="A2391" s="102" t="s">
        <v>353</v>
      </c>
      <c r="B2391" s="103">
        <v>41800</v>
      </c>
      <c r="C2391" s="102">
        <v>10019.94</v>
      </c>
    </row>
    <row r="2392" spans="1:3">
      <c r="A2392" s="102" t="s">
        <v>353</v>
      </c>
      <c r="B2392" s="103">
        <v>41799</v>
      </c>
      <c r="C2392" s="102">
        <v>10017.59</v>
      </c>
    </row>
    <row r="2393" spans="1:3">
      <c r="A2393" s="102" t="s">
        <v>353</v>
      </c>
      <c r="B2393" s="103">
        <v>41796</v>
      </c>
      <c r="C2393" s="102">
        <v>9924.43</v>
      </c>
    </row>
    <row r="2394" spans="1:3">
      <c r="A2394" s="102" t="s">
        <v>353</v>
      </c>
      <c r="B2394" s="103">
        <v>41795</v>
      </c>
      <c r="C2394" s="102">
        <v>9778.32</v>
      </c>
    </row>
    <row r="2395" spans="1:3">
      <c r="A2395" s="102" t="s">
        <v>353</v>
      </c>
      <c r="B2395" s="103">
        <v>41794</v>
      </c>
      <c r="C2395" s="102">
        <v>9672.68</v>
      </c>
    </row>
    <row r="2396" spans="1:3">
      <c r="A2396" s="102" t="s">
        <v>353</v>
      </c>
      <c r="B2396" s="103">
        <v>41793</v>
      </c>
      <c r="C2396" s="102">
        <v>9690.44</v>
      </c>
    </row>
    <row r="2397" spans="1:3">
      <c r="A2397" s="102" t="s">
        <v>353</v>
      </c>
      <c r="B2397" s="103">
        <v>41792</v>
      </c>
      <c r="C2397" s="102">
        <v>9610.85</v>
      </c>
    </row>
    <row r="2398" spans="1:3">
      <c r="A2398" s="102" t="s">
        <v>353</v>
      </c>
      <c r="B2398" s="103">
        <v>41789</v>
      </c>
      <c r="C2398" s="102">
        <v>9437.81</v>
      </c>
    </row>
    <row r="2399" spans="1:3">
      <c r="A2399" s="102" t="s">
        <v>353</v>
      </c>
      <c r="B2399" s="103">
        <v>41788</v>
      </c>
      <c r="C2399" s="102">
        <v>9445.23</v>
      </c>
    </row>
    <row r="2400" spans="1:3">
      <c r="A2400" s="102" t="s">
        <v>353</v>
      </c>
      <c r="B2400" s="103">
        <v>41787</v>
      </c>
      <c r="C2400" s="102">
        <v>9560.4</v>
      </c>
    </row>
    <row r="2401" spans="1:3">
      <c r="A2401" s="102" t="s">
        <v>353</v>
      </c>
      <c r="B2401" s="103">
        <v>41786</v>
      </c>
      <c r="C2401" s="102">
        <v>9545.2000000000007</v>
      </c>
    </row>
    <row r="2402" spans="1:3">
      <c r="A2402" s="102" t="s">
        <v>353</v>
      </c>
      <c r="B2402" s="103">
        <v>41785</v>
      </c>
      <c r="C2402" s="102">
        <v>9598.75</v>
      </c>
    </row>
    <row r="2403" spans="1:3">
      <c r="A2403" s="102" t="s">
        <v>353</v>
      </c>
      <c r="B2403" s="103">
        <v>41782</v>
      </c>
      <c r="C2403" s="102">
        <v>9609.25</v>
      </c>
    </row>
    <row r="2404" spans="1:3">
      <c r="A2404" s="102" t="s">
        <v>353</v>
      </c>
      <c r="B2404" s="103">
        <v>41781</v>
      </c>
      <c r="C2404" s="102">
        <v>9490.91</v>
      </c>
    </row>
    <row r="2405" spans="1:3">
      <c r="A2405" s="102" t="s">
        <v>353</v>
      </c>
      <c r="B2405" s="103">
        <v>41780</v>
      </c>
      <c r="C2405" s="102">
        <v>9460.2800000000007</v>
      </c>
    </row>
    <row r="2406" spans="1:3">
      <c r="A2406" s="102" t="s">
        <v>353</v>
      </c>
      <c r="B2406" s="103">
        <v>41779</v>
      </c>
      <c r="C2406" s="102">
        <v>9489.73</v>
      </c>
    </row>
    <row r="2407" spans="1:3">
      <c r="A2407" s="102" t="s">
        <v>353</v>
      </c>
      <c r="B2407" s="103">
        <v>41778</v>
      </c>
      <c r="C2407" s="102">
        <v>9474.16</v>
      </c>
    </row>
    <row r="2408" spans="1:3">
      <c r="A2408" s="102" t="s">
        <v>353</v>
      </c>
      <c r="B2408" s="103">
        <v>41775</v>
      </c>
      <c r="C2408" s="102">
        <v>9395.18</v>
      </c>
    </row>
    <row r="2409" spans="1:3">
      <c r="A2409" s="102" t="s">
        <v>353</v>
      </c>
      <c r="B2409" s="103">
        <v>41774</v>
      </c>
      <c r="C2409" s="102">
        <v>9286.39</v>
      </c>
    </row>
    <row r="2410" spans="1:3">
      <c r="A2410" s="102" t="s">
        <v>353</v>
      </c>
      <c r="B2410" s="103">
        <v>41773</v>
      </c>
      <c r="C2410" s="102">
        <v>9267.61</v>
      </c>
    </row>
    <row r="2411" spans="1:3">
      <c r="A2411" s="102" t="s">
        <v>353</v>
      </c>
      <c r="B2411" s="103">
        <v>41772</v>
      </c>
      <c r="C2411" s="102">
        <v>9267.61</v>
      </c>
    </row>
    <row r="2412" spans="1:3">
      <c r="A2412" s="102" t="s">
        <v>353</v>
      </c>
      <c r="B2412" s="103">
        <v>41771</v>
      </c>
      <c r="C2412" s="102">
        <v>9144.41</v>
      </c>
    </row>
    <row r="2413" spans="1:3">
      <c r="A2413" s="102" t="s">
        <v>353</v>
      </c>
      <c r="B2413" s="103">
        <v>41768</v>
      </c>
      <c r="C2413" s="102">
        <v>8941.77</v>
      </c>
    </row>
    <row r="2414" spans="1:3">
      <c r="A2414" s="102" t="s">
        <v>353</v>
      </c>
      <c r="B2414" s="103">
        <v>41767</v>
      </c>
      <c r="C2414" s="102">
        <v>8682.3700000000008</v>
      </c>
    </row>
    <row r="2415" spans="1:3">
      <c r="A2415" s="102" t="s">
        <v>353</v>
      </c>
      <c r="B2415" s="103">
        <v>41766</v>
      </c>
      <c r="C2415" s="102">
        <v>8672.8799999999992</v>
      </c>
    </row>
    <row r="2416" spans="1:3">
      <c r="A2416" s="102" t="s">
        <v>353</v>
      </c>
      <c r="B2416" s="103">
        <v>41765</v>
      </c>
      <c r="C2416" s="102">
        <v>8754.69</v>
      </c>
    </row>
    <row r="2417" spans="1:3">
      <c r="A2417" s="102" t="s">
        <v>353</v>
      </c>
      <c r="B2417" s="103">
        <v>41764</v>
      </c>
      <c r="C2417" s="102">
        <v>8733.92</v>
      </c>
    </row>
    <row r="2418" spans="1:3">
      <c r="A2418" s="102" t="s">
        <v>353</v>
      </c>
      <c r="B2418" s="103">
        <v>41761</v>
      </c>
      <c r="C2418" s="102">
        <v>8727.93</v>
      </c>
    </row>
    <row r="2419" spans="1:3">
      <c r="A2419" s="102" t="s">
        <v>353</v>
      </c>
      <c r="B2419" s="103">
        <v>41759</v>
      </c>
      <c r="C2419" s="102">
        <v>8730.0499999999993</v>
      </c>
    </row>
    <row r="2420" spans="1:3">
      <c r="A2420" s="102" t="s">
        <v>353</v>
      </c>
      <c r="B2420" s="103">
        <v>41758</v>
      </c>
      <c r="C2420" s="102">
        <v>8754.65</v>
      </c>
    </row>
    <row r="2421" spans="1:3">
      <c r="A2421" s="102" t="s">
        <v>353</v>
      </c>
      <c r="B2421" s="103">
        <v>41757</v>
      </c>
      <c r="C2421" s="102">
        <v>8814.59</v>
      </c>
    </row>
    <row r="2422" spans="1:3">
      <c r="A2422" s="102" t="s">
        <v>353</v>
      </c>
      <c r="B2422" s="103">
        <v>41754</v>
      </c>
      <c r="C2422" s="102">
        <v>8842.6200000000008</v>
      </c>
    </row>
    <row r="2423" spans="1:3">
      <c r="A2423" s="102" t="s">
        <v>353</v>
      </c>
      <c r="B2423" s="103">
        <v>41752</v>
      </c>
      <c r="C2423" s="102">
        <v>8918.2999999999993</v>
      </c>
    </row>
    <row r="2424" spans="1:3">
      <c r="A2424" s="102" t="s">
        <v>353</v>
      </c>
      <c r="B2424" s="103">
        <v>41751</v>
      </c>
      <c r="C2424" s="102">
        <v>8885.09</v>
      </c>
    </row>
    <row r="2425" spans="1:3">
      <c r="A2425" s="102" t="s">
        <v>353</v>
      </c>
      <c r="B2425" s="103">
        <v>41750</v>
      </c>
      <c r="C2425" s="102">
        <v>8887.7800000000007</v>
      </c>
    </row>
    <row r="2426" spans="1:3">
      <c r="A2426" s="102" t="s">
        <v>353</v>
      </c>
      <c r="B2426" s="103">
        <v>41746</v>
      </c>
      <c r="C2426" s="102">
        <v>8837.92</v>
      </c>
    </row>
    <row r="2427" spans="1:3">
      <c r="A2427" s="102" t="s">
        <v>353</v>
      </c>
      <c r="B2427" s="103">
        <v>41745</v>
      </c>
      <c r="C2427" s="102">
        <v>8702.2199999999993</v>
      </c>
    </row>
    <row r="2428" spans="1:3">
      <c r="A2428" s="102" t="s">
        <v>353</v>
      </c>
      <c r="B2428" s="103">
        <v>41744</v>
      </c>
      <c r="C2428" s="102">
        <v>8777.57</v>
      </c>
    </row>
    <row r="2429" spans="1:3">
      <c r="A2429" s="102" t="s">
        <v>353</v>
      </c>
      <c r="B2429" s="103">
        <v>41740</v>
      </c>
      <c r="C2429" s="102">
        <v>8833.8799999999992</v>
      </c>
    </row>
    <row r="2430" spans="1:3">
      <c r="A2430" s="102" t="s">
        <v>353</v>
      </c>
      <c r="B2430" s="103">
        <v>41739</v>
      </c>
      <c r="C2430" s="102">
        <v>8860.09</v>
      </c>
    </row>
    <row r="2431" spans="1:3">
      <c r="A2431" s="102" t="s">
        <v>353</v>
      </c>
      <c r="B2431" s="103">
        <v>41738</v>
      </c>
      <c r="C2431" s="102">
        <v>8859.81</v>
      </c>
    </row>
    <row r="2432" spans="1:3">
      <c r="A2432" s="102" t="s">
        <v>353</v>
      </c>
      <c r="B2432" s="103">
        <v>41736</v>
      </c>
      <c r="C2432" s="102">
        <v>8727.98</v>
      </c>
    </row>
    <row r="2433" spans="1:3">
      <c r="A2433" s="102" t="s">
        <v>353</v>
      </c>
      <c r="B2433" s="103">
        <v>41733</v>
      </c>
      <c r="C2433" s="102">
        <v>8727.0300000000007</v>
      </c>
    </row>
    <row r="2434" spans="1:3">
      <c r="A2434" s="102" t="s">
        <v>353</v>
      </c>
      <c r="B2434" s="103">
        <v>41732</v>
      </c>
      <c r="C2434" s="102">
        <v>8781.4699999999993</v>
      </c>
    </row>
    <row r="2435" spans="1:3">
      <c r="A2435" s="102" t="s">
        <v>353</v>
      </c>
      <c r="B2435" s="103">
        <v>41731</v>
      </c>
      <c r="C2435" s="102">
        <v>8802.9500000000007</v>
      </c>
    </row>
    <row r="2436" spans="1:3">
      <c r="A2436" s="102" t="s">
        <v>353</v>
      </c>
      <c r="B2436" s="103">
        <v>41730</v>
      </c>
      <c r="C2436" s="102">
        <v>8761.86</v>
      </c>
    </row>
    <row r="2437" spans="1:3">
      <c r="A2437" s="102" t="s">
        <v>353</v>
      </c>
      <c r="B2437" s="103">
        <v>41729</v>
      </c>
      <c r="C2437" s="102">
        <v>8739.91</v>
      </c>
    </row>
    <row r="2438" spans="1:3">
      <c r="A2438" s="102" t="s">
        <v>353</v>
      </c>
      <c r="B2438" s="103">
        <v>41726</v>
      </c>
      <c r="C2438" s="102">
        <v>8729.0499999999993</v>
      </c>
    </row>
    <row r="2439" spans="1:3">
      <c r="A2439" s="102" t="s">
        <v>353</v>
      </c>
      <c r="B2439" s="103">
        <v>41725</v>
      </c>
      <c r="C2439" s="102">
        <v>8658.4599999999991</v>
      </c>
    </row>
    <row r="2440" spans="1:3">
      <c r="A2440" s="102" t="s">
        <v>353</v>
      </c>
      <c r="B2440" s="103">
        <v>41724</v>
      </c>
      <c r="C2440" s="102">
        <v>8603.6299999999992</v>
      </c>
    </row>
    <row r="2441" spans="1:3">
      <c r="A2441" s="102" t="s">
        <v>353</v>
      </c>
      <c r="B2441" s="103">
        <v>41723</v>
      </c>
      <c r="C2441" s="102">
        <v>8588.44</v>
      </c>
    </row>
    <row r="2442" spans="1:3">
      <c r="A2442" s="102" t="s">
        <v>353</v>
      </c>
      <c r="B2442" s="103">
        <v>41722</v>
      </c>
      <c r="C2442" s="102">
        <v>8580.26</v>
      </c>
    </row>
    <row r="2443" spans="1:3">
      <c r="A2443" s="102" t="s">
        <v>353</v>
      </c>
      <c r="B2443" s="103">
        <v>41720</v>
      </c>
      <c r="C2443" s="102">
        <v>8464.2800000000007</v>
      </c>
    </row>
    <row r="2444" spans="1:3">
      <c r="A2444" s="102" t="s">
        <v>353</v>
      </c>
      <c r="B2444" s="103">
        <v>41719</v>
      </c>
      <c r="C2444" s="102">
        <v>8462.06</v>
      </c>
    </row>
    <row r="2445" spans="1:3">
      <c r="A2445" s="102" t="s">
        <v>353</v>
      </c>
      <c r="B2445" s="103">
        <v>41718</v>
      </c>
      <c r="C2445" s="102">
        <v>8448.89</v>
      </c>
    </row>
    <row r="2446" spans="1:3">
      <c r="A2446" s="102" t="s">
        <v>353</v>
      </c>
      <c r="B2446" s="103">
        <v>41717</v>
      </c>
      <c r="C2446" s="102">
        <v>8502.2800000000007</v>
      </c>
    </row>
    <row r="2447" spans="1:3">
      <c r="A2447" s="102" t="s">
        <v>353</v>
      </c>
      <c r="B2447" s="103">
        <v>41716</v>
      </c>
      <c r="C2447" s="102">
        <v>8492.6200000000008</v>
      </c>
    </row>
    <row r="2448" spans="1:3">
      <c r="A2448" s="102" t="s">
        <v>353</v>
      </c>
      <c r="B2448" s="103">
        <v>41712</v>
      </c>
      <c r="C2448" s="102">
        <v>8476.35</v>
      </c>
    </row>
    <row r="2449" spans="1:3">
      <c r="A2449" s="102" t="s">
        <v>353</v>
      </c>
      <c r="B2449" s="103">
        <v>41711</v>
      </c>
      <c r="C2449" s="102">
        <v>8461.93</v>
      </c>
    </row>
    <row r="2450" spans="1:3">
      <c r="A2450" s="102" t="s">
        <v>353</v>
      </c>
      <c r="B2450" s="103">
        <v>41710</v>
      </c>
      <c r="C2450" s="102">
        <v>8492.91</v>
      </c>
    </row>
    <row r="2451" spans="1:3">
      <c r="A2451" s="102" t="s">
        <v>353</v>
      </c>
      <c r="B2451" s="103">
        <v>41709</v>
      </c>
      <c r="C2451" s="102">
        <v>8486.39</v>
      </c>
    </row>
    <row r="2452" spans="1:3">
      <c r="A2452" s="102" t="s">
        <v>353</v>
      </c>
      <c r="B2452" s="103">
        <v>41708</v>
      </c>
      <c r="C2452" s="102">
        <v>8518.0300000000007</v>
      </c>
    </row>
    <row r="2453" spans="1:3">
      <c r="A2453" s="102" t="s">
        <v>353</v>
      </c>
      <c r="B2453" s="103">
        <v>41705</v>
      </c>
      <c r="C2453" s="102">
        <v>8504.2199999999993</v>
      </c>
    </row>
    <row r="2454" spans="1:3">
      <c r="A2454" s="102" t="s">
        <v>353</v>
      </c>
      <c r="B2454" s="103">
        <v>41704</v>
      </c>
      <c r="C2454" s="102">
        <v>8340.7099999999991</v>
      </c>
    </row>
    <row r="2455" spans="1:3">
      <c r="A2455" s="102" t="s">
        <v>353</v>
      </c>
      <c r="B2455" s="103">
        <v>41703</v>
      </c>
      <c r="C2455" s="102">
        <v>8246.2199999999993</v>
      </c>
    </row>
    <row r="2456" spans="1:3">
      <c r="A2456" s="102" t="s">
        <v>353</v>
      </c>
      <c r="B2456" s="103">
        <v>41702</v>
      </c>
      <c r="C2456" s="102">
        <v>8206.23</v>
      </c>
    </row>
    <row r="2457" spans="1:3">
      <c r="A2457" s="102" t="s">
        <v>353</v>
      </c>
      <c r="B2457" s="103">
        <v>41701</v>
      </c>
      <c r="C2457" s="102">
        <v>8105.73</v>
      </c>
    </row>
    <row r="2458" spans="1:3">
      <c r="A2458" s="102" t="s">
        <v>353</v>
      </c>
      <c r="B2458" s="103">
        <v>41698</v>
      </c>
      <c r="C2458" s="102">
        <v>8178.01</v>
      </c>
    </row>
    <row r="2459" spans="1:3">
      <c r="A2459" s="102" t="s">
        <v>353</v>
      </c>
      <c r="B2459" s="103">
        <v>41696</v>
      </c>
      <c r="C2459" s="102">
        <v>8128.29</v>
      </c>
    </row>
    <row r="2460" spans="1:3">
      <c r="A2460" s="102" t="s">
        <v>353</v>
      </c>
      <c r="B2460" s="103">
        <v>41695</v>
      </c>
      <c r="C2460" s="102">
        <v>8077.85</v>
      </c>
    </row>
    <row r="2461" spans="1:3">
      <c r="A2461" s="102" t="s">
        <v>353</v>
      </c>
      <c r="B2461" s="103">
        <v>41694</v>
      </c>
      <c r="C2461" s="102">
        <v>8059.67</v>
      </c>
    </row>
    <row r="2462" spans="1:3">
      <c r="A2462" s="102" t="s">
        <v>353</v>
      </c>
      <c r="B2462" s="103">
        <v>41691</v>
      </c>
      <c r="C2462" s="102">
        <v>8019.69</v>
      </c>
    </row>
    <row r="2463" spans="1:3">
      <c r="A2463" s="102" t="s">
        <v>353</v>
      </c>
      <c r="B2463" s="103">
        <v>41690</v>
      </c>
      <c r="C2463" s="102">
        <v>7936.34</v>
      </c>
    </row>
    <row r="2464" spans="1:3">
      <c r="A2464" s="102" t="s">
        <v>353</v>
      </c>
      <c r="B2464" s="103">
        <v>41689</v>
      </c>
      <c r="C2464" s="102">
        <v>8016.2</v>
      </c>
    </row>
    <row r="2465" spans="1:3">
      <c r="A2465" s="102" t="s">
        <v>353</v>
      </c>
      <c r="B2465" s="103">
        <v>41688</v>
      </c>
      <c r="C2465" s="102">
        <v>7982.78</v>
      </c>
    </row>
    <row r="2466" spans="1:3">
      <c r="A2466" s="102" t="s">
        <v>353</v>
      </c>
      <c r="B2466" s="103">
        <v>41687</v>
      </c>
      <c r="C2466" s="102">
        <v>7912.71</v>
      </c>
    </row>
    <row r="2467" spans="1:3">
      <c r="A2467" s="102" t="s">
        <v>353</v>
      </c>
      <c r="B2467" s="103">
        <v>41684</v>
      </c>
      <c r="C2467" s="102">
        <v>7878.87</v>
      </c>
    </row>
    <row r="2468" spans="1:3">
      <c r="A2468" s="102" t="s">
        <v>353</v>
      </c>
      <c r="B2468" s="103">
        <v>41683</v>
      </c>
      <c r="C2468" s="102">
        <v>7817.32</v>
      </c>
    </row>
    <row r="2469" spans="1:3">
      <c r="A2469" s="102" t="s">
        <v>353</v>
      </c>
      <c r="B2469" s="103">
        <v>41682</v>
      </c>
      <c r="C2469" s="102">
        <v>7925.09</v>
      </c>
    </row>
    <row r="2470" spans="1:3">
      <c r="A2470" s="102" t="s">
        <v>353</v>
      </c>
      <c r="B2470" s="103">
        <v>41681</v>
      </c>
      <c r="C2470" s="102">
        <v>7896.79</v>
      </c>
    </row>
    <row r="2471" spans="1:3">
      <c r="A2471" s="102" t="s">
        <v>353</v>
      </c>
      <c r="B2471" s="103">
        <v>41680</v>
      </c>
      <c r="C2471" s="102">
        <v>7884.34</v>
      </c>
    </row>
    <row r="2472" spans="1:3">
      <c r="A2472" s="102" t="s">
        <v>353</v>
      </c>
      <c r="B2472" s="103">
        <v>41677</v>
      </c>
      <c r="C2472" s="102">
        <v>7896.41</v>
      </c>
    </row>
    <row r="2473" spans="1:3">
      <c r="A2473" s="102" t="s">
        <v>353</v>
      </c>
      <c r="B2473" s="103">
        <v>41676</v>
      </c>
      <c r="C2473" s="102">
        <v>7861.05</v>
      </c>
    </row>
    <row r="2474" spans="1:3">
      <c r="A2474" s="102" t="s">
        <v>353</v>
      </c>
      <c r="B2474" s="103">
        <v>41675</v>
      </c>
      <c r="C2474" s="102">
        <v>7842.98</v>
      </c>
    </row>
    <row r="2475" spans="1:3">
      <c r="A2475" s="102" t="s">
        <v>353</v>
      </c>
      <c r="B2475" s="103">
        <v>41674</v>
      </c>
      <c r="C2475" s="102">
        <v>7814.96</v>
      </c>
    </row>
    <row r="2476" spans="1:3">
      <c r="A2476" s="102" t="s">
        <v>353</v>
      </c>
      <c r="B2476" s="103">
        <v>41673</v>
      </c>
      <c r="C2476" s="102">
        <v>7816.09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60134-BF22-45FC-B8FA-E2FD28DCA320}">
  <dimension ref="A1:R92"/>
  <sheetViews>
    <sheetView topLeftCell="C1" workbookViewId="0">
      <selection activeCell="K8" sqref="K8"/>
    </sheetView>
  </sheetViews>
  <sheetFormatPr defaultRowHeight="14.4"/>
  <cols>
    <col min="1" max="1" width="15.88671875" customWidth="1"/>
    <col min="2" max="2" width="13.33203125" customWidth="1"/>
    <col min="3" max="3" width="16" bestFit="1" customWidth="1"/>
    <col min="4" max="4" width="12.88671875" customWidth="1"/>
    <col min="5" max="5" width="10.109375" customWidth="1"/>
    <col min="7" max="7" width="20.33203125" customWidth="1"/>
    <col min="8" max="13" width="17.5546875" customWidth="1"/>
  </cols>
  <sheetData>
    <row r="1" spans="1:18">
      <c r="A1" s="211" t="s">
        <v>0</v>
      </c>
      <c r="B1" s="211"/>
      <c r="C1" s="211"/>
      <c r="D1" s="211"/>
      <c r="E1" s="211"/>
      <c r="F1" s="156"/>
      <c r="G1" s="158" t="s">
        <v>355</v>
      </c>
      <c r="H1" s="84">
        <f>SLOPE(E7:E66,C7:C66)</f>
        <v>0.57722120349183947</v>
      </c>
    </row>
    <row r="2" spans="1:18">
      <c r="A2" s="210" t="s">
        <v>356</v>
      </c>
      <c r="B2" s="210"/>
      <c r="C2" s="210"/>
      <c r="D2" s="210"/>
      <c r="E2" s="210"/>
      <c r="F2" s="156"/>
      <c r="G2" s="156"/>
    </row>
    <row r="3" spans="1:18">
      <c r="A3" s="90"/>
      <c r="B3" s="90"/>
      <c r="C3" s="90"/>
      <c r="D3" s="90"/>
      <c r="E3" s="90"/>
      <c r="F3" s="90"/>
      <c r="G3" s="155" t="s">
        <v>357</v>
      </c>
    </row>
    <row r="4" spans="1:18">
      <c r="A4" s="116"/>
      <c r="B4" s="90" t="s">
        <v>358</v>
      </c>
      <c r="C4" s="90" t="s">
        <v>359</v>
      </c>
      <c r="D4" s="90" t="s">
        <v>360</v>
      </c>
      <c r="E4" s="90" t="s">
        <v>361</v>
      </c>
      <c r="F4" s="116"/>
      <c r="G4" s="116"/>
    </row>
    <row r="5" spans="1:18">
      <c r="A5" s="90" t="s">
        <v>362</v>
      </c>
      <c r="B5" s="90" t="s">
        <v>363</v>
      </c>
      <c r="C5" s="90" t="s">
        <v>364</v>
      </c>
      <c r="D5" s="90" t="s">
        <v>365</v>
      </c>
      <c r="E5" s="90" t="s">
        <v>364</v>
      </c>
      <c r="F5" s="116"/>
      <c r="G5" s="212" t="s">
        <v>366</v>
      </c>
      <c r="H5" s="212"/>
    </row>
    <row r="6" spans="1:18">
      <c r="A6" s="119">
        <v>43497</v>
      </c>
      <c r="B6" s="118">
        <v>35867.440000000002</v>
      </c>
      <c r="C6" s="118"/>
      <c r="D6" s="118">
        <v>1746.6</v>
      </c>
      <c r="E6" s="117"/>
      <c r="G6" t="s">
        <v>367</v>
      </c>
      <c r="H6" s="123">
        <f>CORREL(C7:C66,E7:E66)</f>
        <v>0.41142623162793979</v>
      </c>
      <c r="Q6" s="122"/>
    </row>
    <row r="7" spans="1:18">
      <c r="A7" s="119">
        <v>43525</v>
      </c>
      <c r="B7" s="118">
        <v>38672.910000000003</v>
      </c>
      <c r="C7" s="120">
        <f>B7/B6-1</f>
        <v>7.8217737312727076E-2</v>
      </c>
      <c r="D7" s="118">
        <v>1751.8</v>
      </c>
      <c r="E7" s="121">
        <f>D7/D6-1</f>
        <v>2.9772128707203915E-3</v>
      </c>
      <c r="G7" t="s">
        <v>368</v>
      </c>
      <c r="H7" s="123">
        <f>RSQ(E7:E66,C7:C66)</f>
        <v>0.16927154407156722</v>
      </c>
      <c r="R7" s="123"/>
    </row>
    <row r="8" spans="1:18">
      <c r="A8" s="119">
        <v>43556</v>
      </c>
      <c r="B8" s="118">
        <v>39031.550000000003</v>
      </c>
      <c r="C8" s="120">
        <f t="shared" ref="C8:C66" si="0">B8/B7-1</f>
        <v>9.2736750350568276E-3</v>
      </c>
      <c r="D8" s="118">
        <v>1719.95</v>
      </c>
      <c r="E8" s="121">
        <f t="shared" ref="E8:E66" si="1">D8/D7-1</f>
        <v>-1.818129923507239E-2</v>
      </c>
      <c r="G8" t="s">
        <v>369</v>
      </c>
      <c r="H8" s="123">
        <f>1-(1-H7)*(60-1)/(60-1-1)</f>
        <v>0.15494863965900796</v>
      </c>
      <c r="R8" s="123"/>
    </row>
    <row r="9" spans="1:18">
      <c r="A9" s="119">
        <v>43586</v>
      </c>
      <c r="B9" s="118">
        <v>39714.199999999997</v>
      </c>
      <c r="C9" s="120">
        <f t="shared" si="0"/>
        <v>1.7489697437073293E-2</v>
      </c>
      <c r="D9" s="118">
        <v>1790.05</v>
      </c>
      <c r="E9" s="121">
        <f t="shared" si="1"/>
        <v>4.0756998749963635E-2</v>
      </c>
      <c r="G9" t="s">
        <v>370</v>
      </c>
      <c r="H9" s="123">
        <f>SQRT(INDEX(LINEST(E7:E66,C7:C66,TRUE,TRUE),3,2)/58)</f>
        <v>3.466788543883477E-2</v>
      </c>
      <c r="R9" s="123"/>
    </row>
    <row r="10" spans="1:18">
      <c r="A10" s="119">
        <v>43617</v>
      </c>
      <c r="B10" s="118">
        <v>39394.639999999999</v>
      </c>
      <c r="C10" s="120">
        <f t="shared" si="0"/>
        <v>-8.0464921866737482E-3</v>
      </c>
      <c r="D10" s="118">
        <v>1668.65</v>
      </c>
      <c r="E10" s="121">
        <f t="shared" si="1"/>
        <v>-6.7819334655456531E-2</v>
      </c>
      <c r="G10" s="124" t="s">
        <v>371</v>
      </c>
      <c r="H10" s="125">
        <v>60</v>
      </c>
      <c r="R10" s="123"/>
    </row>
    <row r="11" spans="1:18">
      <c r="A11" s="119">
        <v>43647</v>
      </c>
      <c r="B11" s="118">
        <v>37481.120000000003</v>
      </c>
      <c r="C11" s="120">
        <f t="shared" si="0"/>
        <v>-4.8573105376771952E-2</v>
      </c>
      <c r="D11" s="118">
        <v>1736.85</v>
      </c>
      <c r="E11" s="121">
        <f t="shared" si="1"/>
        <v>4.0871363077937151E-2</v>
      </c>
    </row>
    <row r="12" spans="1:18">
      <c r="A12" s="119">
        <v>43678</v>
      </c>
      <c r="B12" s="118">
        <v>37332.79</v>
      </c>
      <c r="C12" s="120">
        <f t="shared" si="0"/>
        <v>-3.9574591154160066E-3</v>
      </c>
      <c r="D12" s="118">
        <v>1816.85</v>
      </c>
      <c r="E12" s="121">
        <f t="shared" si="1"/>
        <v>4.6060396695166483E-2</v>
      </c>
      <c r="G12" s="46" t="s">
        <v>372</v>
      </c>
    </row>
    <row r="13" spans="1:18">
      <c r="A13" s="119">
        <v>43709</v>
      </c>
      <c r="B13" s="118">
        <v>38667.33</v>
      </c>
      <c r="C13" s="120">
        <f t="shared" si="0"/>
        <v>3.5747127391229094E-2</v>
      </c>
      <c r="D13" s="118">
        <v>1903.85</v>
      </c>
      <c r="E13" s="121">
        <f t="shared" si="1"/>
        <v>4.7885075818036693E-2</v>
      </c>
      <c r="G13" s="127"/>
      <c r="H13" s="128" t="s">
        <v>373</v>
      </c>
      <c r="I13" s="128" t="s">
        <v>374</v>
      </c>
      <c r="J13" s="128" t="s">
        <v>375</v>
      </c>
      <c r="K13" s="128" t="s">
        <v>376</v>
      </c>
      <c r="L13" s="128" t="s">
        <v>377</v>
      </c>
    </row>
    <row r="14" spans="1:18">
      <c r="A14" s="119">
        <v>43739</v>
      </c>
      <c r="B14" s="118">
        <v>40129.050000000003</v>
      </c>
      <c r="C14" s="120">
        <f t="shared" si="0"/>
        <v>3.7802454940643715E-2</v>
      </c>
      <c r="D14" s="118">
        <v>1989.85</v>
      </c>
      <c r="E14" s="121">
        <f t="shared" si="1"/>
        <v>4.5171625915907176E-2</v>
      </c>
      <c r="G14" t="s">
        <v>378</v>
      </c>
      <c r="H14" s="87">
        <v>1</v>
      </c>
      <c r="I14" s="123">
        <f>DEVSQ(E7:E66)-INDEX(LINEST(E7:E66,C7:C66,TRUE,TRUE),5,2)</f>
        <v>5.7427281803663244E-2</v>
      </c>
      <c r="J14" s="123">
        <f>I14/H14</f>
        <v>5.7427281803663244E-2</v>
      </c>
      <c r="K14" s="130">
        <f>J14/J15</f>
        <v>11.818241551841954</v>
      </c>
      <c r="L14" s="123">
        <f>_xlfn.F.DIST.RT(K14,H14,H15)</f>
        <v>1.0916161913169121E-3</v>
      </c>
    </row>
    <row r="15" spans="1:18">
      <c r="A15" s="119">
        <v>43770</v>
      </c>
      <c r="B15" s="118">
        <v>40793.81</v>
      </c>
      <c r="C15" s="120">
        <f t="shared" si="0"/>
        <v>1.6565555376965024E-2</v>
      </c>
      <c r="D15" s="118">
        <v>2025.2</v>
      </c>
      <c r="E15" s="121">
        <f t="shared" si="1"/>
        <v>1.776515817775226E-2</v>
      </c>
      <c r="G15" t="s">
        <v>379</v>
      </c>
      <c r="H15" s="87">
        <f>60-H14-1</f>
        <v>58</v>
      </c>
      <c r="I15" s="123">
        <f>INDEX(LINEST(E7:E66,C7:C66,TRUE,TRUE),5,2)</f>
        <v>0.28183400466149239</v>
      </c>
      <c r="J15" s="123">
        <f>I15/H15</f>
        <v>4.8592069769222822E-3</v>
      </c>
    </row>
    <row r="16" spans="1:18">
      <c r="A16" s="119">
        <v>43800</v>
      </c>
      <c r="B16" s="118">
        <v>41253.74</v>
      </c>
      <c r="C16" s="120">
        <f t="shared" si="0"/>
        <v>1.127450463685542E-2</v>
      </c>
      <c r="D16" s="118">
        <v>2013.55</v>
      </c>
      <c r="E16" s="121">
        <f t="shared" si="1"/>
        <v>-5.7525182698006105E-3</v>
      </c>
      <c r="G16" s="124" t="s">
        <v>147</v>
      </c>
      <c r="H16" s="125">
        <f>H14+H15</f>
        <v>59</v>
      </c>
      <c r="I16" s="129">
        <f>I14+I15</f>
        <v>0.33926128646515563</v>
      </c>
      <c r="J16" s="124"/>
      <c r="K16" s="124"/>
      <c r="L16" s="124"/>
    </row>
    <row r="17" spans="1:13">
      <c r="A17" s="119">
        <v>43831</v>
      </c>
      <c r="B17" s="118">
        <v>40723.49</v>
      </c>
      <c r="C17" s="120">
        <f t="shared" si="0"/>
        <v>-1.285338008141812E-2</v>
      </c>
      <c r="D17" s="118">
        <v>2394.3000000000002</v>
      </c>
      <c r="E17" s="121">
        <f t="shared" si="1"/>
        <v>0.18909388890268453</v>
      </c>
    </row>
    <row r="18" spans="1:13">
      <c r="A18" s="119">
        <v>43862</v>
      </c>
      <c r="B18" s="118">
        <v>38297.29</v>
      </c>
      <c r="C18" s="120">
        <f t="shared" si="0"/>
        <v>-5.957740851778659E-2</v>
      </c>
      <c r="D18" s="118">
        <v>2627.9</v>
      </c>
      <c r="E18" s="121">
        <f t="shared" si="1"/>
        <v>9.7565050327862002E-2</v>
      </c>
      <c r="G18" s="127"/>
      <c r="H18" s="128" t="s">
        <v>380</v>
      </c>
      <c r="I18" s="128" t="s">
        <v>370</v>
      </c>
      <c r="J18" s="128" t="s">
        <v>381</v>
      </c>
      <c r="K18" s="128" t="s">
        <v>382</v>
      </c>
      <c r="L18" s="128" t="s">
        <v>383</v>
      </c>
      <c r="M18" s="128" t="s">
        <v>384</v>
      </c>
    </row>
    <row r="19" spans="1:13">
      <c r="A19" s="119">
        <v>43891</v>
      </c>
      <c r="B19" s="118">
        <v>29468.49</v>
      </c>
      <c r="C19" s="120">
        <f t="shared" si="0"/>
        <v>-0.23053328316442234</v>
      </c>
      <c r="D19" s="118">
        <v>2328.85</v>
      </c>
      <c r="E19" s="121">
        <f t="shared" si="1"/>
        <v>-0.11379808972944183</v>
      </c>
      <c r="G19" t="s">
        <v>385</v>
      </c>
      <c r="H19" s="123">
        <f>INTERCEPT(E7:E66,C7:C66)</f>
        <v>1.2947103353762906E-2</v>
      </c>
      <c r="I19" s="123">
        <f>INDEX(LINEST(E7:E66,C7:C66,TRUE,TRUE),2,2)</f>
        <v>9.2718305062639544E-3</v>
      </c>
      <c r="J19" s="123">
        <f>H19/I19</f>
        <v>1.396391289186744</v>
      </c>
      <c r="K19" s="123">
        <f>_xlfn.T.DIST.2T(ABS(J19),H15)</f>
        <v>0.16791807936566996</v>
      </c>
      <c r="L19" s="123">
        <f>H19-_xlfn.T.INV.2T(0.05,H15)*I19</f>
        <v>-5.6124818806568208E-3</v>
      </c>
      <c r="M19" s="131">
        <f>H19+_xlfn.T.INV.2T(0.05,H15)*I19</f>
        <v>3.1506688588182633E-2</v>
      </c>
    </row>
    <row r="20" spans="1:13">
      <c r="A20" s="119">
        <v>43922</v>
      </c>
      <c r="B20" s="118">
        <v>33717.620000000003</v>
      </c>
      <c r="C20" s="120">
        <f t="shared" si="0"/>
        <v>0.14419232203618182</v>
      </c>
      <c r="D20" s="118">
        <v>2608.4499999999998</v>
      </c>
      <c r="E20" s="121">
        <f t="shared" si="1"/>
        <v>0.12005925671468742</v>
      </c>
      <c r="G20" s="124" t="s">
        <v>386</v>
      </c>
      <c r="H20" s="129">
        <f>SLOPE(E7:E66,C7:C66)</f>
        <v>0.57722120349183947</v>
      </c>
      <c r="I20" s="129">
        <f>INDEX(LINEST(E7:E66,C7:C66,TRUE,TRUE),2,1)</f>
        <v>0.16790585665769142</v>
      </c>
      <c r="J20" s="129">
        <f>H20/I20</f>
        <v>3.4377669426303372</v>
      </c>
      <c r="K20" s="129">
        <f>_xlfn.T.DIST.2T(ABS(J20),H15)</f>
        <v>1.0916161913169212E-3</v>
      </c>
      <c r="L20" s="132">
        <f>H20-_xlfn.T.INV.2T(0.05,H15)*I20</f>
        <v>0.24112111452975493</v>
      </c>
      <c r="M20" s="133">
        <f>H20+_xlfn.T.INV.2T(0.05,H15)*I20</f>
        <v>0.91332129245392402</v>
      </c>
    </row>
    <row r="21" spans="1:13">
      <c r="A21" s="119">
        <v>43952</v>
      </c>
      <c r="B21" s="118">
        <v>32424.1</v>
      </c>
      <c r="C21" s="120">
        <f t="shared" si="0"/>
        <v>-3.8363324576289881E-2</v>
      </c>
      <c r="D21" s="118">
        <v>2261.1999999999998</v>
      </c>
      <c r="E21" s="121">
        <f t="shared" si="1"/>
        <v>-0.13312503594088443</v>
      </c>
    </row>
    <row r="22" spans="1:13">
      <c r="A22" s="119">
        <v>43983</v>
      </c>
      <c r="B22" s="118">
        <v>34915.800000000003</v>
      </c>
      <c r="C22" s="120">
        <f t="shared" si="0"/>
        <v>7.6847159982852409E-2</v>
      </c>
      <c r="D22" s="118">
        <v>2366.1</v>
      </c>
      <c r="E22" s="121">
        <f t="shared" si="1"/>
        <v>4.6391296656642433E-2</v>
      </c>
    </row>
    <row r="23" spans="1:13">
      <c r="A23" s="119">
        <v>44013</v>
      </c>
      <c r="B23" s="118">
        <v>37606.89</v>
      </c>
      <c r="C23" s="120">
        <f t="shared" si="0"/>
        <v>7.7073703022700224E-2</v>
      </c>
      <c r="D23" s="118">
        <v>2662.4</v>
      </c>
      <c r="E23" s="121">
        <f t="shared" si="1"/>
        <v>0.12522716706817127</v>
      </c>
    </row>
    <row r="24" spans="1:13">
      <c r="A24" s="119">
        <v>44044</v>
      </c>
      <c r="B24" s="118">
        <v>38628.29</v>
      </c>
      <c r="C24" s="120">
        <f t="shared" si="0"/>
        <v>2.7159916706752441E-2</v>
      </c>
      <c r="D24" s="118">
        <v>2720.8</v>
      </c>
      <c r="E24" s="121">
        <f t="shared" si="1"/>
        <v>2.1935096153846256E-2</v>
      </c>
    </row>
    <row r="25" spans="1:13">
      <c r="A25" s="119">
        <v>44075</v>
      </c>
      <c r="B25" s="118">
        <v>38067.93</v>
      </c>
      <c r="C25" s="120">
        <f t="shared" si="0"/>
        <v>-1.4506466633651183E-2</v>
      </c>
      <c r="D25" s="118">
        <v>2779.05</v>
      </c>
      <c r="E25" s="121">
        <f t="shared" si="1"/>
        <v>2.140914436930319E-2</v>
      </c>
    </row>
    <row r="26" spans="1:13">
      <c r="A26" s="119">
        <v>44105</v>
      </c>
      <c r="B26" s="118">
        <v>39614.07</v>
      </c>
      <c r="C26" s="120">
        <f t="shared" si="0"/>
        <v>4.061528956263194E-2</v>
      </c>
      <c r="D26" s="118">
        <v>2634.25</v>
      </c>
      <c r="E26" s="121">
        <f t="shared" si="1"/>
        <v>-5.2104136305572091E-2</v>
      </c>
    </row>
    <row r="27" spans="1:13">
      <c r="A27" s="119">
        <v>44136</v>
      </c>
      <c r="B27" s="118">
        <v>44149.72</v>
      </c>
      <c r="C27" s="120">
        <f t="shared" si="0"/>
        <v>0.11449593540880798</v>
      </c>
      <c r="D27" s="118">
        <v>2840.65</v>
      </c>
      <c r="E27" s="121">
        <f t="shared" si="1"/>
        <v>7.8352472240675652E-2</v>
      </c>
    </row>
    <row r="28" spans="1:13">
      <c r="A28" s="119">
        <v>44166</v>
      </c>
      <c r="B28" s="118">
        <v>47751.33</v>
      </c>
      <c r="C28" s="120">
        <f t="shared" si="0"/>
        <v>8.15771878054945E-2</v>
      </c>
      <c r="D28" s="118">
        <v>2908.7</v>
      </c>
      <c r="E28" s="121">
        <f t="shared" si="1"/>
        <v>2.3955784767570654E-2</v>
      </c>
    </row>
    <row r="29" spans="1:13">
      <c r="A29" s="119">
        <v>44197</v>
      </c>
      <c r="B29" s="118">
        <v>46285.77</v>
      </c>
      <c r="C29" s="120">
        <f t="shared" si="0"/>
        <v>-3.0691501158187751E-2</v>
      </c>
      <c r="D29" s="118">
        <v>3003.75</v>
      </c>
      <c r="E29" s="121">
        <f t="shared" si="1"/>
        <v>3.2677828583215884E-2</v>
      </c>
    </row>
    <row r="30" spans="1:13">
      <c r="A30" s="119">
        <v>44228</v>
      </c>
      <c r="B30" s="118">
        <v>49099.99</v>
      </c>
      <c r="C30" s="120">
        <f t="shared" si="0"/>
        <v>6.0800976196355938E-2</v>
      </c>
      <c r="D30" s="118">
        <v>2718.6</v>
      </c>
      <c r="E30" s="121">
        <f t="shared" si="1"/>
        <v>-9.4931335830212293E-2</v>
      </c>
    </row>
    <row r="31" spans="1:13">
      <c r="A31" s="119">
        <v>44256</v>
      </c>
      <c r="B31" s="118">
        <v>49509.15</v>
      </c>
      <c r="C31" s="120">
        <f t="shared" si="0"/>
        <v>8.3331992531974208E-3</v>
      </c>
      <c r="D31" s="118">
        <v>2772.2</v>
      </c>
      <c r="E31" s="121">
        <f t="shared" si="1"/>
        <v>1.9716030309718136E-2</v>
      </c>
    </row>
    <row r="32" spans="1:13">
      <c r="A32" s="119">
        <v>44287</v>
      </c>
      <c r="B32" s="118">
        <v>48782.36</v>
      </c>
      <c r="C32" s="120">
        <f t="shared" si="0"/>
        <v>-1.4679912703005393E-2</v>
      </c>
      <c r="D32" s="118">
        <v>2757.25</v>
      </c>
      <c r="E32" s="121">
        <f t="shared" si="1"/>
        <v>-5.3928288002308422E-3</v>
      </c>
    </row>
    <row r="33" spans="1:5">
      <c r="A33" s="119">
        <v>44317</v>
      </c>
      <c r="B33" s="118">
        <v>51937.440000000002</v>
      </c>
      <c r="C33" s="120">
        <f t="shared" si="0"/>
        <v>6.4676657709877183E-2</v>
      </c>
      <c r="D33" s="118">
        <v>2984.9</v>
      </c>
      <c r="E33" s="121">
        <f t="shared" si="1"/>
        <v>8.2564149061564951E-2</v>
      </c>
    </row>
    <row r="34" spans="1:5">
      <c r="A34" s="119">
        <v>44348</v>
      </c>
      <c r="B34" s="118">
        <v>52482.71</v>
      </c>
      <c r="C34" s="120">
        <f t="shared" si="0"/>
        <v>1.0498592152404784E-2</v>
      </c>
      <c r="D34" s="118">
        <v>3196.7</v>
      </c>
      <c r="E34" s="121">
        <f t="shared" si="1"/>
        <v>7.0957150993333107E-2</v>
      </c>
    </row>
    <row r="35" spans="1:5">
      <c r="A35" s="119">
        <v>44378</v>
      </c>
      <c r="B35" s="118">
        <v>52586.84</v>
      </c>
      <c r="C35" s="120">
        <f t="shared" si="0"/>
        <v>1.9840819957657185E-3</v>
      </c>
      <c r="D35" s="118">
        <v>3454.55</v>
      </c>
      <c r="E35" s="121">
        <f t="shared" si="1"/>
        <v>8.0661306972815927E-2</v>
      </c>
    </row>
    <row r="36" spans="1:5">
      <c r="A36" s="119">
        <v>44409</v>
      </c>
      <c r="B36" s="118">
        <v>57552.39</v>
      </c>
      <c r="C36" s="120">
        <f t="shared" si="0"/>
        <v>9.4425715635318763E-2</v>
      </c>
      <c r="D36" s="118">
        <v>3878.6</v>
      </c>
      <c r="E36" s="121">
        <f t="shared" si="1"/>
        <v>0.12275115427479699</v>
      </c>
    </row>
    <row r="37" spans="1:5">
      <c r="A37" s="119">
        <v>44440</v>
      </c>
      <c r="B37" s="118">
        <v>59126.36</v>
      </c>
      <c r="C37" s="120">
        <f t="shared" si="0"/>
        <v>2.7348473277999386E-2</v>
      </c>
      <c r="D37" s="118">
        <v>3980.05</v>
      </c>
      <c r="E37" s="121">
        <f t="shared" si="1"/>
        <v>2.6156345072964493E-2</v>
      </c>
    </row>
    <row r="38" spans="1:5">
      <c r="A38" s="119">
        <v>44470</v>
      </c>
      <c r="B38" s="118">
        <v>59306.93</v>
      </c>
      <c r="C38" s="120">
        <f t="shared" si="0"/>
        <v>3.0539678072520893E-3</v>
      </c>
      <c r="D38" s="118">
        <v>3608.45</v>
      </c>
      <c r="E38" s="121">
        <f t="shared" si="1"/>
        <v>-9.3365661235411679E-2</v>
      </c>
    </row>
    <row r="39" spans="1:5">
      <c r="A39" s="119">
        <v>44501</v>
      </c>
      <c r="B39" s="118">
        <v>57064.87</v>
      </c>
      <c r="C39" s="120">
        <f t="shared" si="0"/>
        <v>-3.7804351026094252E-2</v>
      </c>
      <c r="D39" s="118">
        <v>3591.3</v>
      </c>
      <c r="E39" s="121">
        <f t="shared" si="1"/>
        <v>-4.7527331679806384E-3</v>
      </c>
    </row>
    <row r="40" spans="1:5">
      <c r="A40" s="119">
        <v>44531</v>
      </c>
      <c r="B40" s="118">
        <v>58253.82</v>
      </c>
      <c r="C40" s="120">
        <f t="shared" si="0"/>
        <v>2.0835060169242414E-2</v>
      </c>
      <c r="D40" s="118">
        <v>3622.95</v>
      </c>
      <c r="E40" s="121">
        <f t="shared" si="1"/>
        <v>8.8129646646060156E-3</v>
      </c>
    </row>
    <row r="41" spans="1:5">
      <c r="A41" s="119">
        <v>44562</v>
      </c>
      <c r="B41" s="118">
        <v>58014.17</v>
      </c>
      <c r="C41" s="120">
        <f t="shared" si="0"/>
        <v>-4.113893303477778E-3</v>
      </c>
      <c r="D41" s="118">
        <v>3541.6</v>
      </c>
      <c r="E41" s="121">
        <f t="shared" si="1"/>
        <v>-2.2454077478298085E-2</v>
      </c>
    </row>
    <row r="42" spans="1:5">
      <c r="A42" s="119">
        <v>44593</v>
      </c>
      <c r="B42" s="118">
        <v>56247.28</v>
      </c>
      <c r="C42" s="120">
        <f t="shared" si="0"/>
        <v>-3.0456179929834404E-2</v>
      </c>
      <c r="D42" s="118">
        <v>3278.35</v>
      </c>
      <c r="E42" s="121">
        <f t="shared" si="1"/>
        <v>-7.4330810932911717E-2</v>
      </c>
    </row>
    <row r="43" spans="1:5">
      <c r="A43" s="119">
        <v>44621</v>
      </c>
      <c r="B43" s="118">
        <v>58568.51</v>
      </c>
      <c r="C43" s="120">
        <f t="shared" si="0"/>
        <v>4.1268306663006626E-2</v>
      </c>
      <c r="D43" s="118">
        <v>3617.1</v>
      </c>
      <c r="E43" s="121">
        <f t="shared" si="1"/>
        <v>0.10332941876248714</v>
      </c>
    </row>
    <row r="44" spans="1:5">
      <c r="A44" s="119">
        <v>44652</v>
      </c>
      <c r="B44" s="118">
        <v>57060.87</v>
      </c>
      <c r="C44" s="120">
        <f t="shared" si="0"/>
        <v>-2.5741477800954815E-2</v>
      </c>
      <c r="D44" s="118">
        <v>3253.05</v>
      </c>
      <c r="E44" s="121">
        <f t="shared" si="1"/>
        <v>-0.10064692709629253</v>
      </c>
    </row>
    <row r="45" spans="1:5">
      <c r="A45" s="119">
        <v>44682</v>
      </c>
      <c r="B45" s="118">
        <v>55566.41</v>
      </c>
      <c r="C45" s="120">
        <f t="shared" si="0"/>
        <v>-2.6190627657797672E-2</v>
      </c>
      <c r="D45" s="118">
        <v>3152.15</v>
      </c>
      <c r="E45" s="121">
        <f t="shared" si="1"/>
        <v>-3.101704554187612E-2</v>
      </c>
    </row>
    <row r="46" spans="1:5">
      <c r="A46" s="119">
        <v>44713</v>
      </c>
      <c r="B46" s="118">
        <v>53018.94</v>
      </c>
      <c r="C46" s="120">
        <f t="shared" si="0"/>
        <v>-4.5845502705681329E-2</v>
      </c>
      <c r="D46" s="118">
        <v>3001.05</v>
      </c>
      <c r="E46" s="121">
        <f t="shared" si="1"/>
        <v>-4.7935536062687301E-2</v>
      </c>
    </row>
    <row r="47" spans="1:5">
      <c r="A47" s="119">
        <v>44743</v>
      </c>
      <c r="B47" s="118">
        <v>57570.25</v>
      </c>
      <c r="C47" s="120">
        <f t="shared" si="0"/>
        <v>8.5843096825398479E-2</v>
      </c>
      <c r="D47" s="118">
        <v>3221.55</v>
      </c>
      <c r="E47" s="121">
        <f t="shared" si="1"/>
        <v>7.3474284000599743E-2</v>
      </c>
    </row>
    <row r="48" spans="1:5">
      <c r="A48" s="119">
        <v>44774</v>
      </c>
      <c r="B48" s="118">
        <v>59537.07</v>
      </c>
      <c r="C48" s="120">
        <f t="shared" si="0"/>
        <v>3.4163825934401926E-2</v>
      </c>
      <c r="D48" s="118">
        <v>2975.5</v>
      </c>
      <c r="E48" s="121">
        <f t="shared" si="1"/>
        <v>-7.6376278499480144E-2</v>
      </c>
    </row>
    <row r="49" spans="1:5">
      <c r="A49" s="119">
        <v>44805</v>
      </c>
      <c r="B49" s="118">
        <v>57426.92</v>
      </c>
      <c r="C49" s="120">
        <f t="shared" si="0"/>
        <v>-3.5442624233943731E-2</v>
      </c>
      <c r="D49" s="118">
        <v>3279.75</v>
      </c>
      <c r="E49" s="121">
        <f t="shared" si="1"/>
        <v>0.10225172239959668</v>
      </c>
    </row>
    <row r="50" spans="1:5">
      <c r="A50" s="119">
        <v>44835</v>
      </c>
      <c r="B50" s="118">
        <v>60746.59</v>
      </c>
      <c r="C50" s="120">
        <f t="shared" si="0"/>
        <v>5.7806861311733293E-2</v>
      </c>
      <c r="D50" s="118">
        <v>3155.05</v>
      </c>
      <c r="E50" s="121">
        <f t="shared" si="1"/>
        <v>-3.8021190639530356E-2</v>
      </c>
    </row>
    <row r="51" spans="1:5">
      <c r="A51" s="119">
        <v>44866</v>
      </c>
      <c r="B51" s="118">
        <v>63099.65</v>
      </c>
      <c r="C51" s="120">
        <f t="shared" si="0"/>
        <v>3.8735672241026364E-2</v>
      </c>
      <c r="D51" s="118">
        <v>3126.35</v>
      </c>
      <c r="E51" s="121">
        <f t="shared" si="1"/>
        <v>-9.0965277887831153E-3</v>
      </c>
    </row>
    <row r="52" spans="1:5">
      <c r="A52" s="119">
        <v>44896</v>
      </c>
      <c r="B52" s="118">
        <v>60840.74</v>
      </c>
      <c r="C52" s="120">
        <f t="shared" si="0"/>
        <v>-3.5799089218403024E-2</v>
      </c>
      <c r="D52" s="118">
        <v>3005.25</v>
      </c>
      <c r="E52" s="121">
        <f t="shared" si="1"/>
        <v>-3.8735266364930299E-2</v>
      </c>
    </row>
    <row r="53" spans="1:5">
      <c r="A53" s="119">
        <v>44927</v>
      </c>
      <c r="B53" s="118">
        <v>59549.9</v>
      </c>
      <c r="C53" s="120">
        <f t="shared" si="0"/>
        <v>-2.1216704464804281E-2</v>
      </c>
      <c r="D53" s="118">
        <v>3009.75</v>
      </c>
      <c r="E53" s="121">
        <f t="shared" si="1"/>
        <v>1.4973795857249339E-3</v>
      </c>
    </row>
    <row r="54" spans="1:5">
      <c r="A54" s="119">
        <v>44958</v>
      </c>
      <c r="B54" s="118">
        <v>58962.12</v>
      </c>
      <c r="C54" s="120">
        <f t="shared" si="0"/>
        <v>-9.8703776160833367E-3</v>
      </c>
      <c r="D54" s="118">
        <v>3175.5</v>
      </c>
      <c r="E54" s="121">
        <f t="shared" si="1"/>
        <v>5.5071019187640236E-2</v>
      </c>
    </row>
    <row r="55" spans="1:5">
      <c r="A55" s="119">
        <v>44986</v>
      </c>
      <c r="B55" s="118">
        <v>58991.519999999997</v>
      </c>
      <c r="C55" s="120">
        <f t="shared" si="0"/>
        <v>4.9862521903887291E-4</v>
      </c>
      <c r="D55" s="118">
        <v>3397.85</v>
      </c>
      <c r="E55" s="121">
        <f t="shared" si="1"/>
        <v>7.002046921744598E-2</v>
      </c>
    </row>
    <row r="56" spans="1:5">
      <c r="A56" s="119">
        <v>45017</v>
      </c>
      <c r="B56" s="118">
        <v>61112.44</v>
      </c>
      <c r="C56" s="120">
        <f t="shared" si="0"/>
        <v>3.5952964087041739E-2</v>
      </c>
      <c r="D56" s="118">
        <v>3513.5</v>
      </c>
      <c r="E56" s="121">
        <f t="shared" si="1"/>
        <v>3.4036228791735956E-2</v>
      </c>
    </row>
    <row r="57" spans="1:5">
      <c r="A57" s="119">
        <v>45047</v>
      </c>
      <c r="B57" s="118">
        <v>62622.239999999998</v>
      </c>
      <c r="C57" s="120">
        <f t="shared" si="0"/>
        <v>2.4705280954254061E-2</v>
      </c>
      <c r="D57" s="118">
        <v>3358</v>
      </c>
      <c r="E57" s="121">
        <f t="shared" si="1"/>
        <v>-4.4257862530240555E-2</v>
      </c>
    </row>
    <row r="58" spans="1:5">
      <c r="A58" s="119">
        <v>45078</v>
      </c>
      <c r="B58" s="118">
        <v>64718.559999999998</v>
      </c>
      <c r="C58" s="120">
        <f t="shared" si="0"/>
        <v>3.3475646990589913E-2</v>
      </c>
      <c r="D58" s="118">
        <v>3512.3</v>
      </c>
      <c r="E58" s="121">
        <f t="shared" si="1"/>
        <v>4.5949970220369396E-2</v>
      </c>
    </row>
    <row r="59" spans="1:5">
      <c r="A59" s="119">
        <v>45108</v>
      </c>
      <c r="B59" s="118">
        <v>66527.67</v>
      </c>
      <c r="C59" s="120">
        <f t="shared" si="0"/>
        <v>2.7953495875062684E-2</v>
      </c>
      <c r="D59" s="118">
        <v>3977.2</v>
      </c>
      <c r="E59" s="121">
        <f t="shared" si="1"/>
        <v>0.13236340859265994</v>
      </c>
    </row>
    <row r="60" spans="1:5">
      <c r="A60" s="119">
        <v>45139</v>
      </c>
      <c r="B60" s="118">
        <v>64831.41</v>
      </c>
      <c r="C60" s="120">
        <f t="shared" si="0"/>
        <v>-2.5497060095445945E-2</v>
      </c>
      <c r="D60" s="118">
        <v>3638.95</v>
      </c>
      <c r="E60" s="121">
        <f t="shared" si="1"/>
        <v>-8.5047269435784001E-2</v>
      </c>
    </row>
    <row r="61" spans="1:5">
      <c r="A61" s="119">
        <v>45170</v>
      </c>
      <c r="B61" s="118">
        <v>65828.41</v>
      </c>
      <c r="C61" s="120">
        <f t="shared" si="0"/>
        <v>1.5378348242001794E-2</v>
      </c>
      <c r="D61" s="118">
        <v>3607.65</v>
      </c>
      <c r="E61" s="121">
        <f t="shared" si="1"/>
        <v>-8.6013822668625783E-3</v>
      </c>
    </row>
    <row r="62" spans="1:5">
      <c r="A62" s="119">
        <v>45200</v>
      </c>
      <c r="B62" s="118">
        <v>63874.93</v>
      </c>
      <c r="C62" s="120">
        <f t="shared" si="0"/>
        <v>-2.9675333188208586E-2</v>
      </c>
      <c r="D62" s="118">
        <v>3723.3</v>
      </c>
      <c r="E62" s="121">
        <f t="shared" si="1"/>
        <v>3.2056879131844962E-2</v>
      </c>
    </row>
    <row r="63" spans="1:5">
      <c r="A63" s="119">
        <v>45231</v>
      </c>
      <c r="B63" s="118">
        <v>66988.44</v>
      </c>
      <c r="C63" s="120">
        <f t="shared" si="0"/>
        <v>4.8743849895412916E-2</v>
      </c>
      <c r="D63" s="118">
        <v>4725.7</v>
      </c>
      <c r="E63" s="121">
        <f t="shared" si="1"/>
        <v>0.26922353825907108</v>
      </c>
    </row>
    <row r="64" spans="1:5">
      <c r="A64" s="119">
        <v>45261</v>
      </c>
      <c r="B64" s="118">
        <v>72240.259999999995</v>
      </c>
      <c r="C64" s="120">
        <f t="shared" si="0"/>
        <v>7.8398899869887906E-2</v>
      </c>
      <c r="D64" s="118">
        <v>5192.6000000000004</v>
      </c>
      <c r="E64" s="121">
        <f t="shared" si="1"/>
        <v>9.8800177751444451E-2</v>
      </c>
    </row>
    <row r="65" spans="1:5">
      <c r="A65" s="119">
        <v>45292</v>
      </c>
      <c r="B65" s="118">
        <v>71752.11</v>
      </c>
      <c r="C65" s="120">
        <f t="shared" si="0"/>
        <v>-6.7573123352545617E-3</v>
      </c>
      <c r="D65" s="118">
        <v>4994.3999999999996</v>
      </c>
      <c r="E65" s="121">
        <f t="shared" si="1"/>
        <v>-3.8169703038940184E-2</v>
      </c>
    </row>
    <row r="66" spans="1:5">
      <c r="A66" s="119">
        <v>45323</v>
      </c>
      <c r="B66" s="118">
        <v>72500.3</v>
      </c>
      <c r="C66" s="120">
        <f t="shared" si="0"/>
        <v>1.0427428545306983E-2</v>
      </c>
      <c r="D66" s="118">
        <v>5060.3</v>
      </c>
      <c r="E66" s="121">
        <f t="shared" si="1"/>
        <v>1.3194778151529807E-2</v>
      </c>
    </row>
    <row r="67" spans="1:5">
      <c r="A67" s="119"/>
      <c r="B67" s="117"/>
    </row>
    <row r="68" spans="1:5">
      <c r="A68" s="119"/>
      <c r="B68" s="117"/>
    </row>
    <row r="69" spans="1:5">
      <c r="A69" s="119"/>
      <c r="B69" s="117"/>
    </row>
    <row r="70" spans="1:5">
      <c r="A70" s="119"/>
      <c r="B70" s="117"/>
    </row>
    <row r="71" spans="1:5">
      <c r="A71" s="119"/>
      <c r="B71" s="117"/>
    </row>
    <row r="72" spans="1:5">
      <c r="A72" s="119"/>
      <c r="B72" s="117"/>
    </row>
    <row r="73" spans="1:5">
      <c r="A73" s="119"/>
      <c r="B73" s="117"/>
    </row>
    <row r="74" spans="1:5">
      <c r="A74" s="119"/>
      <c r="B74" s="117"/>
    </row>
    <row r="75" spans="1:5">
      <c r="A75" s="119"/>
      <c r="B75" s="117"/>
    </row>
    <row r="76" spans="1:5">
      <c r="A76" s="119"/>
      <c r="B76" s="117"/>
    </row>
    <row r="77" spans="1:5">
      <c r="A77" s="119"/>
      <c r="B77" s="117"/>
    </row>
    <row r="78" spans="1:5">
      <c r="A78" s="119"/>
      <c r="B78" s="117"/>
    </row>
    <row r="79" spans="1:5">
      <c r="A79" s="119"/>
      <c r="B79" s="117"/>
    </row>
    <row r="80" spans="1:5">
      <c r="A80" s="119"/>
      <c r="B80" s="117"/>
    </row>
    <row r="81" spans="1:2">
      <c r="A81" s="119"/>
      <c r="B81" s="117"/>
    </row>
    <row r="82" spans="1:2">
      <c r="A82" s="119"/>
      <c r="B82" s="117"/>
    </row>
    <row r="83" spans="1:2">
      <c r="A83" s="119"/>
      <c r="B83" s="117"/>
    </row>
    <row r="84" spans="1:2">
      <c r="A84" s="119"/>
      <c r="B84" s="117"/>
    </row>
    <row r="85" spans="1:2">
      <c r="A85" s="119"/>
      <c r="B85" s="117"/>
    </row>
    <row r="86" spans="1:2">
      <c r="A86" s="119"/>
      <c r="B86" s="117"/>
    </row>
    <row r="87" spans="1:2">
      <c r="A87" s="119"/>
      <c r="B87" s="117"/>
    </row>
    <row r="88" spans="1:2">
      <c r="A88" s="119"/>
      <c r="B88" s="117"/>
    </row>
    <row r="89" spans="1:2">
      <c r="A89" s="119"/>
      <c r="B89" s="117"/>
    </row>
    <row r="90" spans="1:2">
      <c r="A90" s="119"/>
      <c r="B90" s="117"/>
    </row>
    <row r="91" spans="1:2">
      <c r="A91" s="119"/>
      <c r="B91" s="117"/>
    </row>
    <row r="92" spans="1:2">
      <c r="A92" s="119"/>
      <c r="B92" s="117"/>
    </row>
  </sheetData>
  <mergeCells count="3">
    <mergeCell ref="A1:E1"/>
    <mergeCell ref="A2:E2"/>
    <mergeCell ref="G5:H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895DE-947A-4378-B6A5-34AD5C452505}">
  <dimension ref="A1:P47"/>
  <sheetViews>
    <sheetView topLeftCell="A27" workbookViewId="0">
      <selection activeCell="M20" sqref="M20"/>
    </sheetView>
  </sheetViews>
  <sheetFormatPr defaultRowHeight="14.4"/>
  <cols>
    <col min="1" max="1" width="3.5546875" customWidth="1"/>
    <col min="2" max="2" width="2.6640625" customWidth="1"/>
    <col min="3" max="3" width="1.6640625" customWidth="1"/>
    <col min="4" max="4" width="43.33203125" customWidth="1"/>
    <col min="5" max="5" width="13.6640625" customWidth="1"/>
    <col min="6" max="6" width="9.88671875" bestFit="1" customWidth="1"/>
    <col min="7" max="7" width="11.5546875" bestFit="1" customWidth="1"/>
    <col min="8" max="8" width="12.88671875" customWidth="1"/>
  </cols>
  <sheetData>
    <row r="1" spans="1:16">
      <c r="A1" s="211" t="s">
        <v>0</v>
      </c>
      <c r="B1" s="211"/>
      <c r="C1" s="211"/>
      <c r="D1" s="211"/>
      <c r="E1" s="211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</row>
    <row r="2" spans="1:16">
      <c r="A2" s="210" t="s">
        <v>387</v>
      </c>
      <c r="B2" s="210"/>
      <c r="C2" s="210"/>
      <c r="D2" s="210"/>
      <c r="E2" s="210"/>
      <c r="F2" s="156"/>
      <c r="G2" s="156"/>
      <c r="H2" s="156"/>
      <c r="I2" s="156"/>
      <c r="J2" s="156"/>
      <c r="K2" s="156"/>
      <c r="L2" s="156"/>
      <c r="M2" s="156"/>
      <c r="N2" s="156"/>
      <c r="O2" s="156"/>
      <c r="P2" s="156"/>
    </row>
    <row r="3" spans="1:16">
      <c r="A3" s="210" t="s">
        <v>388</v>
      </c>
      <c r="B3" s="210"/>
      <c r="C3" s="210"/>
      <c r="D3" s="210"/>
      <c r="E3" s="210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</row>
    <row r="4" spans="1:16">
      <c r="L4" s="105"/>
      <c r="M4" s="105"/>
      <c r="N4" s="105"/>
      <c r="O4" s="105"/>
      <c r="P4" s="105"/>
    </row>
    <row r="5" spans="1:16">
      <c r="A5" s="210" t="s">
        <v>389</v>
      </c>
      <c r="B5" s="210"/>
      <c r="C5" s="210"/>
      <c r="D5" s="210"/>
      <c r="E5" s="210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</row>
    <row r="6" spans="1:16">
      <c r="E6" t="s">
        <v>390</v>
      </c>
      <c r="F6" t="s">
        <v>147</v>
      </c>
      <c r="G6" t="s">
        <v>391</v>
      </c>
      <c r="H6" t="s">
        <v>391</v>
      </c>
      <c r="I6" t="s">
        <v>167</v>
      </c>
      <c r="J6" t="s">
        <v>392</v>
      </c>
      <c r="K6" t="s">
        <v>393</v>
      </c>
    </row>
    <row r="7" spans="1:16">
      <c r="D7" t="s">
        <v>394</v>
      </c>
      <c r="E7" t="s">
        <v>395</v>
      </c>
      <c r="F7" t="s">
        <v>230</v>
      </c>
      <c r="G7" t="s">
        <v>60</v>
      </c>
      <c r="H7" t="s">
        <v>396</v>
      </c>
      <c r="I7" t="s">
        <v>397</v>
      </c>
      <c r="J7" t="s">
        <v>355</v>
      </c>
      <c r="K7" t="s">
        <v>355</v>
      </c>
    </row>
    <row r="8" spans="1:16">
      <c r="D8" t="s">
        <v>333</v>
      </c>
      <c r="E8" s="96">
        <v>6445</v>
      </c>
      <c r="F8" s="97">
        <v>19766.03</v>
      </c>
      <c r="G8" s="97">
        <v>19766.03</v>
      </c>
      <c r="H8" s="97">
        <v>7502.75</v>
      </c>
      <c r="I8" s="81">
        <v>0.245</v>
      </c>
      <c r="J8" s="109">
        <v>0.35</v>
      </c>
      <c r="K8" s="110">
        <v>0.35</v>
      </c>
    </row>
    <row r="9" spans="1:16">
      <c r="D9" t="s">
        <v>334</v>
      </c>
      <c r="E9" s="96">
        <v>923.25</v>
      </c>
      <c r="F9" s="97">
        <v>1910.79</v>
      </c>
      <c r="G9" s="97">
        <v>1910.79</v>
      </c>
      <c r="H9" s="97">
        <v>5781.09</v>
      </c>
      <c r="I9" s="81">
        <v>0.20599999999999999</v>
      </c>
      <c r="J9" s="109">
        <v>0.49</v>
      </c>
      <c r="K9" s="110">
        <v>0.49</v>
      </c>
    </row>
    <row r="10" spans="1:16">
      <c r="D10" t="s">
        <v>335</v>
      </c>
      <c r="E10" s="96">
        <v>2627.1</v>
      </c>
      <c r="F10" s="97">
        <v>44697.86</v>
      </c>
      <c r="G10" s="97">
        <v>44697.86</v>
      </c>
      <c r="H10" s="97">
        <v>5129.75</v>
      </c>
      <c r="I10" s="81">
        <v>0.30599999999999999</v>
      </c>
      <c r="J10" s="109">
        <v>0.28000000000000003</v>
      </c>
      <c r="K10" s="110">
        <v>0.27</v>
      </c>
    </row>
    <row r="11" spans="1:16">
      <c r="D11" t="s">
        <v>336</v>
      </c>
      <c r="E11" s="96">
        <v>2154.0500000000002</v>
      </c>
      <c r="F11" s="97">
        <v>1786.67</v>
      </c>
      <c r="G11" s="97">
        <v>1786.67</v>
      </c>
      <c r="H11" s="97">
        <v>3074.85</v>
      </c>
      <c r="I11" s="81">
        <v>0.20200000000000001</v>
      </c>
      <c r="J11" s="109">
        <v>0.66</v>
      </c>
      <c r="K11" s="110">
        <v>0.66</v>
      </c>
    </row>
    <row r="12" spans="1:16">
      <c r="D12" t="s">
        <v>337</v>
      </c>
      <c r="E12" s="96">
        <v>1612.2</v>
      </c>
      <c r="F12" s="97">
        <v>37684.11</v>
      </c>
      <c r="G12" s="97">
        <v>37684.11</v>
      </c>
      <c r="H12" s="97">
        <v>12425.77</v>
      </c>
      <c r="I12" s="81">
        <v>0.17100000000000001</v>
      </c>
      <c r="J12" s="109">
        <v>0.62</v>
      </c>
      <c r="K12" s="110">
        <v>0.59</v>
      </c>
    </row>
    <row r="13" spans="1:16">
      <c r="D13" t="s">
        <v>338</v>
      </c>
      <c r="E13" s="96">
        <v>1043.8</v>
      </c>
      <c r="F13" s="97">
        <v>66201.73</v>
      </c>
      <c r="G13" s="97">
        <v>66201.73</v>
      </c>
      <c r="H13" s="97">
        <v>44347.15</v>
      </c>
      <c r="I13" s="81">
        <v>0.28699999999999998</v>
      </c>
      <c r="J13" s="109">
        <v>0.05</v>
      </c>
      <c r="K13" s="110">
        <v>0.05</v>
      </c>
    </row>
    <row r="14" spans="1:16">
      <c r="D14" t="s">
        <v>339</v>
      </c>
      <c r="E14" s="96">
        <v>28686.2</v>
      </c>
      <c r="F14" s="97">
        <v>911.48</v>
      </c>
      <c r="G14" s="97">
        <v>911.48</v>
      </c>
      <c r="H14" s="97">
        <v>2417.65</v>
      </c>
      <c r="I14" s="81">
        <v>0.254</v>
      </c>
      <c r="J14" s="109">
        <v>0.25</v>
      </c>
      <c r="K14" s="110">
        <v>0.25</v>
      </c>
    </row>
    <row r="15" spans="1:16">
      <c r="D15" t="s">
        <v>340</v>
      </c>
      <c r="E15" s="96">
        <v>2169</v>
      </c>
      <c r="F15" s="97">
        <v>212.88</v>
      </c>
      <c r="G15" s="97">
        <v>212.88</v>
      </c>
      <c r="H15" s="97">
        <v>352.46</v>
      </c>
      <c r="I15" s="81">
        <v>0.28100000000000003</v>
      </c>
      <c r="J15" s="109">
        <v>0.22</v>
      </c>
      <c r="K15" s="110">
        <v>0.22</v>
      </c>
    </row>
    <row r="16" spans="1:16">
      <c r="D16" t="s">
        <v>341</v>
      </c>
      <c r="E16" s="96">
        <v>1217.7</v>
      </c>
      <c r="F16" s="97">
        <v>19789.53</v>
      </c>
      <c r="G16" s="97">
        <v>19789.53</v>
      </c>
      <c r="H16" s="97">
        <v>12688</v>
      </c>
      <c r="I16" s="81">
        <v>0.32500000000000001</v>
      </c>
      <c r="J16" s="109">
        <v>0.42</v>
      </c>
      <c r="K16" s="110">
        <v>0.4</v>
      </c>
    </row>
    <row r="17" spans="1:11">
      <c r="D17" s="107"/>
      <c r="E17" s="96">
        <v>1861.1</v>
      </c>
      <c r="F17" s="97"/>
      <c r="G17" s="97">
        <v>3555.02</v>
      </c>
      <c r="H17" s="97">
        <v>19256</v>
      </c>
    </row>
    <row r="18" spans="1:11">
      <c r="D18" s="107" t="s">
        <v>398</v>
      </c>
      <c r="G18" s="55">
        <f>AVERAGE(G8:G16)</f>
        <v>21440.120000000003</v>
      </c>
      <c r="H18" s="55">
        <f t="shared" ref="H18:I18" si="0">AVERAGE(H8:H16)</f>
        <v>10413.274444444445</v>
      </c>
      <c r="I18" s="71">
        <f t="shared" si="0"/>
        <v>0.253</v>
      </c>
      <c r="J18" s="84">
        <f>AVERAGE(J8:J16)</f>
        <v>0.37111111111111117</v>
      </c>
      <c r="K18" s="84">
        <f>AVERAGE(K8:K16)</f>
        <v>0.3644444444444444</v>
      </c>
    </row>
    <row r="19" spans="1:11">
      <c r="D19" t="s">
        <v>342</v>
      </c>
      <c r="G19" s="55">
        <f>MEDIAN(G8:G16)</f>
        <v>19766.03</v>
      </c>
      <c r="H19" s="55">
        <f t="shared" ref="H19:I19" si="1">MEDIAN(H8:H16)</f>
        <v>5781.09</v>
      </c>
      <c r="I19" s="71">
        <f t="shared" si="1"/>
        <v>0.254</v>
      </c>
      <c r="J19" s="84">
        <f>MEDIAN(J8:J16)</f>
        <v>0.35</v>
      </c>
      <c r="K19" s="84">
        <f>MEDIAN(K8:K16)</f>
        <v>0.35</v>
      </c>
    </row>
    <row r="21" spans="1:11">
      <c r="D21" t="s">
        <v>399</v>
      </c>
      <c r="E21" s="98">
        <v>648207</v>
      </c>
      <c r="F21" s="55">
        <v>14368</v>
      </c>
    </row>
    <row r="23" spans="1:11" ht="15.6">
      <c r="A23" s="111"/>
      <c r="B23" s="111"/>
      <c r="C23" s="111"/>
      <c r="D23" s="111" t="s">
        <v>400</v>
      </c>
      <c r="E23" s="111"/>
      <c r="F23" s="111"/>
      <c r="G23" s="111"/>
      <c r="H23" s="111"/>
      <c r="I23" s="111"/>
      <c r="J23" s="111"/>
      <c r="K23" s="111"/>
    </row>
    <row r="24" spans="1:11">
      <c r="D24" t="s">
        <v>401</v>
      </c>
    </row>
    <row r="25" spans="1:11">
      <c r="A25" s="112"/>
    </row>
    <row r="26" spans="1:11">
      <c r="D26" t="s">
        <v>402</v>
      </c>
      <c r="K26" s="77">
        <f>F21/(E21+F21)</f>
        <v>2.1685092253707128E-2</v>
      </c>
    </row>
    <row r="27" spans="1:11">
      <c r="D27" t="s">
        <v>403</v>
      </c>
      <c r="K27" s="77">
        <f>E21/(E21+F21)</f>
        <v>0.97831490774629293</v>
      </c>
    </row>
    <row r="28" spans="1:11">
      <c r="K28" s="77"/>
    </row>
    <row r="29" spans="1:11">
      <c r="A29" s="112"/>
      <c r="D29" t="s">
        <v>404</v>
      </c>
    </row>
    <row r="30" spans="1:11">
      <c r="A30" s="112"/>
    </row>
    <row r="31" spans="1:11">
      <c r="D31" t="s">
        <v>304</v>
      </c>
      <c r="K31" s="113">
        <f>E21</f>
        <v>648207</v>
      </c>
    </row>
    <row r="32" spans="1:11">
      <c r="D32" t="s">
        <v>405</v>
      </c>
      <c r="K32" s="113">
        <f>F21</f>
        <v>14368</v>
      </c>
    </row>
    <row r="33" spans="1:11">
      <c r="D33" t="s">
        <v>406</v>
      </c>
      <c r="K33" s="77">
        <f>F21/E21</f>
        <v>2.2165758777674415E-2</v>
      </c>
    </row>
    <row r="35" spans="1:11">
      <c r="A35" s="112"/>
      <c r="D35" t="s">
        <v>407</v>
      </c>
    </row>
    <row r="36" spans="1:11">
      <c r="D36" t="s">
        <v>408</v>
      </c>
      <c r="K36" s="106">
        <v>4.3999999999999997E-2</v>
      </c>
    </row>
    <row r="37" spans="1:11">
      <c r="D37" t="s">
        <v>276</v>
      </c>
      <c r="K37" s="106">
        <v>0.157</v>
      </c>
    </row>
    <row r="38" spans="1:11">
      <c r="A38" s="46"/>
      <c r="D38" t="s">
        <v>409</v>
      </c>
      <c r="K38" s="108">
        <f>K36*(1-K37)</f>
        <v>3.7092E-2</v>
      </c>
    </row>
    <row r="40" spans="1:11">
      <c r="A40" s="112"/>
      <c r="D40" t="s">
        <v>410</v>
      </c>
    </row>
    <row r="41" spans="1:11">
      <c r="D41" t="s">
        <v>411</v>
      </c>
      <c r="K41" s="106">
        <v>7.0999999999999994E-2</v>
      </c>
    </row>
    <row r="42" spans="1:11">
      <c r="D42" t="s">
        <v>412</v>
      </c>
      <c r="K42" s="114">
        <v>0.151</v>
      </c>
    </row>
    <row r="43" spans="1:11">
      <c r="D43" t="s">
        <v>413</v>
      </c>
      <c r="K43" s="77">
        <f>K42-K41</f>
        <v>0.08</v>
      </c>
    </row>
    <row r="44" spans="1:11">
      <c r="D44" t="s">
        <v>414</v>
      </c>
      <c r="K44" s="109">
        <v>0.35</v>
      </c>
    </row>
    <row r="45" spans="1:11">
      <c r="A45" s="46"/>
      <c r="D45" t="s">
        <v>410</v>
      </c>
      <c r="K45" s="108">
        <f>K41+K44*K43</f>
        <v>9.8999999999999991E-2</v>
      </c>
    </row>
    <row r="47" spans="1:11" ht="15.6">
      <c r="A47" s="111"/>
      <c r="D47" t="s">
        <v>415</v>
      </c>
      <c r="K47" s="115">
        <f>K27*K45+K26*K38</f>
        <v>9.7657519308757504E-2</v>
      </c>
    </row>
  </sheetData>
  <mergeCells count="4">
    <mergeCell ref="A1:E1"/>
    <mergeCell ref="A2:E2"/>
    <mergeCell ref="A3:E3"/>
    <mergeCell ref="A5:E5"/>
  </mergeCells>
  <pageMargins left="0.7" right="0.7" top="0.75" bottom="0.75" header="0.3" footer="0.3"/>
  <ignoredErrors>
    <ignoredError sqref="G18:H19" formulaRange="1"/>
  </ignoredErrors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13366-629B-4666-8C7C-183BD4925A15}">
  <dimension ref="A1:O22"/>
  <sheetViews>
    <sheetView showGridLines="0" zoomScale="76" workbookViewId="0">
      <selection activeCell="E34" sqref="E34"/>
    </sheetView>
  </sheetViews>
  <sheetFormatPr defaultRowHeight="14.4"/>
  <cols>
    <col min="1" max="1" width="38.109375" customWidth="1"/>
    <col min="10" max="10" width="16" customWidth="1"/>
    <col min="11" max="11" width="17.5546875" customWidth="1"/>
  </cols>
  <sheetData>
    <row r="1" spans="1:15">
      <c r="A1" s="210" t="s">
        <v>0</v>
      </c>
      <c r="B1" s="210"/>
      <c r="C1" s="210"/>
      <c r="D1" s="210"/>
      <c r="E1" s="210"/>
      <c r="F1" s="116"/>
      <c r="G1" s="116"/>
      <c r="H1" s="116"/>
      <c r="I1" s="116"/>
      <c r="J1" s="116"/>
      <c r="K1" s="116"/>
      <c r="L1" s="116"/>
      <c r="M1" s="116"/>
      <c r="N1" s="116"/>
      <c r="O1" s="116"/>
    </row>
    <row r="2" spans="1:15">
      <c r="A2" s="210" t="s">
        <v>416</v>
      </c>
      <c r="B2" s="210"/>
      <c r="C2" s="210"/>
      <c r="D2" s="210"/>
      <c r="E2" s="210"/>
      <c r="F2" s="116"/>
      <c r="G2" s="116"/>
      <c r="H2" s="116"/>
      <c r="I2" s="116"/>
      <c r="J2" s="116"/>
      <c r="K2" s="116"/>
      <c r="L2" s="116"/>
      <c r="M2" s="116"/>
      <c r="N2" s="116"/>
      <c r="O2" s="116"/>
    </row>
    <row r="5" spans="1:15">
      <c r="A5" s="210" t="s">
        <v>417</v>
      </c>
      <c r="B5" s="210"/>
      <c r="C5" s="210"/>
      <c r="D5" s="210"/>
      <c r="E5" s="210"/>
      <c r="F5" s="116"/>
      <c r="G5" s="116"/>
      <c r="H5" s="203" t="s">
        <v>345</v>
      </c>
      <c r="I5" s="203" t="s">
        <v>272</v>
      </c>
      <c r="J5" s="203" t="s">
        <v>418</v>
      </c>
      <c r="K5" s="203" t="s">
        <v>419</v>
      </c>
      <c r="L5" s="90"/>
      <c r="M5" s="155" t="s">
        <v>420</v>
      </c>
      <c r="N5" s="155" t="s">
        <v>421</v>
      </c>
      <c r="O5" s="155" t="s">
        <v>422</v>
      </c>
    </row>
    <row r="7" spans="1:15">
      <c r="H7" s="185"/>
      <c r="I7" s="185"/>
      <c r="J7" s="185"/>
      <c r="K7" s="185"/>
      <c r="M7" s="46"/>
      <c r="N7" s="46"/>
      <c r="O7" s="46"/>
    </row>
    <row r="8" spans="1:15">
      <c r="A8" s="46" t="s">
        <v>423</v>
      </c>
      <c r="G8" s="46"/>
      <c r="H8" s="49">
        <v>5751</v>
      </c>
      <c r="I8" s="49">
        <v>5985</v>
      </c>
      <c r="J8" s="49">
        <v>5193</v>
      </c>
      <c r="K8" s="49">
        <v>5500</v>
      </c>
      <c r="M8" t="s">
        <v>345</v>
      </c>
      <c r="N8">
        <v>5373</v>
      </c>
      <c r="O8">
        <v>378</v>
      </c>
    </row>
    <row r="9" spans="1:15">
      <c r="A9" s="46" t="s">
        <v>423</v>
      </c>
      <c r="G9" s="46"/>
      <c r="H9" s="49">
        <v>5751</v>
      </c>
      <c r="I9" s="49">
        <v>5985</v>
      </c>
      <c r="J9" s="49">
        <v>5193</v>
      </c>
      <c r="K9" s="49">
        <v>5500</v>
      </c>
      <c r="M9" t="s">
        <v>272</v>
      </c>
      <c r="N9">
        <v>4350</v>
      </c>
      <c r="O9">
        <v>1635</v>
      </c>
    </row>
    <row r="10" spans="1:15">
      <c r="A10" s="46" t="s">
        <v>421</v>
      </c>
      <c r="G10" s="46"/>
      <c r="H10" s="49">
        <v>5373</v>
      </c>
      <c r="I10" s="49">
        <v>4350</v>
      </c>
      <c r="J10" s="49">
        <v>3176</v>
      </c>
      <c r="K10" s="49">
        <v>4800</v>
      </c>
      <c r="M10" t="s">
        <v>424</v>
      </c>
      <c r="N10">
        <v>3176</v>
      </c>
      <c r="O10">
        <v>2017</v>
      </c>
    </row>
    <row r="11" spans="1:15">
      <c r="A11" s="46" t="s">
        <v>421</v>
      </c>
      <c r="G11" s="46"/>
      <c r="H11" s="49">
        <v>5373</v>
      </c>
      <c r="I11" s="49">
        <v>4350</v>
      </c>
      <c r="J11" s="49">
        <v>3176</v>
      </c>
      <c r="K11" s="49">
        <v>4800</v>
      </c>
      <c r="M11" t="s">
        <v>425</v>
      </c>
      <c r="N11">
        <v>4800</v>
      </c>
      <c r="O11">
        <v>700</v>
      </c>
    </row>
    <row r="12" spans="1:15">
      <c r="A12" s="46"/>
      <c r="G12" s="46"/>
      <c r="H12" s="49"/>
      <c r="I12" s="49"/>
      <c r="J12" s="49"/>
      <c r="K12" s="49"/>
    </row>
    <row r="13" spans="1:15" ht="15.6">
      <c r="A13" s="213" t="s">
        <v>426</v>
      </c>
      <c r="B13" s="213"/>
      <c r="C13" s="213"/>
      <c r="D13" s="213"/>
      <c r="E13" s="213"/>
      <c r="F13" s="90"/>
      <c r="G13" s="155"/>
      <c r="H13" s="202"/>
      <c r="I13" s="202"/>
      <c r="J13" s="202"/>
      <c r="K13" s="202"/>
      <c r="L13" s="90"/>
      <c r="M13" s="90"/>
      <c r="N13" s="90"/>
      <c r="O13" s="90"/>
    </row>
    <row r="15" spans="1:15">
      <c r="A15" s="112" t="s">
        <v>427</v>
      </c>
      <c r="B15" s="196" t="s">
        <v>421</v>
      </c>
      <c r="C15" s="196" t="s">
        <v>423</v>
      </c>
      <c r="D15" s="196" t="s">
        <v>428</v>
      </c>
      <c r="E15" s="196" t="s">
        <v>429</v>
      </c>
    </row>
    <row r="16" spans="1:15">
      <c r="A16" t="s">
        <v>272</v>
      </c>
      <c r="B16" s="49">
        <v>4350</v>
      </c>
      <c r="C16" s="49">
        <v>5985</v>
      </c>
      <c r="D16" s="49">
        <f>AVERAGE(B16:C16)</f>
        <v>5167.5</v>
      </c>
      <c r="E16" s="71">
        <f>D16/$B$21-1</f>
        <v>2.1245059288537593E-2</v>
      </c>
    </row>
    <row r="17" spans="1:5">
      <c r="A17" t="s">
        <v>430</v>
      </c>
      <c r="B17" s="49">
        <v>5373</v>
      </c>
      <c r="C17" s="49">
        <v>5751</v>
      </c>
      <c r="D17" s="49">
        <f>AVERAGE(B17:C17)</f>
        <v>5562</v>
      </c>
      <c r="E17" s="71">
        <f>D17/$B$21-1</f>
        <v>9.9209486166007999E-2</v>
      </c>
    </row>
    <row r="18" spans="1:5">
      <c r="A18" t="s">
        <v>418</v>
      </c>
      <c r="B18" s="49">
        <v>3176</v>
      </c>
      <c r="C18" s="49">
        <v>5193</v>
      </c>
      <c r="D18" s="49">
        <f>AVERAGE(B18:C18)</f>
        <v>4184.5</v>
      </c>
      <c r="E18" s="71">
        <f>D18/$B$21-1</f>
        <v>-0.17302371541501971</v>
      </c>
    </row>
    <row r="19" spans="1:5">
      <c r="A19" t="s">
        <v>419</v>
      </c>
      <c r="B19" s="49">
        <v>4800</v>
      </c>
      <c r="C19" s="49">
        <v>5500</v>
      </c>
      <c r="D19" s="49">
        <f>AVERAGE(B19:C19)</f>
        <v>5150</v>
      </c>
      <c r="E19" s="71">
        <f>D19/$B$21-1</f>
        <v>1.7786561264822032E-2</v>
      </c>
    </row>
    <row r="20" spans="1:5">
      <c r="A20" s="197" t="s">
        <v>431</v>
      </c>
      <c r="B20" s="198">
        <f>MIN(B16:B19)</f>
        <v>3176</v>
      </c>
      <c r="C20" s="198">
        <f>MAX(C16:C19)</f>
        <v>5985</v>
      </c>
      <c r="D20" s="198">
        <f>AVERAGE(D16:D19)</f>
        <v>5016</v>
      </c>
      <c r="E20" s="199">
        <f>D20/B21-1</f>
        <v>-8.6956521739129933E-3</v>
      </c>
    </row>
    <row r="21" spans="1:5">
      <c r="A21" s="46" t="s">
        <v>432</v>
      </c>
      <c r="B21" s="200">
        <v>5060</v>
      </c>
    </row>
    <row r="22" spans="1:5">
      <c r="A22" s="46" t="s">
        <v>433</v>
      </c>
      <c r="B22" s="201" t="str">
        <f>IF(E20&gt;0.15,"BUY",IF(E20&gt;0.05,"ACCUMULATE",IF(E20&gt;-0.05,"HOLD",IF(E20&gt;-0.15,"REDUCE","SELL"))))</f>
        <v>HOLD</v>
      </c>
    </row>
  </sheetData>
  <mergeCells count="4">
    <mergeCell ref="A1:E1"/>
    <mergeCell ref="A2:E2"/>
    <mergeCell ref="A5:E5"/>
    <mergeCell ref="A13:E13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A381C-B575-4710-BF08-6606A8F4AF9F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Historical</vt:lpstr>
      <vt:lpstr>Model</vt:lpstr>
      <vt:lpstr>Scenarios</vt:lpstr>
      <vt:lpstr>Comps Valuation</vt:lpstr>
      <vt:lpstr>Market Returns</vt:lpstr>
      <vt:lpstr>Company Beta</vt:lpstr>
      <vt:lpstr>WACC</vt:lpstr>
      <vt:lpstr>Valuation Summary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Prashanth K</dc:creator>
  <cp:keywords/>
  <dc:description/>
  <cp:lastModifiedBy>Prashanth K</cp:lastModifiedBy>
  <cp:revision/>
  <dcterms:created xsi:type="dcterms:W3CDTF">2026-03-18T07:19:20Z</dcterms:created>
  <dcterms:modified xsi:type="dcterms:W3CDTF">2026-06-15T15:48:01Z</dcterms:modified>
  <cp:category/>
  <cp:contentStatus/>
</cp:coreProperties>
</file>