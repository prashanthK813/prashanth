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Courses\New IB Course 2023\New Exercise Files\Financial Statement Analysis\"/>
    </mc:Choice>
  </mc:AlternateContent>
  <xr:revisionPtr revIDLastSave="0" documentId="13_ncr:1_{14C032A7-4DA9-4EFF-A577-3EFC37F9FA64}" xr6:coauthVersionLast="47" xr6:coauthVersionMax="47" xr10:uidLastSave="{00000000-0000-0000-0000-000000000000}"/>
  <bookViews>
    <workbookView xWindow="-109" yWindow="-109" windowWidth="26301" windowHeight="14169" tabRatio="946" xr2:uid="{E186096F-C6F0-40CF-B1E4-D0C595830220}"/>
  </bookViews>
  <sheets>
    <sheet name="FS" sheetId="2" r:id="rId1"/>
    <sheet name="FS Intro" sheetId="1" r:id="rId2"/>
    <sheet name="Receivables" sheetId="6" r:id="rId3"/>
    <sheet name="Payables" sheetId="7" r:id="rId4"/>
    <sheet name="Prepaid" sheetId="8" r:id="rId5"/>
    <sheet name="Deferred Rev" sheetId="9" r:id="rId6"/>
    <sheet name="Inventory" sheetId="10" r:id="rId7"/>
    <sheet name="Capex" sheetId="11" r:id="rId8"/>
    <sheet name="Depr" sheetId="5" r:id="rId9"/>
    <sheet name="Debt" sheetId="12" r:id="rId10"/>
    <sheet name="Equity" sheetId="13" r:id="rId11"/>
    <sheet name="Pref" sheetId="14" r:id="rId12"/>
    <sheet name="Deferred Tax" sheetId="15" r:id="rId13"/>
    <sheet name="Fin Lease" sheetId="4" r:id="rId14"/>
    <sheet name="Op Lease" sheetId="16" r:id="rId15"/>
    <sheet name="Invt" sheetId="17" r:id="rId16"/>
    <sheet name="DTA" sheetId="20" r:id="rId17"/>
    <sheet name="Gains PPE" sheetId="21" r:id="rId18"/>
    <sheet name="Impairment" sheetId="22" r:id="rId19"/>
    <sheet name="SBC" sheetId="23" r:id="rId20"/>
    <sheet name="Ratios" sheetId="29" r:id="rId21"/>
  </sheets>
  <definedNames>
    <definedName name="Initial_Cash">#REF!</definedName>
    <definedName name="Share_Count">#REF!</definedName>
    <definedName name="Share_Price">#REF!</definedName>
    <definedName name="Tax_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9" l="1"/>
  <c r="D6" i="29"/>
  <c r="E6" i="29"/>
  <c r="F6" i="29"/>
  <c r="M18" i="29"/>
  <c r="M33" i="29" s="1"/>
  <c r="L18" i="29"/>
  <c r="L33" i="29" s="1"/>
  <c r="K18" i="29"/>
  <c r="K33" i="29" s="1"/>
  <c r="N16" i="29"/>
  <c r="N32" i="29" s="1"/>
  <c r="M16" i="29"/>
  <c r="M32" i="29" s="1"/>
  <c r="L16" i="29"/>
  <c r="L32" i="29" s="1"/>
  <c r="K16" i="29"/>
  <c r="K32" i="29" s="1"/>
  <c r="F53" i="29"/>
  <c r="D53" i="29"/>
  <c r="C53" i="29"/>
  <c r="D61" i="29"/>
  <c r="E61" i="29"/>
  <c r="F61" i="29"/>
  <c r="C61" i="29"/>
  <c r="C43" i="29"/>
  <c r="K27" i="29" s="1"/>
  <c r="D43" i="29"/>
  <c r="L27" i="29" s="1"/>
  <c r="E43" i="29"/>
  <c r="M27" i="29" s="1"/>
  <c r="C36" i="29"/>
  <c r="D36" i="29"/>
  <c r="E36" i="29"/>
  <c r="F36" i="29"/>
  <c r="C31" i="29"/>
  <c r="K22" i="29" s="1"/>
  <c r="D31" i="29"/>
  <c r="L22" i="29" s="1"/>
  <c r="E31" i="29"/>
  <c r="M22" i="29" s="1"/>
  <c r="K3" i="29"/>
  <c r="L14" i="29"/>
  <c r="N14" i="29"/>
  <c r="K14" i="29"/>
  <c r="D3" i="29"/>
  <c r="E3" i="29" s="1"/>
  <c r="F3" i="29" s="1"/>
  <c r="F26" i="29" s="1"/>
  <c r="C26" i="29"/>
  <c r="F43" i="29"/>
  <c r="N27" i="29" s="1"/>
  <c r="F28" i="29"/>
  <c r="F31" i="29" s="1"/>
  <c r="N22" i="29" s="1"/>
  <c r="C13" i="29"/>
  <c r="C14" i="29" s="1"/>
  <c r="C16" i="29" s="1"/>
  <c r="E22" i="29"/>
  <c r="F13" i="29"/>
  <c r="F14" i="29" s="1"/>
  <c r="F16" i="29" s="1"/>
  <c r="F19" i="29" s="1"/>
  <c r="F21" i="29" s="1"/>
  <c r="F23" i="29" s="1"/>
  <c r="E13" i="29"/>
  <c r="D13" i="29"/>
  <c r="D14" i="29" s="1"/>
  <c r="D16" i="29" s="1"/>
  <c r="D19" i="29" s="1"/>
  <c r="D21" i="29" s="1"/>
  <c r="D23" i="29" s="1"/>
  <c r="E5" i="29"/>
  <c r="M6" i="29" s="1"/>
  <c r="M30" i="29" l="1"/>
  <c r="N30" i="29"/>
  <c r="L30" i="29"/>
  <c r="K30" i="29"/>
  <c r="K7" i="29"/>
  <c r="M26" i="29"/>
  <c r="L26" i="29"/>
  <c r="L8" i="29"/>
  <c r="L37" i="29" s="1"/>
  <c r="K26" i="29"/>
  <c r="N26" i="29"/>
  <c r="F62" i="29"/>
  <c r="N9" i="29"/>
  <c r="D62" i="29"/>
  <c r="N23" i="29"/>
  <c r="L23" i="29"/>
  <c r="K23" i="29"/>
  <c r="C62" i="29"/>
  <c r="K6" i="29"/>
  <c r="N17" i="29"/>
  <c r="N31" i="29" s="1"/>
  <c r="L6" i="29"/>
  <c r="L17" i="29"/>
  <c r="L31" i="29" s="1"/>
  <c r="L34" i="29" s="1"/>
  <c r="L9" i="29"/>
  <c r="N6" i="29"/>
  <c r="M17" i="29"/>
  <c r="M31" i="29" s="1"/>
  <c r="M34" i="29" s="1"/>
  <c r="M14" i="29"/>
  <c r="L7" i="29"/>
  <c r="N8" i="29"/>
  <c r="N37" i="29" s="1"/>
  <c r="N7" i="29"/>
  <c r="K17" i="29"/>
  <c r="K31" i="29" s="1"/>
  <c r="K34" i="29" s="1"/>
  <c r="N18" i="29"/>
  <c r="N33" i="29" s="1"/>
  <c r="E53" i="29"/>
  <c r="E62" i="29" s="1"/>
  <c r="C44" i="29"/>
  <c r="K39" i="29" s="1"/>
  <c r="F44" i="29"/>
  <c r="N39" i="29" s="1"/>
  <c r="E44" i="29"/>
  <c r="M39" i="29" s="1"/>
  <c r="D44" i="29"/>
  <c r="L39" i="29" s="1"/>
  <c r="N3" i="29"/>
  <c r="M3" i="29"/>
  <c r="L3" i="29"/>
  <c r="C19" i="29"/>
  <c r="C21" i="29" s="1"/>
  <c r="C23" i="29" s="1"/>
  <c r="E14" i="29"/>
  <c r="E16" i="29" s="1"/>
  <c r="M23" i="29" s="1"/>
  <c r="E26" i="29"/>
  <c r="D26" i="29"/>
  <c r="N34" i="29" l="1"/>
  <c r="F63" i="29"/>
  <c r="C63" i="29"/>
  <c r="E63" i="29"/>
  <c r="E19" i="29"/>
  <c r="E21" i="29" s="1"/>
  <c r="E23" i="29" s="1"/>
  <c r="M10" i="29" s="1"/>
  <c r="M7" i="29"/>
  <c r="K9" i="29"/>
  <c r="K8" i="29"/>
  <c r="K37" i="29" s="1"/>
  <c r="N10" i="29"/>
  <c r="N21" i="29"/>
  <c r="N11" i="29"/>
  <c r="N15" i="29"/>
  <c r="N38" i="29" s="1"/>
  <c r="N40" i="29" s="1"/>
  <c r="L21" i="29"/>
  <c r="L11" i="29"/>
  <c r="L15" i="29"/>
  <c r="L38" i="29" s="1"/>
  <c r="L40" i="29" s="1"/>
  <c r="L10" i="29"/>
  <c r="M21" i="29"/>
  <c r="M15" i="29"/>
  <c r="M38" i="29" s="1"/>
  <c r="M11" i="29"/>
  <c r="K10" i="29"/>
  <c r="K11" i="29"/>
  <c r="K21" i="29"/>
  <c r="K15" i="29"/>
  <c r="K38" i="29" s="1"/>
  <c r="D63" i="29"/>
  <c r="K40" i="29" l="1"/>
  <c r="M8" i="29"/>
  <c r="M37" i="29" s="1"/>
  <c r="M40" i="29" s="1"/>
  <c r="M9" i="29"/>
  <c r="N9" i="23" l="1"/>
  <c r="O9" i="23"/>
  <c r="I5" i="23"/>
  <c r="D12" i="23"/>
  <c r="C24" i="23"/>
  <c r="D24" i="23"/>
  <c r="H32" i="23"/>
  <c r="O26" i="23"/>
  <c r="O30" i="23" s="1"/>
  <c r="N26" i="23"/>
  <c r="N30" i="23" s="1"/>
  <c r="H25" i="23"/>
  <c r="O23" i="23"/>
  <c r="N18" i="23"/>
  <c r="N23" i="23" s="1"/>
  <c r="C19" i="23"/>
  <c r="J17" i="23"/>
  <c r="I17" i="23"/>
  <c r="H17" i="23"/>
  <c r="O14" i="23"/>
  <c r="N14" i="23"/>
  <c r="O13" i="23"/>
  <c r="N13" i="23"/>
  <c r="O12" i="23"/>
  <c r="N12" i="23"/>
  <c r="J11" i="23"/>
  <c r="I11" i="23"/>
  <c r="H11" i="23"/>
  <c r="O7" i="23"/>
  <c r="N7" i="23"/>
  <c r="D5" i="23"/>
  <c r="C5" i="23"/>
  <c r="C6" i="23" s="1"/>
  <c r="D6" i="23" s="1"/>
  <c r="I3" i="23"/>
  <c r="N3" i="23" s="1"/>
  <c r="D3" i="23"/>
  <c r="D19" i="23" s="1"/>
  <c r="H19" i="23" l="1"/>
  <c r="J3" i="23"/>
  <c r="O3" i="23" s="1"/>
  <c r="H34" i="23"/>
  <c r="H36" i="23" s="1"/>
  <c r="D7" i="23"/>
  <c r="D10" i="23" s="1"/>
  <c r="D15" i="23" s="1"/>
  <c r="C7" i="23"/>
  <c r="C10" i="23" s="1"/>
  <c r="C15" i="23" s="1"/>
  <c r="C20" i="23" l="1"/>
  <c r="C25" i="23" s="1"/>
  <c r="C16" i="23"/>
  <c r="C17" i="23" s="1"/>
  <c r="N5" i="23" l="1"/>
  <c r="C28" i="23"/>
  <c r="C29" i="23" l="1"/>
  <c r="C32" i="23" s="1"/>
  <c r="C34" i="23" s="1"/>
  <c r="C36" i="23" s="1"/>
  <c r="C38" i="23" s="1"/>
  <c r="I19" i="23"/>
  <c r="I24" i="23" l="1"/>
  <c r="C30" i="23"/>
  <c r="D27" i="23" s="1"/>
  <c r="I25" i="23" l="1"/>
  <c r="N8" i="23"/>
  <c r="N15" i="23" s="1"/>
  <c r="N32" i="23" s="1"/>
  <c r="I31" i="23" s="1"/>
  <c r="I32" i="23" l="1"/>
  <c r="I34" i="23" s="1"/>
  <c r="I36" i="23" s="1"/>
  <c r="D36" i="22" l="1"/>
  <c r="C36" i="22"/>
  <c r="D34" i="22"/>
  <c r="C34" i="22"/>
  <c r="C14" i="22"/>
  <c r="D14" i="22"/>
  <c r="H32" i="22"/>
  <c r="O30" i="22"/>
  <c r="N30" i="22"/>
  <c r="O26" i="22"/>
  <c r="N26" i="22"/>
  <c r="H25" i="22"/>
  <c r="H34" i="22" s="1"/>
  <c r="O23" i="22"/>
  <c r="N18" i="22"/>
  <c r="N23" i="22" s="1"/>
  <c r="C18" i="22"/>
  <c r="J17" i="22"/>
  <c r="I17" i="22"/>
  <c r="H17" i="22"/>
  <c r="O14" i="22"/>
  <c r="N14" i="22"/>
  <c r="O13" i="22"/>
  <c r="N13" i="22"/>
  <c r="D13" i="22"/>
  <c r="O12" i="22"/>
  <c r="N12" i="22"/>
  <c r="J11" i="22"/>
  <c r="I11" i="22"/>
  <c r="H11" i="22"/>
  <c r="H19" i="22" s="1"/>
  <c r="H36" i="22" s="1"/>
  <c r="O10" i="22"/>
  <c r="N10" i="22"/>
  <c r="O9" i="22"/>
  <c r="N9" i="22"/>
  <c r="O7" i="22"/>
  <c r="J22" i="22" s="1"/>
  <c r="N7" i="22"/>
  <c r="D5" i="22"/>
  <c r="C5" i="22"/>
  <c r="C6" i="22" s="1"/>
  <c r="I3" i="22"/>
  <c r="N3" i="22" s="1"/>
  <c r="D3" i="22"/>
  <c r="D18" i="22" s="1"/>
  <c r="C7" i="22" l="1"/>
  <c r="C10" i="22" s="1"/>
  <c r="D6" i="22"/>
  <c r="D7" i="22" s="1"/>
  <c r="D10" i="22" s="1"/>
  <c r="J3" i="22"/>
  <c r="O3" i="22" s="1"/>
  <c r="N16" i="21"/>
  <c r="N7" i="21"/>
  <c r="O7" i="21"/>
  <c r="D13" i="21"/>
  <c r="D5" i="21"/>
  <c r="C15" i="22" l="1"/>
  <c r="C19" i="22"/>
  <c r="C23" i="22" s="1"/>
  <c r="C16" i="22"/>
  <c r="D15" i="22"/>
  <c r="D19" i="22"/>
  <c r="D23" i="22" s="1"/>
  <c r="D16" i="22"/>
  <c r="O5" i="22" s="1"/>
  <c r="N8" i="21"/>
  <c r="O8" i="21"/>
  <c r="O17" i="21"/>
  <c r="H24" i="21"/>
  <c r="O22" i="21"/>
  <c r="O26" i="21" s="1"/>
  <c r="N22" i="21"/>
  <c r="N26" i="21" s="1"/>
  <c r="H19" i="21"/>
  <c r="O19" i="21"/>
  <c r="J13" i="21"/>
  <c r="I13" i="21"/>
  <c r="H13" i="21"/>
  <c r="J9" i="21"/>
  <c r="I9" i="21"/>
  <c r="H9" i="21"/>
  <c r="C5" i="21"/>
  <c r="C6" i="21" s="1"/>
  <c r="I3" i="21"/>
  <c r="N3" i="21" s="1"/>
  <c r="D3" i="21"/>
  <c r="J3" i="21" s="1"/>
  <c r="O3" i="21" s="1"/>
  <c r="C32" i="20"/>
  <c r="C35" i="20" s="1"/>
  <c r="C37" i="20" s="1"/>
  <c r="D31" i="20"/>
  <c r="C31" i="20"/>
  <c r="H32" i="20"/>
  <c r="H34" i="20" s="1"/>
  <c r="O25" i="20"/>
  <c r="O29" i="20" s="1"/>
  <c r="N25" i="20"/>
  <c r="N29" i="20" s="1"/>
  <c r="H25" i="20"/>
  <c r="C24" i="20"/>
  <c r="O22" i="20"/>
  <c r="N22" i="20"/>
  <c r="J17" i="20"/>
  <c r="I17" i="20"/>
  <c r="H17" i="20"/>
  <c r="H19" i="20" s="1"/>
  <c r="H36" i="20" s="1"/>
  <c r="O14" i="20"/>
  <c r="N14" i="20"/>
  <c r="O13" i="20"/>
  <c r="N13" i="20"/>
  <c r="O12" i="20"/>
  <c r="N12" i="20"/>
  <c r="O11" i="20"/>
  <c r="N11" i="20"/>
  <c r="J11" i="20"/>
  <c r="I11" i="20"/>
  <c r="H11" i="20"/>
  <c r="O10" i="20"/>
  <c r="N10" i="20"/>
  <c r="O9" i="20"/>
  <c r="N9" i="20"/>
  <c r="C5" i="20"/>
  <c r="C6" i="20" s="1"/>
  <c r="I3" i="20"/>
  <c r="N3" i="20" s="1"/>
  <c r="D3" i="20"/>
  <c r="D24" i="20" s="1"/>
  <c r="H31" i="15"/>
  <c r="H33" i="15" s="1"/>
  <c r="D27" i="15"/>
  <c r="C27" i="15"/>
  <c r="O26" i="15"/>
  <c r="N26" i="15"/>
  <c r="H24" i="15"/>
  <c r="I23" i="15"/>
  <c r="I24" i="15" s="1"/>
  <c r="O22" i="15"/>
  <c r="O28" i="15" s="1"/>
  <c r="N22" i="15"/>
  <c r="N28" i="15" s="1"/>
  <c r="N19" i="15"/>
  <c r="O18" i="15"/>
  <c r="O19" i="15" s="1"/>
  <c r="N18" i="15"/>
  <c r="O14" i="15"/>
  <c r="N14" i="15"/>
  <c r="O13" i="15"/>
  <c r="N13" i="15"/>
  <c r="O12" i="15"/>
  <c r="N12" i="15"/>
  <c r="O11" i="15"/>
  <c r="N11" i="15"/>
  <c r="J11" i="15"/>
  <c r="I11" i="15"/>
  <c r="H11" i="15"/>
  <c r="H17" i="15" s="1"/>
  <c r="H19" i="15" s="1"/>
  <c r="H35" i="15" s="1"/>
  <c r="O10" i="15"/>
  <c r="N10" i="15"/>
  <c r="C10" i="15"/>
  <c r="O9" i="15"/>
  <c r="N9" i="15"/>
  <c r="O7" i="15"/>
  <c r="N7" i="15"/>
  <c r="D6" i="15"/>
  <c r="D7" i="15" s="1"/>
  <c r="C5" i="15"/>
  <c r="N3" i="15"/>
  <c r="J3" i="15"/>
  <c r="O3" i="15" s="1"/>
  <c r="I3" i="15"/>
  <c r="D3" i="15"/>
  <c r="D26" i="22" l="1"/>
  <c r="N5" i="22"/>
  <c r="I5" i="22"/>
  <c r="C26" i="22"/>
  <c r="H15" i="21"/>
  <c r="H28" i="21" s="1"/>
  <c r="H26" i="21"/>
  <c r="D6" i="21"/>
  <c r="D7" i="21" s="1"/>
  <c r="D11" i="21" s="1"/>
  <c r="C7" i="21"/>
  <c r="C11" i="21" s="1"/>
  <c r="C7" i="20"/>
  <c r="D6" i="20"/>
  <c r="D7" i="20" s="1"/>
  <c r="J3" i="20"/>
  <c r="O3" i="20" s="1"/>
  <c r="D8" i="15"/>
  <c r="D11" i="15"/>
  <c r="J23" i="15"/>
  <c r="J24" i="15" s="1"/>
  <c r="C6" i="15"/>
  <c r="C7" i="15" s="1"/>
  <c r="J5" i="22" l="1"/>
  <c r="J19" i="22" s="1"/>
  <c r="I19" i="22"/>
  <c r="C27" i="22"/>
  <c r="C30" i="22" s="1"/>
  <c r="C32" i="22" s="1"/>
  <c r="I24" i="22" s="1"/>
  <c r="D11" i="20"/>
  <c r="D8" i="20"/>
  <c r="C11" i="20"/>
  <c r="C8" i="20"/>
  <c r="C11" i="15"/>
  <c r="C8" i="15"/>
  <c r="D12" i="15"/>
  <c r="D18" i="15"/>
  <c r="N8" i="22" l="1"/>
  <c r="N15" i="22" s="1"/>
  <c r="N32" i="22" s="1"/>
  <c r="I31" i="22" s="1"/>
  <c r="I25" i="22"/>
  <c r="C28" i="22"/>
  <c r="D25" i="22" s="1"/>
  <c r="D16" i="21"/>
  <c r="D17" i="21" s="1"/>
  <c r="C16" i="21"/>
  <c r="C17" i="21" s="1"/>
  <c r="C12" i="20"/>
  <c r="C18" i="20"/>
  <c r="D12" i="20"/>
  <c r="D18" i="20"/>
  <c r="D26" i="15"/>
  <c r="D29" i="15" s="1"/>
  <c r="D31" i="15" s="1"/>
  <c r="D33" i="15" s="1"/>
  <c r="O8" i="15" s="1"/>
  <c r="D19" i="15"/>
  <c r="D20" i="15" s="1"/>
  <c r="C18" i="15"/>
  <c r="C12" i="15"/>
  <c r="D27" i="22" l="1"/>
  <c r="D28" i="22" s="1"/>
  <c r="I32" i="22"/>
  <c r="I34" i="22" s="1"/>
  <c r="I36" i="22" s="1"/>
  <c r="C18" i="21"/>
  <c r="D18" i="21"/>
  <c r="D19" i="20"/>
  <c r="D20" i="20"/>
  <c r="D25" i="20"/>
  <c r="D28" i="20" s="1"/>
  <c r="C19" i="20"/>
  <c r="C20" i="20"/>
  <c r="C25" i="20"/>
  <c r="C28" i="20" s="1"/>
  <c r="D21" i="15"/>
  <c r="D23" i="15"/>
  <c r="O5" i="15" s="1"/>
  <c r="O15" i="15" s="1"/>
  <c r="O30" i="15" s="1"/>
  <c r="C26" i="15"/>
  <c r="C29" i="15" s="1"/>
  <c r="C31" i="15" s="1"/>
  <c r="C19" i="15"/>
  <c r="C20" i="15" s="1"/>
  <c r="D30" i="22" l="1"/>
  <c r="D32" i="22" s="1"/>
  <c r="J24" i="22" s="1"/>
  <c r="O5" i="21"/>
  <c r="I5" i="21"/>
  <c r="I15" i="21" s="1"/>
  <c r="N5" i="21"/>
  <c r="N5" i="20"/>
  <c r="I5" i="20"/>
  <c r="C21" i="20"/>
  <c r="O5" i="20"/>
  <c r="D21" i="20"/>
  <c r="C23" i="15"/>
  <c r="C21" i="15"/>
  <c r="C33" i="15"/>
  <c r="O8" i="22" l="1"/>
  <c r="O15" i="22" s="1"/>
  <c r="O32" i="22" s="1"/>
  <c r="J31" i="22" s="1"/>
  <c r="J32" i="22" s="1"/>
  <c r="J25" i="22"/>
  <c r="J5" i="21"/>
  <c r="J15" i="21" s="1"/>
  <c r="C39" i="20"/>
  <c r="C33" i="20"/>
  <c r="D30" i="20" s="1"/>
  <c r="J5" i="20"/>
  <c r="J19" i="20" s="1"/>
  <c r="I19" i="20"/>
  <c r="I9" i="15"/>
  <c r="N8" i="15"/>
  <c r="N5" i="15"/>
  <c r="N15" i="15" s="1"/>
  <c r="N30" i="15" s="1"/>
  <c r="I30" i="15" s="1"/>
  <c r="I5" i="15"/>
  <c r="J5" i="15" s="1"/>
  <c r="J34" i="22" l="1"/>
  <c r="J36" i="22" s="1"/>
  <c r="N13" i="21"/>
  <c r="D32" i="20"/>
  <c r="N8" i="20"/>
  <c r="N15" i="20" s="1"/>
  <c r="N31" i="20" s="1"/>
  <c r="I31" i="20" s="1"/>
  <c r="C41" i="20"/>
  <c r="J30" i="15"/>
  <c r="J31" i="15" s="1"/>
  <c r="J33" i="15" s="1"/>
  <c r="I31" i="15"/>
  <c r="I33" i="15" s="1"/>
  <c r="I17" i="15"/>
  <c r="I19" i="15" s="1"/>
  <c r="I35" i="15" s="1"/>
  <c r="J9" i="15"/>
  <c r="J17" i="15" s="1"/>
  <c r="J19" i="15" s="1"/>
  <c r="J35" i="15" s="1"/>
  <c r="O13" i="21" l="1"/>
  <c r="O28" i="21" s="1"/>
  <c r="D35" i="20"/>
  <c r="D37" i="20" s="1"/>
  <c r="D39" i="20"/>
  <c r="O8" i="20" s="1"/>
  <c r="O15" i="20" s="1"/>
  <c r="O31" i="20" s="1"/>
  <c r="D33" i="20"/>
  <c r="D41" i="20"/>
  <c r="J24" i="20" s="1"/>
  <c r="J25" i="20" s="1"/>
  <c r="I24" i="20"/>
  <c r="I25" i="20" s="1"/>
  <c r="I32" i="20"/>
  <c r="J31" i="20"/>
  <c r="J32" i="20" s="1"/>
  <c r="J34" i="20" s="1"/>
  <c r="J36" i="20" s="1"/>
  <c r="I34" i="20" l="1"/>
  <c r="I36" i="20" s="1"/>
  <c r="N28" i="17" l="1"/>
  <c r="O20" i="17"/>
  <c r="N19" i="17"/>
  <c r="D29" i="17"/>
  <c r="D17" i="17" s="1"/>
  <c r="O22" i="17"/>
  <c r="N22" i="17"/>
  <c r="I23" i="17"/>
  <c r="J23" i="17" s="1"/>
  <c r="H24" i="17"/>
  <c r="H31" i="17"/>
  <c r="H33" i="17" s="1"/>
  <c r="J27" i="17"/>
  <c r="I27" i="17"/>
  <c r="N9" i="17" s="1"/>
  <c r="N27" i="17"/>
  <c r="O25" i="17"/>
  <c r="N25" i="17"/>
  <c r="J17" i="17"/>
  <c r="I17" i="17"/>
  <c r="H17" i="17"/>
  <c r="O14" i="17"/>
  <c r="N14" i="17"/>
  <c r="O13" i="17"/>
  <c r="N13" i="17"/>
  <c r="O12" i="17"/>
  <c r="N12" i="17"/>
  <c r="O11" i="17"/>
  <c r="N11" i="17"/>
  <c r="J11" i="17"/>
  <c r="I11" i="17"/>
  <c r="H11" i="17"/>
  <c r="O10" i="17"/>
  <c r="N10" i="17"/>
  <c r="C10" i="17"/>
  <c r="D6" i="17"/>
  <c r="D7" i="17" s="1"/>
  <c r="D8" i="17" s="1"/>
  <c r="C5" i="17"/>
  <c r="C6" i="17" s="1"/>
  <c r="C7" i="17" s="1"/>
  <c r="I3" i="17"/>
  <c r="N3" i="17" s="1"/>
  <c r="D3" i="17"/>
  <c r="J3" i="17" s="1"/>
  <c r="O3" i="17" s="1"/>
  <c r="D11" i="16"/>
  <c r="C11" i="16"/>
  <c r="P8" i="16"/>
  <c r="O8" i="16"/>
  <c r="N8" i="16"/>
  <c r="P7" i="16"/>
  <c r="O7" i="16"/>
  <c r="N7" i="16"/>
  <c r="H22" i="16"/>
  <c r="I22" i="16"/>
  <c r="J22" i="16"/>
  <c r="H11" i="16"/>
  <c r="I11" i="16"/>
  <c r="I12" i="16" s="1"/>
  <c r="J11" i="16"/>
  <c r="D10" i="16"/>
  <c r="C10" i="16"/>
  <c r="J23" i="16"/>
  <c r="I23" i="16"/>
  <c r="H23" i="16"/>
  <c r="H27" i="16" s="1"/>
  <c r="H5" i="16" s="1"/>
  <c r="P22" i="16"/>
  <c r="O22" i="16"/>
  <c r="N22" i="16"/>
  <c r="J19" i="16"/>
  <c r="I19" i="16"/>
  <c r="H19" i="16"/>
  <c r="P17" i="16"/>
  <c r="N17" i="16"/>
  <c r="N24" i="16" s="1"/>
  <c r="O17" i="16"/>
  <c r="J12" i="16"/>
  <c r="H12" i="16"/>
  <c r="C19" i="16"/>
  <c r="C20" i="16" s="1"/>
  <c r="I10" i="16"/>
  <c r="C7" i="16"/>
  <c r="D6" i="16"/>
  <c r="D7" i="16" s="1"/>
  <c r="C6" i="16"/>
  <c r="W20" i="16"/>
  <c r="X20" i="16"/>
  <c r="Y20" i="16"/>
  <c r="Z20" i="16"/>
  <c r="V20" i="16"/>
  <c r="V8" i="16"/>
  <c r="W8" i="16" s="1"/>
  <c r="X8" i="16" s="1"/>
  <c r="W7" i="16"/>
  <c r="X7" i="16" s="1"/>
  <c r="Y7" i="16" s="1"/>
  <c r="Z7" i="16" s="1"/>
  <c r="H19" i="17" l="1"/>
  <c r="I24" i="17"/>
  <c r="O9" i="17"/>
  <c r="N29" i="17"/>
  <c r="O29" i="17"/>
  <c r="H35" i="17"/>
  <c r="C11" i="17"/>
  <c r="C8" i="17"/>
  <c r="D11" i="17"/>
  <c r="J24" i="17"/>
  <c r="C21" i="16"/>
  <c r="H7" i="16"/>
  <c r="H14" i="16" s="1"/>
  <c r="H29" i="16" s="1"/>
  <c r="D19" i="16"/>
  <c r="D20" i="16" s="1"/>
  <c r="Y8" i="16"/>
  <c r="D12" i="17" l="1"/>
  <c r="D18" i="17"/>
  <c r="C12" i="17"/>
  <c r="C18" i="17"/>
  <c r="O4" i="16"/>
  <c r="D21" i="16"/>
  <c r="P4" i="16" s="1"/>
  <c r="P12" i="16" s="1"/>
  <c r="P24" i="16" s="1"/>
  <c r="Z8" i="16"/>
  <c r="C19" i="17" l="1"/>
  <c r="C20" i="17" s="1"/>
  <c r="D19" i="17"/>
  <c r="D20" i="17" s="1"/>
  <c r="O5" i="17" s="1"/>
  <c r="I25" i="16"/>
  <c r="O12" i="16"/>
  <c r="O24" i="16" s="1"/>
  <c r="I5" i="16" s="1"/>
  <c r="D23" i="16"/>
  <c r="U12" i="16"/>
  <c r="N5" i="17" l="1"/>
  <c r="I5" i="17"/>
  <c r="J5" i="17" s="1"/>
  <c r="C21" i="17"/>
  <c r="O15" i="17"/>
  <c r="O31" i="17" s="1"/>
  <c r="D21" i="17"/>
  <c r="J5" i="16"/>
  <c r="J7" i="16" s="1"/>
  <c r="J14" i="16" s="1"/>
  <c r="I7" i="16"/>
  <c r="I14" i="16" s="1"/>
  <c r="J25" i="16"/>
  <c r="J27" i="16" s="1"/>
  <c r="I27" i="16"/>
  <c r="U13" i="16"/>
  <c r="N15" i="17" l="1"/>
  <c r="I29" i="16"/>
  <c r="J29" i="16"/>
  <c r="V9" i="16"/>
  <c r="N31" i="17" l="1"/>
  <c r="I30" i="17" s="1"/>
  <c r="J19" i="17"/>
  <c r="I19" i="17"/>
  <c r="V10" i="16"/>
  <c r="V17" i="16" s="1"/>
  <c r="I31" i="17" l="1"/>
  <c r="I33" i="17" s="1"/>
  <c r="J30" i="17"/>
  <c r="J31" i="17" s="1"/>
  <c r="J33" i="17" s="1"/>
  <c r="J35" i="17" s="1"/>
  <c r="I35" i="17"/>
  <c r="V23" i="16"/>
  <c r="V15" i="16"/>
  <c r="V22" i="16" s="1"/>
  <c r="V21" i="16"/>
  <c r="V12" i="16"/>
  <c r="V13" i="16"/>
  <c r="W9" i="16" l="1"/>
  <c r="C23" i="14"/>
  <c r="I7" i="14"/>
  <c r="N26" i="14" s="1"/>
  <c r="D29" i="14"/>
  <c r="D23" i="14" s="1"/>
  <c r="H31" i="14"/>
  <c r="J27" i="14"/>
  <c r="I27" i="14"/>
  <c r="N9" i="14" s="1"/>
  <c r="N24" i="14"/>
  <c r="O23" i="14"/>
  <c r="O22" i="14"/>
  <c r="N22" i="14"/>
  <c r="H24" i="14"/>
  <c r="I23" i="14"/>
  <c r="J23" i="14" s="1"/>
  <c r="J24" i="14" s="1"/>
  <c r="O18" i="14"/>
  <c r="O19" i="14" s="1"/>
  <c r="N18" i="14"/>
  <c r="N19" i="14" s="1"/>
  <c r="J17" i="14"/>
  <c r="I17" i="14"/>
  <c r="H17" i="14"/>
  <c r="O14" i="14"/>
  <c r="N14" i="14"/>
  <c r="O13" i="14"/>
  <c r="N13" i="14"/>
  <c r="O12" i="14"/>
  <c r="N12" i="14"/>
  <c r="O11" i="14"/>
  <c r="N11" i="14"/>
  <c r="O10" i="14"/>
  <c r="N10" i="14"/>
  <c r="C10" i="14"/>
  <c r="J11" i="14"/>
  <c r="I11" i="14"/>
  <c r="H11" i="14"/>
  <c r="O7" i="14"/>
  <c r="N7" i="14"/>
  <c r="D6" i="14"/>
  <c r="D7" i="14" s="1"/>
  <c r="D8" i="14" s="1"/>
  <c r="C5" i="14"/>
  <c r="C6" i="14" s="1"/>
  <c r="C7" i="14" s="1"/>
  <c r="I3" i="14"/>
  <c r="N3" i="14" s="1"/>
  <c r="D3" i="14"/>
  <c r="J3" i="14" s="1"/>
  <c r="O3" i="14" s="1"/>
  <c r="N25" i="13"/>
  <c r="O25" i="13"/>
  <c r="N24" i="13"/>
  <c r="O24" i="13"/>
  <c r="W10" i="16" l="1"/>
  <c r="H33" i="14"/>
  <c r="H19" i="14"/>
  <c r="I24" i="14"/>
  <c r="J7" i="14"/>
  <c r="O26" i="14" s="1"/>
  <c r="O28" i="14" s="1"/>
  <c r="N28" i="14"/>
  <c r="O9" i="14"/>
  <c r="H35" i="14"/>
  <c r="C8" i="14"/>
  <c r="C11" i="14"/>
  <c r="D11" i="14"/>
  <c r="H30" i="13"/>
  <c r="J26" i="13"/>
  <c r="I26" i="13"/>
  <c r="O9" i="13" s="1"/>
  <c r="H22" i="13"/>
  <c r="I21" i="13"/>
  <c r="I22" i="13" s="1"/>
  <c r="O18" i="13"/>
  <c r="O19" i="13" s="1"/>
  <c r="N18" i="13"/>
  <c r="N19" i="13" s="1"/>
  <c r="J15" i="13"/>
  <c r="I15" i="13"/>
  <c r="H15" i="13"/>
  <c r="O14" i="13"/>
  <c r="N14" i="13"/>
  <c r="O13" i="13"/>
  <c r="N13" i="13"/>
  <c r="O12" i="13"/>
  <c r="N12" i="13"/>
  <c r="O11" i="13"/>
  <c r="N11" i="13"/>
  <c r="O10" i="13"/>
  <c r="N10" i="13"/>
  <c r="C10" i="13"/>
  <c r="H9" i="13"/>
  <c r="H17" i="13" s="1"/>
  <c r="J9" i="13"/>
  <c r="I9" i="13"/>
  <c r="O7" i="13"/>
  <c r="N7" i="13"/>
  <c r="D6" i="13"/>
  <c r="D7" i="13" s="1"/>
  <c r="C5" i="13"/>
  <c r="C6" i="13" s="1"/>
  <c r="C7" i="13" s="1"/>
  <c r="C11" i="13" s="1"/>
  <c r="I3" i="13"/>
  <c r="N3" i="13" s="1"/>
  <c r="D3" i="13"/>
  <c r="J3" i="13" s="1"/>
  <c r="O3" i="13" s="1"/>
  <c r="O22" i="12"/>
  <c r="N22" i="12"/>
  <c r="J8" i="12"/>
  <c r="I8" i="12"/>
  <c r="W15" i="16" l="1"/>
  <c r="W22" i="16" s="1"/>
  <c r="W21" i="16"/>
  <c r="W13" i="16"/>
  <c r="W12" i="16"/>
  <c r="W17" i="16"/>
  <c r="D18" i="14"/>
  <c r="D12" i="14"/>
  <c r="C12" i="14"/>
  <c r="C18" i="14"/>
  <c r="H32" i="13"/>
  <c r="H34" i="13"/>
  <c r="N9" i="13"/>
  <c r="C12" i="13"/>
  <c r="C18" i="13"/>
  <c r="D11" i="13"/>
  <c r="D8" i="13"/>
  <c r="J21" i="13"/>
  <c r="J22" i="13" s="1"/>
  <c r="C8" i="13"/>
  <c r="N22" i="13"/>
  <c r="N27" i="13" s="1"/>
  <c r="O22" i="13"/>
  <c r="O27" i="13" s="1"/>
  <c r="P24" i="5"/>
  <c r="H18" i="5"/>
  <c r="H17" i="5"/>
  <c r="H25" i="5"/>
  <c r="W23" i="16" l="1"/>
  <c r="X9" i="16"/>
  <c r="C19" i="14"/>
  <c r="C20" i="14" s="1"/>
  <c r="C25" i="14" s="1"/>
  <c r="D19" i="14"/>
  <c r="D20" i="14" s="1"/>
  <c r="D25" i="14" s="1"/>
  <c r="O5" i="14" s="1"/>
  <c r="O15" i="14" s="1"/>
  <c r="O30" i="14" s="1"/>
  <c r="D12" i="13"/>
  <c r="D18" i="13"/>
  <c r="C19" i="13"/>
  <c r="C20" i="13" s="1"/>
  <c r="I5" i="13" s="1"/>
  <c r="F24" i="5" a="1"/>
  <c r="F24" i="5" s="1"/>
  <c r="G24" i="5" a="1"/>
  <c r="G24" i="5" s="1"/>
  <c r="J13" i="5"/>
  <c r="K13" i="5"/>
  <c r="L13" i="5"/>
  <c r="M13" i="5"/>
  <c r="N13" i="5"/>
  <c r="O13" i="5"/>
  <c r="I13" i="5"/>
  <c r="E10" i="5"/>
  <c r="H14" i="5" s="1"/>
  <c r="H15" i="5" s="1"/>
  <c r="I12" i="5" s="1"/>
  <c r="H13" i="5"/>
  <c r="N21" i="11"/>
  <c r="O18" i="11"/>
  <c r="N18" i="11"/>
  <c r="N7" i="11"/>
  <c r="O7" i="11"/>
  <c r="J14" i="11"/>
  <c r="I15" i="11"/>
  <c r="I14" i="11"/>
  <c r="C20" i="11"/>
  <c r="C18" i="11"/>
  <c r="C14" i="11"/>
  <c r="D14" i="11"/>
  <c r="J13" i="11"/>
  <c r="I13" i="11"/>
  <c r="X10" i="16" l="1"/>
  <c r="I5" i="14"/>
  <c r="J5" i="14" s="1"/>
  <c r="N5" i="14"/>
  <c r="D21" i="14"/>
  <c r="C21" i="14"/>
  <c r="N15" i="14"/>
  <c r="N30" i="14" s="1"/>
  <c r="I30" i="14" s="1"/>
  <c r="I19" i="14"/>
  <c r="C21" i="13"/>
  <c r="N5" i="13"/>
  <c r="N15" i="13" s="1"/>
  <c r="N29" i="13" s="1"/>
  <c r="I29" i="13" s="1"/>
  <c r="D19" i="13"/>
  <c r="D20" i="13" s="1"/>
  <c r="J5" i="13" s="1"/>
  <c r="I18" i="5"/>
  <c r="I17" i="5"/>
  <c r="N24" i="5"/>
  <c r="P26" i="5"/>
  <c r="H24" i="5"/>
  <c r="Q26" i="5"/>
  <c r="I14" i="5"/>
  <c r="I15" i="5" s="1"/>
  <c r="Q28" i="5"/>
  <c r="I26" i="5"/>
  <c r="N30" i="5"/>
  <c r="M30" i="5"/>
  <c r="P28" i="5"/>
  <c r="H26" i="5"/>
  <c r="P29" i="5"/>
  <c r="N31" i="5"/>
  <c r="J30" i="5"/>
  <c r="N28" i="5"/>
  <c r="J27" i="5"/>
  <c r="N25" i="5"/>
  <c r="J24" i="5"/>
  <c r="Q29" i="5"/>
  <c r="K26" i="5"/>
  <c r="J29" i="5"/>
  <c r="Q27" i="5"/>
  <c r="M31" i="5"/>
  <c r="I30" i="5"/>
  <c r="M28" i="5"/>
  <c r="I27" i="5"/>
  <c r="M25" i="5"/>
  <c r="I24" i="5"/>
  <c r="P30" i="5"/>
  <c r="O24" i="5"/>
  <c r="N27" i="5"/>
  <c r="I29" i="5"/>
  <c r="M24" i="5"/>
  <c r="H29" i="5"/>
  <c r="K24" i="5"/>
  <c r="L31" i="5"/>
  <c r="H30" i="5"/>
  <c r="L28" i="5"/>
  <c r="H27" i="5"/>
  <c r="L25" i="5"/>
  <c r="Q24" i="5"/>
  <c r="Q30" i="5"/>
  <c r="K29" i="5"/>
  <c r="J26" i="5"/>
  <c r="K31" i="5"/>
  <c r="O29" i="5"/>
  <c r="K28" i="5"/>
  <c r="O26" i="5"/>
  <c r="K25" i="5"/>
  <c r="P25" i="5"/>
  <c r="P31" i="5"/>
  <c r="O27" i="5"/>
  <c r="M27" i="5"/>
  <c r="L24" i="5"/>
  <c r="O28" i="5"/>
  <c r="J31" i="5"/>
  <c r="N29" i="5"/>
  <c r="J28" i="5"/>
  <c r="N26" i="5"/>
  <c r="J25" i="5"/>
  <c r="Q25" i="5"/>
  <c r="Q31" i="5"/>
  <c r="L27" i="5"/>
  <c r="K30" i="5"/>
  <c r="O25" i="5"/>
  <c r="I31" i="5"/>
  <c r="M29" i="5"/>
  <c r="I28" i="5"/>
  <c r="M26" i="5"/>
  <c r="I25" i="5"/>
  <c r="O30" i="5"/>
  <c r="P27" i="5"/>
  <c r="L30" i="5"/>
  <c r="O31" i="5"/>
  <c r="K27" i="5"/>
  <c r="H31" i="5"/>
  <c r="L29" i="5"/>
  <c r="H28" i="5"/>
  <c r="L26" i="5"/>
  <c r="O6" i="10"/>
  <c r="N6" i="10"/>
  <c r="J13" i="10"/>
  <c r="I13" i="10"/>
  <c r="O10" i="9"/>
  <c r="N10" i="9"/>
  <c r="I9" i="9"/>
  <c r="O7" i="8"/>
  <c r="N7" i="8"/>
  <c r="I13" i="8"/>
  <c r="X15" i="16" l="1"/>
  <c r="X22" i="16" s="1"/>
  <c r="X21" i="16"/>
  <c r="X12" i="16"/>
  <c r="X13" i="16"/>
  <c r="X17" i="16"/>
  <c r="J19" i="14"/>
  <c r="I31" i="14"/>
  <c r="I33" i="14" s="1"/>
  <c r="J30" i="14"/>
  <c r="J31" i="14" s="1"/>
  <c r="J33" i="14" s="1"/>
  <c r="O5" i="13"/>
  <c r="O15" i="13" s="1"/>
  <c r="O29" i="13" s="1"/>
  <c r="D21" i="13"/>
  <c r="J29" i="13"/>
  <c r="J30" i="13" s="1"/>
  <c r="J32" i="13" s="1"/>
  <c r="I30" i="13"/>
  <c r="I32" i="13" s="1"/>
  <c r="J17" i="13"/>
  <c r="I17" i="13"/>
  <c r="I34" i="13" s="1"/>
  <c r="J12" i="5"/>
  <c r="J18" i="5" s="1"/>
  <c r="J14" i="5"/>
  <c r="J15" i="5" s="1"/>
  <c r="K12" i="5" s="1"/>
  <c r="K18" i="5" s="1"/>
  <c r="J17" i="5"/>
  <c r="N32" i="5"/>
  <c r="I32" i="5"/>
  <c r="K32" i="5"/>
  <c r="M32" i="5"/>
  <c r="L32" i="5"/>
  <c r="Q32" i="5"/>
  <c r="H32" i="5"/>
  <c r="J32" i="5"/>
  <c r="O32" i="5"/>
  <c r="P32" i="5"/>
  <c r="H23" i="5"/>
  <c r="I4" i="5"/>
  <c r="J4" i="5" s="1"/>
  <c r="K4" i="5" s="1"/>
  <c r="L4" i="5" s="1"/>
  <c r="M4" i="5" s="1"/>
  <c r="N4" i="5" s="1"/>
  <c r="O4" i="5" s="1"/>
  <c r="O23" i="5" s="1"/>
  <c r="X23" i="16" l="1"/>
  <c r="Y9" i="16"/>
  <c r="I35" i="14"/>
  <c r="J35" i="14"/>
  <c r="J34" i="13"/>
  <c r="K14" i="5"/>
  <c r="K15" i="5" s="1"/>
  <c r="L12" i="5" s="1"/>
  <c r="L18" i="5" s="1"/>
  <c r="K17" i="5"/>
  <c r="N23" i="5"/>
  <c r="M23" i="5"/>
  <c r="L23" i="5"/>
  <c r="K23" i="5"/>
  <c r="J23" i="5"/>
  <c r="I23" i="5"/>
  <c r="Y10" i="16" l="1"/>
  <c r="L17" i="5"/>
  <c r="L14" i="5"/>
  <c r="L15" i="5" s="1"/>
  <c r="M12" i="5" s="1"/>
  <c r="M18" i="5" s="1"/>
  <c r="Y15" i="16" l="1"/>
  <c r="Y22" i="16" s="1"/>
  <c r="Y21" i="16"/>
  <c r="Y13" i="16"/>
  <c r="Y12" i="16"/>
  <c r="Y17" i="16"/>
  <c r="M17" i="5"/>
  <c r="M14" i="5"/>
  <c r="M15" i="5"/>
  <c r="N12" i="5" s="1"/>
  <c r="N18" i="5" s="1"/>
  <c r="Y23" i="16" l="1"/>
  <c r="Z9" i="16"/>
  <c r="N17" i="5"/>
  <c r="N14" i="5"/>
  <c r="N15" i="5" s="1"/>
  <c r="O12" i="5" s="1"/>
  <c r="O18" i="5" s="1"/>
  <c r="H17" i="12"/>
  <c r="O24" i="12"/>
  <c r="N24" i="12"/>
  <c r="I9" i="12"/>
  <c r="I17" i="12" s="1"/>
  <c r="J9" i="12"/>
  <c r="J17" i="12" s="1"/>
  <c r="H9" i="12"/>
  <c r="I15" i="12"/>
  <c r="J15" i="12"/>
  <c r="H15" i="12"/>
  <c r="H30" i="12"/>
  <c r="J26" i="12"/>
  <c r="I26" i="12"/>
  <c r="O9" i="12" s="1"/>
  <c r="O18" i="12"/>
  <c r="O19" i="12" s="1"/>
  <c r="N18" i="12"/>
  <c r="N19" i="12" s="1"/>
  <c r="H22" i="12"/>
  <c r="O14" i="12"/>
  <c r="N14" i="12"/>
  <c r="I21" i="12"/>
  <c r="J21" i="12" s="1"/>
  <c r="J22" i="12" s="1"/>
  <c r="O13" i="12"/>
  <c r="N13" i="12"/>
  <c r="O12" i="12"/>
  <c r="N12" i="12"/>
  <c r="O11" i="12"/>
  <c r="N11" i="12"/>
  <c r="O10" i="12"/>
  <c r="N10" i="12"/>
  <c r="C10" i="12"/>
  <c r="O7" i="12"/>
  <c r="N7" i="12"/>
  <c r="D6" i="12"/>
  <c r="D7" i="12" s="1"/>
  <c r="D11" i="12" s="1"/>
  <c r="C5" i="12"/>
  <c r="C6" i="12" s="1"/>
  <c r="C7" i="12" s="1"/>
  <c r="I3" i="12"/>
  <c r="N3" i="12" s="1"/>
  <c r="D3" i="12"/>
  <c r="J3" i="12" s="1"/>
  <c r="O3" i="12" s="1"/>
  <c r="Z10" i="16" l="1"/>
  <c r="O17" i="5"/>
  <c r="O14" i="5"/>
  <c r="O15" i="5"/>
  <c r="H32" i="12"/>
  <c r="H34" i="12" s="1"/>
  <c r="D18" i="12"/>
  <c r="D12" i="12"/>
  <c r="C8" i="12"/>
  <c r="C11" i="12"/>
  <c r="D8" i="12"/>
  <c r="I22" i="12"/>
  <c r="N9" i="12"/>
  <c r="Z15" i="16" l="1"/>
  <c r="Z22" i="16" s="1"/>
  <c r="Z21" i="16"/>
  <c r="Z12" i="16"/>
  <c r="Z13" i="16"/>
  <c r="Z17" i="16"/>
  <c r="C18" i="12"/>
  <c r="C12" i="12"/>
  <c r="D19" i="12"/>
  <c r="D20" i="12" s="1"/>
  <c r="Z23" i="16" l="1"/>
  <c r="AA23" i="16" s="1"/>
  <c r="AA17" i="16"/>
  <c r="D21" i="12"/>
  <c r="O5" i="12"/>
  <c r="O15" i="12" s="1"/>
  <c r="O26" i="12" s="1"/>
  <c r="C19" i="12"/>
  <c r="C20" i="12" s="1"/>
  <c r="C21" i="12" l="1"/>
  <c r="N5" i="12"/>
  <c r="N15" i="12" s="1"/>
  <c r="N26" i="12" s="1"/>
  <c r="I29" i="12" s="1"/>
  <c r="J29" i="12" s="1"/>
  <c r="I5" i="12"/>
  <c r="J5" i="12" l="1"/>
  <c r="J30" i="12" l="1"/>
  <c r="J32" i="12" s="1"/>
  <c r="J34" i="12" s="1"/>
  <c r="I30" i="12"/>
  <c r="I32" i="12" s="1"/>
  <c r="I34" i="12" s="1"/>
  <c r="H10" i="11" l="1"/>
  <c r="H23" i="11"/>
  <c r="H15" i="11" l="1"/>
  <c r="H25" i="11" s="1"/>
  <c r="N19" i="11"/>
  <c r="J19" i="11"/>
  <c r="I19" i="11"/>
  <c r="N9" i="11" s="1"/>
  <c r="O14" i="11"/>
  <c r="N14" i="11"/>
  <c r="O13" i="11"/>
  <c r="N13" i="11"/>
  <c r="C10" i="11"/>
  <c r="O12" i="11"/>
  <c r="N12" i="11"/>
  <c r="O11" i="11"/>
  <c r="N11" i="11"/>
  <c r="O10" i="11"/>
  <c r="N10" i="11"/>
  <c r="D6" i="11"/>
  <c r="D7" i="11" s="1"/>
  <c r="D8" i="11" s="1"/>
  <c r="C5" i="11"/>
  <c r="C6" i="11" s="1"/>
  <c r="C7" i="11" s="1"/>
  <c r="I3" i="11"/>
  <c r="N3" i="11" s="1"/>
  <c r="D3" i="11"/>
  <c r="J3" i="11" s="1"/>
  <c r="O3" i="11" s="1"/>
  <c r="J15" i="11" l="1"/>
  <c r="O9" i="11"/>
  <c r="O19" i="11"/>
  <c r="H27" i="11"/>
  <c r="C8" i="11"/>
  <c r="C11" i="11"/>
  <c r="D11" i="11"/>
  <c r="D18" i="11" s="1"/>
  <c r="D12" i="11" l="1"/>
  <c r="C12" i="11"/>
  <c r="C19" i="11" l="1"/>
  <c r="D19" i="11"/>
  <c r="D20" i="11" s="1"/>
  <c r="D21" i="11" l="1"/>
  <c r="O5" i="11"/>
  <c r="O15" i="11" s="1"/>
  <c r="O21" i="11" s="1"/>
  <c r="C21" i="11"/>
  <c r="N5" i="11"/>
  <c r="N15" i="11" s="1"/>
  <c r="I5" i="11"/>
  <c r="I22" i="11" l="1"/>
  <c r="I10" i="11"/>
  <c r="J5" i="11"/>
  <c r="J10" i="11" s="1"/>
  <c r="J22" i="11" l="1"/>
  <c r="J23" i="11" s="1"/>
  <c r="J25" i="11" s="1"/>
  <c r="I23" i="11"/>
  <c r="I25" i="11" s="1"/>
  <c r="I27" i="11" s="1"/>
  <c r="J27" i="11"/>
  <c r="C21" i="10" l="1"/>
  <c r="D21" i="10"/>
  <c r="H17" i="10"/>
  <c r="D22" i="10"/>
  <c r="C25" i="10"/>
  <c r="D25" i="10"/>
  <c r="N11" i="10"/>
  <c r="O11" i="10"/>
  <c r="H10" i="10"/>
  <c r="H19" i="10" s="1"/>
  <c r="C10" i="10"/>
  <c r="O10" i="10"/>
  <c r="N10" i="10"/>
  <c r="O9" i="10"/>
  <c r="N9" i="10"/>
  <c r="O8" i="10"/>
  <c r="N8" i="10"/>
  <c r="O7" i="10"/>
  <c r="N7" i="10"/>
  <c r="D6" i="10"/>
  <c r="D7" i="10" s="1"/>
  <c r="C5" i="10"/>
  <c r="C6" i="10" s="1"/>
  <c r="C7" i="10" s="1"/>
  <c r="I3" i="10"/>
  <c r="N3" i="10" s="1"/>
  <c r="D3" i="10"/>
  <c r="J3" i="10" s="1"/>
  <c r="O3" i="10" s="1"/>
  <c r="O8" i="9"/>
  <c r="O9" i="9"/>
  <c r="N8" i="9"/>
  <c r="N9" i="9"/>
  <c r="H10" i="9"/>
  <c r="H16" i="9"/>
  <c r="C10" i="9"/>
  <c r="O7" i="9"/>
  <c r="N7" i="9"/>
  <c r="O6" i="9"/>
  <c r="N6" i="9"/>
  <c r="D6" i="9"/>
  <c r="D7" i="9" s="1"/>
  <c r="D8" i="9" s="1"/>
  <c r="C5" i="9"/>
  <c r="C6" i="9" s="1"/>
  <c r="C7" i="9" s="1"/>
  <c r="I3" i="9"/>
  <c r="N3" i="9" s="1"/>
  <c r="D3" i="9"/>
  <c r="J3" i="9" s="1"/>
  <c r="O3" i="9" s="1"/>
  <c r="C10" i="8"/>
  <c r="H15" i="8"/>
  <c r="C5" i="8"/>
  <c r="N6" i="8"/>
  <c r="H9" i="8"/>
  <c r="H17" i="8" s="1"/>
  <c r="O9" i="8"/>
  <c r="O8" i="8"/>
  <c r="D6" i="8"/>
  <c r="D7" i="8" s="1"/>
  <c r="D8" i="8" s="1"/>
  <c r="I3" i="8"/>
  <c r="N3" i="8" s="1"/>
  <c r="D3" i="8"/>
  <c r="J3" i="8" s="1"/>
  <c r="O3" i="8" s="1"/>
  <c r="O9" i="7"/>
  <c r="O8" i="7"/>
  <c r="N7" i="7"/>
  <c r="N8" i="7"/>
  <c r="I8" i="7"/>
  <c r="C10" i="7"/>
  <c r="O7" i="7"/>
  <c r="N6" i="7"/>
  <c r="I7" i="7"/>
  <c r="C6" i="7"/>
  <c r="H9" i="7"/>
  <c r="C5" i="7"/>
  <c r="D6" i="7"/>
  <c r="H14" i="7"/>
  <c r="I12" i="7"/>
  <c r="H16" i="7"/>
  <c r="O6" i="7"/>
  <c r="D7" i="7"/>
  <c r="I3" i="7"/>
  <c r="N3" i="7" s="1"/>
  <c r="D3" i="7"/>
  <c r="J3" i="7" s="1"/>
  <c r="O3" i="7" s="1"/>
  <c r="C11" i="10" l="1"/>
  <c r="C8" i="10"/>
  <c r="D11" i="10"/>
  <c r="D8" i="10"/>
  <c r="H18" i="9"/>
  <c r="C8" i="9"/>
  <c r="C11" i="9"/>
  <c r="D11" i="9"/>
  <c r="O6" i="8"/>
  <c r="C6" i="8"/>
  <c r="C7" i="8" s="1"/>
  <c r="N8" i="8"/>
  <c r="D11" i="8"/>
  <c r="N9" i="8"/>
  <c r="D11" i="7"/>
  <c r="D8" i="7"/>
  <c r="C7" i="7"/>
  <c r="J12" i="6"/>
  <c r="D12" i="10" l="1"/>
  <c r="D16" i="10" s="1"/>
  <c r="C12" i="10"/>
  <c r="C16" i="10" s="1"/>
  <c r="D12" i="9"/>
  <c r="D16" i="9" s="1"/>
  <c r="C12" i="9"/>
  <c r="C16" i="9" s="1"/>
  <c r="C8" i="8"/>
  <c r="C11" i="8"/>
  <c r="C12" i="8" s="1"/>
  <c r="C16" i="8" s="1"/>
  <c r="D12" i="8"/>
  <c r="D16" i="8"/>
  <c r="C8" i="7"/>
  <c r="C11" i="7"/>
  <c r="D12" i="7"/>
  <c r="D16" i="7"/>
  <c r="O6" i="6"/>
  <c r="N6" i="6"/>
  <c r="I11" i="6"/>
  <c r="C5" i="6"/>
  <c r="H8" i="6"/>
  <c r="C17" i="10" l="1"/>
  <c r="C18" i="10" s="1"/>
  <c r="D17" i="10"/>
  <c r="D18" i="10" s="1"/>
  <c r="D17" i="9"/>
  <c r="D18" i="9" s="1"/>
  <c r="C17" i="9"/>
  <c r="C18" i="9" s="1"/>
  <c r="D17" i="8"/>
  <c r="D18" i="8"/>
  <c r="C17" i="8"/>
  <c r="C18" i="8" s="1"/>
  <c r="C12" i="7"/>
  <c r="C16" i="7"/>
  <c r="D17" i="7"/>
  <c r="D18" i="7" s="1"/>
  <c r="D19" i="10" l="1"/>
  <c r="O5" i="10"/>
  <c r="O12" i="10" s="1"/>
  <c r="C19" i="10"/>
  <c r="N5" i="10"/>
  <c r="N12" i="10" s="1"/>
  <c r="I16" i="10" s="1"/>
  <c r="I17" i="10" s="1"/>
  <c r="I5" i="10"/>
  <c r="C19" i="9"/>
  <c r="N5" i="9"/>
  <c r="N11" i="9" s="1"/>
  <c r="I15" i="9" s="1"/>
  <c r="I5" i="9"/>
  <c r="I10" i="9" s="1"/>
  <c r="O5" i="9"/>
  <c r="O11" i="9" s="1"/>
  <c r="D19" i="9"/>
  <c r="N5" i="8"/>
  <c r="N10" i="8" s="1"/>
  <c r="I14" i="8" s="1"/>
  <c r="I15" i="8" s="1"/>
  <c r="I5" i="8"/>
  <c r="I9" i="8" s="1"/>
  <c r="C19" i="8"/>
  <c r="O5" i="8"/>
  <c r="O10" i="8" s="1"/>
  <c r="D19" i="8"/>
  <c r="D19" i="7"/>
  <c r="O5" i="7"/>
  <c r="C17" i="7"/>
  <c r="C18" i="7" s="1"/>
  <c r="J16" i="10" l="1"/>
  <c r="J17" i="10" s="1"/>
  <c r="I10" i="10"/>
  <c r="I19" i="10" s="1"/>
  <c r="J5" i="10"/>
  <c r="J10" i="10" s="1"/>
  <c r="J19" i="10" s="1"/>
  <c r="J5" i="9"/>
  <c r="J10" i="9" s="1"/>
  <c r="J15" i="9"/>
  <c r="J16" i="9" s="1"/>
  <c r="I16" i="9"/>
  <c r="J5" i="8"/>
  <c r="J9" i="8" s="1"/>
  <c r="J14" i="8"/>
  <c r="J15" i="8" s="1"/>
  <c r="C19" i="7"/>
  <c r="N5" i="7"/>
  <c r="N9" i="7" s="1"/>
  <c r="I5" i="7"/>
  <c r="I9" i="7" s="1"/>
  <c r="I18" i="9" l="1"/>
  <c r="J18" i="9"/>
  <c r="I17" i="8"/>
  <c r="J17" i="8"/>
  <c r="I13" i="7"/>
  <c r="J5" i="7"/>
  <c r="J9" i="7" s="1"/>
  <c r="I14" i="7" l="1"/>
  <c r="I16" i="7" s="1"/>
  <c r="J13" i="7"/>
  <c r="J14" i="7" s="1"/>
  <c r="J16" i="7" s="1"/>
  <c r="C6" i="6" l="1"/>
  <c r="C5" i="1"/>
  <c r="I3" i="6"/>
  <c r="N3" i="6" s="1"/>
  <c r="D3" i="6"/>
  <c r="J3" i="6" s="1"/>
  <c r="O3" i="6" s="1"/>
  <c r="D6" i="6"/>
  <c r="D7" i="6" s="1"/>
  <c r="C6" i="1"/>
  <c r="H7" i="1"/>
  <c r="M14" i="1" s="1"/>
  <c r="M15" i="1" s="1"/>
  <c r="M10" i="1"/>
  <c r="L17" i="1"/>
  <c r="L14" i="1"/>
  <c r="M11" i="1"/>
  <c r="L3" i="1"/>
  <c r="M3" i="1"/>
  <c r="L5" i="1"/>
  <c r="L7" i="1" s="1"/>
  <c r="D8" i="6" l="1"/>
  <c r="D11" i="6"/>
  <c r="C7" i="6"/>
  <c r="C8" i="6" s="1"/>
  <c r="L19" i="1"/>
  <c r="M18" i="1" s="1"/>
  <c r="L11" i="1"/>
  <c r="L15" i="1" s="1"/>
  <c r="C11" i="6" l="1"/>
  <c r="C12" i="6" s="1"/>
  <c r="C16" i="6" s="1"/>
  <c r="D12" i="6"/>
  <c r="D16" i="6" s="1"/>
  <c r="G25" i="1"/>
  <c r="G15" i="1"/>
  <c r="H13" i="6" l="1"/>
  <c r="H15" i="6" s="1"/>
  <c r="D17" i="6"/>
  <c r="D18" i="6" s="1"/>
  <c r="C17" i="6"/>
  <c r="C18" i="6" s="1"/>
  <c r="I5" i="6" s="1"/>
  <c r="J5" i="6" s="1"/>
  <c r="G27" i="1"/>
  <c r="X10" i="4"/>
  <c r="X27" i="4"/>
  <c r="AO7" i="4"/>
  <c r="AP7" i="4" s="1"/>
  <c r="AQ7" i="4" s="1"/>
  <c r="AR7" i="4" s="1"/>
  <c r="Y7" i="4"/>
  <c r="Z7" i="4" s="1"/>
  <c r="AA7" i="4" s="1"/>
  <c r="AB7" i="4" s="1"/>
  <c r="AN8" i="4"/>
  <c r="AO8" i="4" s="1"/>
  <c r="I10" i="4"/>
  <c r="N13" i="4" s="1"/>
  <c r="N6" i="4"/>
  <c r="J8" i="6" l="1"/>
  <c r="I8" i="6"/>
  <c r="D19" i="6"/>
  <c r="O5" i="6"/>
  <c r="O7" i="6" s="1"/>
  <c r="N5" i="6"/>
  <c r="N7" i="6" s="1"/>
  <c r="I12" i="6" s="1"/>
  <c r="C19" i="6"/>
  <c r="AP8" i="4"/>
  <c r="AQ8" i="4" l="1"/>
  <c r="J13" i="6" l="1"/>
  <c r="J15" i="6" s="1"/>
  <c r="I13" i="6"/>
  <c r="I15" i="6" s="1"/>
  <c r="AR8" i="4"/>
  <c r="AM12" i="4" l="1"/>
  <c r="AM13" i="4" l="1"/>
  <c r="AN9" i="4" l="1"/>
  <c r="AN10" i="4" l="1"/>
  <c r="AN17" i="4" s="1"/>
  <c r="AN21" i="4" l="1"/>
  <c r="AN15" i="4"/>
  <c r="AN22" i="4" s="1"/>
  <c r="AN12" i="4"/>
  <c r="AN13" i="4"/>
  <c r="AO9" i="4" s="1"/>
  <c r="AO10" i="4" l="1"/>
  <c r="AO17" i="4" s="1"/>
  <c r="AO20" i="4" s="1"/>
  <c r="AO13" i="4"/>
  <c r="AO12" i="4" l="1"/>
  <c r="AO15" i="4"/>
  <c r="AO22" i="4" s="1"/>
  <c r="AO21" i="4"/>
  <c r="AP9" i="4" l="1"/>
  <c r="AP10" i="4" l="1"/>
  <c r="AP17" i="4"/>
  <c r="AP20" i="4" s="1"/>
  <c r="AP12" i="4"/>
  <c r="AP13" i="4" l="1"/>
  <c r="AP21" i="4"/>
  <c r="AP15" i="4"/>
  <c r="AP22" i="4" s="1"/>
  <c r="AQ9" i="4" l="1"/>
  <c r="AQ10" i="4" l="1"/>
  <c r="AQ17" i="4"/>
  <c r="AQ20" i="4" s="1"/>
  <c r="AQ12" i="4"/>
  <c r="AQ13" i="4" l="1"/>
  <c r="AQ15" i="4"/>
  <c r="AQ22" i="4" s="1"/>
  <c r="AQ21" i="4"/>
  <c r="AR9" i="4" l="1"/>
  <c r="AR10" i="4" l="1"/>
  <c r="AR17" i="4" s="1"/>
  <c r="AR20" i="4" s="1"/>
  <c r="AR12" i="4"/>
  <c r="AR13" i="4" l="1"/>
  <c r="AR21" i="4"/>
  <c r="AR15" i="4"/>
  <c r="AR22" i="4" s="1"/>
  <c r="I19" i="4" l="1"/>
  <c r="J19" i="4"/>
  <c r="H19" i="4"/>
  <c r="H23" i="4"/>
  <c r="H12" i="4"/>
  <c r="N19" i="4"/>
  <c r="O15" i="4"/>
  <c r="D6" i="4"/>
  <c r="D7" i="4" s="1"/>
  <c r="X8" i="4"/>
  <c r="C6" i="4"/>
  <c r="C7" i="1"/>
  <c r="C11" i="1" s="1"/>
  <c r="C12" i="1" s="1"/>
  <c r="C8" i="1" l="1"/>
  <c r="H27" i="4"/>
  <c r="H5" i="4" s="1"/>
  <c r="D10" i="4"/>
  <c r="Y8" i="4"/>
  <c r="C10" i="4"/>
  <c r="C18" i="4" s="1"/>
  <c r="C19" i="4" s="1"/>
  <c r="C7" i="4"/>
  <c r="C16" i="1"/>
  <c r="C17" i="1" s="1"/>
  <c r="C18" i="1" l="1"/>
  <c r="Z8" i="4"/>
  <c r="AA8" i="4" s="1"/>
  <c r="AB8" i="4" s="1"/>
  <c r="W10" i="4"/>
  <c r="C20" i="4"/>
  <c r="M5" i="1" l="1"/>
  <c r="M7" i="1" s="1"/>
  <c r="M17" i="1" s="1"/>
  <c r="M19" i="1" s="1"/>
  <c r="H8" i="1"/>
  <c r="H24" i="1"/>
  <c r="H25" i="1" s="1"/>
  <c r="C19" i="1"/>
  <c r="H15" i="1"/>
  <c r="N4" i="4"/>
  <c r="I11" i="4"/>
  <c r="N14" i="4" s="1"/>
  <c r="W11" i="4"/>
  <c r="I22" i="4" s="1"/>
  <c r="N18" i="4" s="1"/>
  <c r="W5" i="4"/>
  <c r="H27" i="1" l="1"/>
  <c r="N10" i="4"/>
  <c r="I25" i="4"/>
  <c r="I23" i="4"/>
  <c r="J11" i="4"/>
  <c r="J12" i="4" s="1"/>
  <c r="I12" i="4"/>
  <c r="N15" i="4"/>
  <c r="X13" i="4"/>
  <c r="D16" i="4" s="1"/>
  <c r="N20" i="4"/>
  <c r="AA14" i="4"/>
  <c r="AA21" i="4" s="1"/>
  <c r="Z14" i="4"/>
  <c r="Z21" i="4" s="1"/>
  <c r="AB14" i="4"/>
  <c r="AB21" i="4" s="1"/>
  <c r="Y14" i="4"/>
  <c r="X14" i="4"/>
  <c r="X15" i="4" l="1"/>
  <c r="J22" i="4" s="1"/>
  <c r="O19" i="4" s="1"/>
  <c r="O20" i="4" s="1"/>
  <c r="AQ23" i="4"/>
  <c r="AP23" i="4"/>
  <c r="AR23" i="4"/>
  <c r="I27" i="4"/>
  <c r="I5" i="4" s="1"/>
  <c r="J23" i="4"/>
  <c r="AO23" i="4"/>
  <c r="AN20" i="4"/>
  <c r="AN23" i="4" s="1"/>
  <c r="N22" i="4"/>
  <c r="X17" i="4"/>
  <c r="X20" i="4" s="1"/>
  <c r="D14" i="4"/>
  <c r="O6" i="4" s="1"/>
  <c r="X11" i="4"/>
  <c r="Y13" i="4" s="1"/>
  <c r="X25" i="4"/>
  <c r="X21" i="4"/>
  <c r="Y10" i="4"/>
  <c r="Z10" i="4" s="1"/>
  <c r="AA10" i="4" s="1"/>
  <c r="AB10" i="4" s="1"/>
  <c r="Y21" i="4"/>
  <c r="X23" i="4" l="1"/>
  <c r="D18" i="4"/>
  <c r="Y15" i="4"/>
  <c r="Y17" i="4"/>
  <c r="D19" i="4" l="1"/>
  <c r="D20" i="4" s="1"/>
  <c r="Y20" i="4"/>
  <c r="Y23" i="4" s="1"/>
  <c r="Y11" i="4"/>
  <c r="Z13" i="4" s="1"/>
  <c r="Y25" i="4"/>
  <c r="O4" i="4" l="1"/>
  <c r="D22" i="4"/>
  <c r="Y27" i="4"/>
  <c r="Z15" i="4"/>
  <c r="Z17" i="4"/>
  <c r="O10" i="4" l="1"/>
  <c r="O22" i="4" s="1"/>
  <c r="J25" i="4"/>
  <c r="J27" i="4" s="1"/>
  <c r="J5" i="4" s="1"/>
  <c r="Z20" i="4"/>
  <c r="Z23" i="4" s="1"/>
  <c r="Z11" i="4"/>
  <c r="AA13" i="4" s="1"/>
  <c r="Z25" i="4"/>
  <c r="Z27" i="4" l="1"/>
  <c r="AA15" i="4"/>
  <c r="AA17" i="4"/>
  <c r="AA20" i="4" l="1"/>
  <c r="AA23" i="4" s="1"/>
  <c r="AA11" i="4"/>
  <c r="AB13" i="4" s="1"/>
  <c r="AA25" i="4"/>
  <c r="AA27" i="4" l="1"/>
  <c r="AB15" i="4"/>
  <c r="AB17" i="4"/>
  <c r="AB20" i="4" l="1"/>
  <c r="AB23" i="4" s="1"/>
  <c r="AB11" i="4"/>
  <c r="AB25" i="4"/>
  <c r="AB27" i="4" l="1"/>
  <c r="AS23" i="4" l="1"/>
  <c r="AS17" i="4"/>
  <c r="AC17" i="4" l="1"/>
  <c r="AC27" i="4" l="1"/>
  <c r="H7" i="4"/>
  <c r="H14" i="4" s="1"/>
  <c r="I7" i="4"/>
  <c r="I14" i="4" s="1"/>
  <c r="J7" i="4"/>
  <c r="J14" i="4" s="1"/>
  <c r="I18" i="21" l="1"/>
  <c r="J18" i="21" s="1"/>
  <c r="J19" i="21" s="1"/>
  <c r="I19" i="21"/>
  <c r="N19" i="21"/>
  <c r="N28" i="21" s="1"/>
  <c r="I23" i="21" s="1"/>
  <c r="J23" i="21" l="1"/>
  <c r="J24" i="21" s="1"/>
  <c r="J26" i="21" s="1"/>
  <c r="J28" i="21" s="1"/>
  <c r="I24" i="21"/>
  <c r="I26" i="21" s="1"/>
  <c r="I28" i="21" s="1"/>
  <c r="D20" i="23" l="1"/>
  <c r="D25" i="23" s="1"/>
  <c r="D28" i="23" l="1"/>
  <c r="D16" i="23"/>
  <c r="D17" i="23" l="1"/>
  <c r="J5" i="23" s="1"/>
  <c r="D29" i="23"/>
  <c r="D32" i="23" s="1"/>
  <c r="D34" i="23" s="1"/>
  <c r="D36" i="23" s="1"/>
  <c r="D38" i="23" s="1"/>
  <c r="J24" i="23" s="1"/>
  <c r="D30" i="23" l="1"/>
  <c r="J25" i="23"/>
  <c r="O8" i="23"/>
  <c r="J19" i="23"/>
  <c r="O5" i="23"/>
  <c r="O15" i="23" l="1"/>
  <c r="O32" i="23" s="1"/>
  <c r="J31" i="23" s="1"/>
  <c r="J32" i="23" s="1"/>
  <c r="J34" i="23" s="1"/>
  <c r="J36" i="2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<sst xmlns="http://schemas.openxmlformats.org/spreadsheetml/2006/main" count="1243" uniqueCount="312">
  <si>
    <t>INCOME STATEMENT</t>
  </si>
  <si>
    <t>Gross profit</t>
  </si>
  <si>
    <t>Operating expenses</t>
  </si>
  <si>
    <t>Interest expenses</t>
  </si>
  <si>
    <t>Other Income</t>
  </si>
  <si>
    <t>Taxes</t>
  </si>
  <si>
    <t>Net Income</t>
  </si>
  <si>
    <t>Operating Income</t>
  </si>
  <si>
    <t>Operating margin</t>
  </si>
  <si>
    <t>Earning before Taxes</t>
  </si>
  <si>
    <t>Gross margin</t>
  </si>
  <si>
    <t>Why this module?</t>
  </si>
  <si>
    <t>Financial problems</t>
  </si>
  <si>
    <t>Financial models</t>
  </si>
  <si>
    <t>Financial statements</t>
  </si>
  <si>
    <t>For non-finance background</t>
  </si>
  <si>
    <t>For seasoned professionals</t>
  </si>
  <si>
    <t>3-statement linkage</t>
  </si>
  <si>
    <t>Interview questions</t>
  </si>
  <si>
    <t>Interpretation</t>
  </si>
  <si>
    <t>Practical approach</t>
  </si>
  <si>
    <t>We need Cash</t>
  </si>
  <si>
    <t>Financial Statement Analysis</t>
  </si>
  <si>
    <t>Revenue</t>
  </si>
  <si>
    <t>Cost of Goods sold (COGS)</t>
  </si>
  <si>
    <t>ASSETS:</t>
  </si>
  <si>
    <t>Current Assets:</t>
  </si>
  <si>
    <t>Cash:</t>
  </si>
  <si>
    <t>Inventory:</t>
  </si>
  <si>
    <t>Total Current Assets:</t>
  </si>
  <si>
    <t>Long-Term Assets:</t>
  </si>
  <si>
    <t>Net Property, Plant &amp; Equipment (Net PP&amp;E):</t>
  </si>
  <si>
    <t>Total Long-Term Assets:</t>
  </si>
  <si>
    <t>Total Assets:</t>
  </si>
  <si>
    <t>LIABILITIES &amp; EQUITY:</t>
  </si>
  <si>
    <t>Current Liabilities:</t>
  </si>
  <si>
    <t>Accounts Payable:</t>
  </si>
  <si>
    <t>Total Current Liabilities:</t>
  </si>
  <si>
    <t>Long-Term Liabilities:</t>
  </si>
  <si>
    <t>Debt:</t>
  </si>
  <si>
    <t>Total Long-Term Liabilities:</t>
  </si>
  <si>
    <t>Total Equity:</t>
  </si>
  <si>
    <t>Total Liabilities &amp; Equity:</t>
  </si>
  <si>
    <t>CASH FLOW FROM OPERATIONS:</t>
  </si>
  <si>
    <t>Net Income:</t>
  </si>
  <si>
    <t>Non-Cash Adjustments:</t>
  </si>
  <si>
    <t>(+) Depreciation:</t>
  </si>
  <si>
    <t>Changes in Operating Assets &amp; Liabilities:</t>
  </si>
  <si>
    <t>Cash Flow from Operations:</t>
  </si>
  <si>
    <t>CASH FLOWS FROM INVESTING ACTIVITIES:</t>
  </si>
  <si>
    <t>(-) Capital Expenditures:</t>
  </si>
  <si>
    <t>Cash Flow from Investing:</t>
  </si>
  <si>
    <t>Net Change in Cash:</t>
  </si>
  <si>
    <t>Implicit Interest rate</t>
  </si>
  <si>
    <t>Tax rate</t>
  </si>
  <si>
    <t>Lease Term</t>
  </si>
  <si>
    <t>Annual Depreciation</t>
  </si>
  <si>
    <t>Lease payments</t>
  </si>
  <si>
    <t>Lease payment</t>
  </si>
  <si>
    <t>Lease Asset</t>
  </si>
  <si>
    <t>Lease Liability</t>
  </si>
  <si>
    <t>Interest Expense</t>
  </si>
  <si>
    <t>Depreciation</t>
  </si>
  <si>
    <t>Lease Principal Repayment</t>
  </si>
  <si>
    <t>Income Statement expense</t>
  </si>
  <si>
    <t>Net Income Change</t>
  </si>
  <si>
    <t>(+) Depreciation</t>
  </si>
  <si>
    <t>CFO impact</t>
  </si>
  <si>
    <t>Cash Flow Impact</t>
  </si>
  <si>
    <t>Lease Depreciation</t>
  </si>
  <si>
    <t>(-) Addition to Fin Lease Assets:</t>
  </si>
  <si>
    <t>CASH FLOWS FROM FINANCING ACTIVITIES:</t>
  </si>
  <si>
    <t>(+) Issue Finance Leases:</t>
  </si>
  <si>
    <t>(-) Repay Finance Leases:</t>
  </si>
  <si>
    <t>BALANCE SHEET</t>
  </si>
  <si>
    <t>CASH FLOW STATEMENT</t>
  </si>
  <si>
    <t>Fin Lease Assets</t>
  </si>
  <si>
    <t>Finance Lease</t>
  </si>
  <si>
    <t>Operating Lease</t>
  </si>
  <si>
    <t>(-) Interest</t>
  </si>
  <si>
    <t>(+) Change in Lease Asset</t>
  </si>
  <si>
    <t>(-) Change in Lease Liability</t>
  </si>
  <si>
    <t>Net Profit margin</t>
  </si>
  <si>
    <t>SOURCES OF FUNDS</t>
  </si>
  <si>
    <t>Shareholder Funds</t>
  </si>
  <si>
    <t>Share Capital</t>
  </si>
  <si>
    <t>Reserves &amp; Surplus</t>
  </si>
  <si>
    <t>Long Term Liabilities</t>
  </si>
  <si>
    <t>Loans</t>
  </si>
  <si>
    <t>Current Liabilities</t>
  </si>
  <si>
    <t>Trade Payables</t>
  </si>
  <si>
    <t>TOTAL</t>
  </si>
  <si>
    <t>APPLICATION OF FUNDS</t>
  </si>
  <si>
    <t>Long Term Assets</t>
  </si>
  <si>
    <t>Tangible Assets</t>
  </si>
  <si>
    <t>Current Assets</t>
  </si>
  <si>
    <t>Inventories</t>
  </si>
  <si>
    <t>INR in million</t>
  </si>
  <si>
    <t>Check</t>
  </si>
  <si>
    <t>Cash &amp; Bank Balance</t>
  </si>
  <si>
    <t>CASH FLOW FROM OPERATIONS</t>
  </si>
  <si>
    <t>CASH FLOW FROM INVESTING ACTIVITIES</t>
  </si>
  <si>
    <t>CASH FLOW FROM FINANCING ACTIVITIES</t>
  </si>
  <si>
    <t>Capital expenditure</t>
  </si>
  <si>
    <t>Opening Cash</t>
  </si>
  <si>
    <t>Closing Cash</t>
  </si>
  <si>
    <t>Proceeds from equity issuance</t>
  </si>
  <si>
    <t>Change in Accounts Receivable</t>
  </si>
  <si>
    <t>Accounts Receivable</t>
  </si>
  <si>
    <t>Debt</t>
  </si>
  <si>
    <t>Total Equity</t>
  </si>
  <si>
    <t>Credit Sales</t>
  </si>
  <si>
    <t>Credit Purchases</t>
  </si>
  <si>
    <t>Accounts Payable</t>
  </si>
  <si>
    <t>Accrued Expenses</t>
  </si>
  <si>
    <t>Change in Accounts Payable</t>
  </si>
  <si>
    <t>Change in Accrued Expenses</t>
  </si>
  <si>
    <t>Prepaid Expenses</t>
  </si>
  <si>
    <t>Change in Prepaid Expenses</t>
  </si>
  <si>
    <t>Deferred Revenue</t>
  </si>
  <si>
    <t>Change in Deferred Revenue</t>
  </si>
  <si>
    <t>Inventory</t>
  </si>
  <si>
    <t>Change in Inventory</t>
  </si>
  <si>
    <t>Calculation of COGS:</t>
  </si>
  <si>
    <t>Opening Inventory</t>
  </si>
  <si>
    <t>Less: Capital Expenditure</t>
  </si>
  <si>
    <t>Gross PP&amp;E</t>
  </si>
  <si>
    <t>Less: Accumulated Depreciation</t>
  </si>
  <si>
    <t>Net PP&amp;E</t>
  </si>
  <si>
    <t>Add: Depreciation:</t>
  </si>
  <si>
    <t>Total Current Assets</t>
  </si>
  <si>
    <t>Cash Flow from Financing:</t>
  </si>
  <si>
    <t>Add(Less): Debt issued(repaid)</t>
  </si>
  <si>
    <t>Capital Expenditure</t>
  </si>
  <si>
    <t>Beginning Balance</t>
  </si>
  <si>
    <t>Addition - Capex</t>
  </si>
  <si>
    <t>Reduction - Depreciation</t>
  </si>
  <si>
    <t>Ending Balance</t>
  </si>
  <si>
    <t xml:space="preserve">Capex Year </t>
  </si>
  <si>
    <t>Capex</t>
  </si>
  <si>
    <t>Total Depreciation</t>
  </si>
  <si>
    <t>Depreciation Rate (WDV)</t>
  </si>
  <si>
    <t>Useful Life</t>
  </si>
  <si>
    <t>Salvage Value</t>
  </si>
  <si>
    <t>CALCULATION OF DEPRECIATION</t>
  </si>
  <si>
    <t>DEPRECIATION</t>
  </si>
  <si>
    <t>Insurance</t>
  </si>
  <si>
    <t>Add: Purchases</t>
  </si>
  <si>
    <t>Less: Closing Inventory</t>
  </si>
  <si>
    <t>Cost of Goods Sold</t>
  </si>
  <si>
    <t>Written Down Value Method (WDV)</t>
  </si>
  <si>
    <t>Straight Line Method (SLM)</t>
  </si>
  <si>
    <t>Debt issue/repaid</t>
  </si>
  <si>
    <t>Cost - Salvage Value</t>
  </si>
  <si>
    <t>Equity issued/repurchased</t>
  </si>
  <si>
    <t>Dividend paid</t>
  </si>
  <si>
    <t>Add(Less): Equity issued/repurchased</t>
  </si>
  <si>
    <t>Less: Dividend paid</t>
  </si>
  <si>
    <t>Preferred stock issued</t>
  </si>
  <si>
    <t>Dividend @6%</t>
  </si>
  <si>
    <t>Preferred Stock</t>
  </si>
  <si>
    <t>Add: Pref stock issued</t>
  </si>
  <si>
    <t>Less: Preferred Dividend</t>
  </si>
  <si>
    <t>Income available to ESH</t>
  </si>
  <si>
    <t>Net Income available to ESH:</t>
  </si>
  <si>
    <t>Add: Equity issued</t>
  </si>
  <si>
    <t>Book Pre-Tax Income:</t>
  </si>
  <si>
    <t>(+) Book Depreciation:</t>
  </si>
  <si>
    <t>(-) Tax Depreciation:</t>
  </si>
  <si>
    <t>Tax Schedule:</t>
  </si>
  <si>
    <t>Deferred Tax Liability</t>
  </si>
  <si>
    <t>Add/Less: Deferred Income Tax</t>
  </si>
  <si>
    <t>Taxable Income</t>
  </si>
  <si>
    <t>Actual Tax @30%</t>
  </si>
  <si>
    <t>Taxes @30%</t>
  </si>
  <si>
    <t>(+/-) Change in Op. Lease Assets:</t>
  </si>
  <si>
    <t>(+/-) Change in Op. Lease Liabilities:</t>
  </si>
  <si>
    <t>Lease Rental</t>
  </si>
  <si>
    <t>Financial Investments</t>
  </si>
  <si>
    <t>Yield @6%</t>
  </si>
  <si>
    <t>Total</t>
  </si>
  <si>
    <t>(-) Buy Financial Investments:</t>
  </si>
  <si>
    <t>(+) Sell Financial Investments:</t>
  </si>
  <si>
    <t>(-) Additions to Finance Lease Assets:</t>
  </si>
  <si>
    <t>Deferred Tax</t>
  </si>
  <si>
    <t>Book Pre-Tax Income</t>
  </si>
  <si>
    <t>(+) Book Depreciation</t>
  </si>
  <si>
    <t>(-) Tax Depreciation</t>
  </si>
  <si>
    <t>Cash Taxable Income</t>
  </si>
  <si>
    <t>Beginning NOL Balance</t>
  </si>
  <si>
    <t>(+) NOLs Created</t>
  </si>
  <si>
    <t>(-) NOLs Used</t>
  </si>
  <si>
    <t>Ending NOL Balance</t>
  </si>
  <si>
    <t>NOL-Adjusted Taxable Income</t>
  </si>
  <si>
    <t>Cash Taxes Payable</t>
  </si>
  <si>
    <t>Deferred Tax Assets</t>
  </si>
  <si>
    <t>Tax @25%</t>
  </si>
  <si>
    <t>Increase/decrease in DTA</t>
  </si>
  <si>
    <t>DTA Balance</t>
  </si>
  <si>
    <t>Book Value of PP&amp;E disposal</t>
  </si>
  <si>
    <t>Gain/loss on sale of PP&amp;E</t>
  </si>
  <si>
    <t>(+) PP&amp;E sale proceeds</t>
  </si>
  <si>
    <t>(-) Capital Expenditures</t>
  </si>
  <si>
    <t>(-) Additions to Finance Lease Assets</t>
  </si>
  <si>
    <t>Less: Gain / (+) Loss on PP&amp;E Sale</t>
  </si>
  <si>
    <t>Add: Depreciation</t>
  </si>
  <si>
    <t>Gain / (-) Loss on PP&amp;E Sale</t>
  </si>
  <si>
    <t>Tax</t>
  </si>
  <si>
    <t>(+) PP&amp;E Write-Down:</t>
  </si>
  <si>
    <t>Cash Taxable Income:</t>
  </si>
  <si>
    <t>(+) PP&amp;E Sale Proceeds:</t>
  </si>
  <si>
    <t>Add/Less: Gain / Loss on PP&amp;E Sale</t>
  </si>
  <si>
    <t>Add: PP&amp;E Write-Down</t>
  </si>
  <si>
    <t>Gain / Loss on PP&amp;E Sale</t>
  </si>
  <si>
    <t>PP&amp;E Write-Down</t>
  </si>
  <si>
    <t>PP&amp;E Impairment</t>
  </si>
  <si>
    <t>Stock based Compensation</t>
  </si>
  <si>
    <t>(+) Stock based Compensation</t>
  </si>
  <si>
    <t>Add: Stock based Compensation</t>
  </si>
  <si>
    <t>Receivables</t>
  </si>
  <si>
    <t>Asset Turnover</t>
  </si>
  <si>
    <t>PROFITABILITY RATIOS</t>
  </si>
  <si>
    <t>Gross Profit Margin</t>
  </si>
  <si>
    <t>Operating Profit Margin</t>
  </si>
  <si>
    <t>Net Profit Margin</t>
  </si>
  <si>
    <t>Return on Equity</t>
  </si>
  <si>
    <t>Return on Capital Employed</t>
  </si>
  <si>
    <t>EFFICIENCY RATIOS</t>
  </si>
  <si>
    <t>Inventory Turnover</t>
  </si>
  <si>
    <t>Receivable Turnover</t>
  </si>
  <si>
    <t>Return on Assets</t>
  </si>
  <si>
    <t>SOLVENCY RATIOS</t>
  </si>
  <si>
    <t>Debt ratio</t>
  </si>
  <si>
    <t>Debt-equity ratio</t>
  </si>
  <si>
    <t>Interest Coverage</t>
  </si>
  <si>
    <t>LIQUIDITY RATIOS</t>
  </si>
  <si>
    <t>Current Ratio</t>
  </si>
  <si>
    <t>Quick ratio</t>
  </si>
  <si>
    <t>WORKING CAPITAL RATIOS</t>
  </si>
  <si>
    <t>Days Sales Outstanding (DSO)</t>
  </si>
  <si>
    <t>Days Inventory Outstanding (DIO)</t>
  </si>
  <si>
    <t>Days Payables Outstanding (DPO)</t>
  </si>
  <si>
    <t>Financial Leverage</t>
  </si>
  <si>
    <t>Total debt / Total assets</t>
  </si>
  <si>
    <t>Working Capital</t>
  </si>
  <si>
    <t xml:space="preserve"> Current Assets – Current Liabilities</t>
  </si>
  <si>
    <t>Current Assets/Current Liabilities</t>
  </si>
  <si>
    <t>Quick Assets/Current Liabilities</t>
  </si>
  <si>
    <t>Quick Assets=Cash + Short Term Marketable Securities + Receivables</t>
  </si>
  <si>
    <t>Net Credit Sales/Average Receivables</t>
  </si>
  <si>
    <t>COGS/Average Inventory</t>
  </si>
  <si>
    <t>Credit Purchases/Average Payables</t>
  </si>
  <si>
    <t>365/Receivable Turnover Ratio</t>
  </si>
  <si>
    <t>365/Inventory Turnover Ratio</t>
  </si>
  <si>
    <t>365/Payable Turnover Ratio</t>
  </si>
  <si>
    <t>Payable Turnover</t>
  </si>
  <si>
    <t>Days of Inventory + Days of Receivables - Days of Payables</t>
  </si>
  <si>
    <t>Net Operating Cycle</t>
  </si>
  <si>
    <t>ROE Dupont Analysis</t>
  </si>
  <si>
    <t>Net profit/ Total revenue</t>
  </si>
  <si>
    <t>Revenue/Average Assets</t>
  </si>
  <si>
    <t>Average Assets/ Average Equity</t>
  </si>
  <si>
    <t>Net Profit Margin * Asset Turnover Ratio * Financial Leverage</t>
  </si>
  <si>
    <t>Operating Income/Revenue</t>
  </si>
  <si>
    <t>Net Profit / Sales</t>
  </si>
  <si>
    <t>Gross Profit / Sales</t>
  </si>
  <si>
    <t>Net Profit / Total Assets</t>
  </si>
  <si>
    <t>Net Profit / Equity</t>
  </si>
  <si>
    <t>Net sales / Average net fixed assets</t>
  </si>
  <si>
    <t>Total Asset Turnover</t>
  </si>
  <si>
    <t>Fixed Asset Turnover</t>
  </si>
  <si>
    <t>Net sales / Average total assets</t>
  </si>
  <si>
    <t>EBIT or EBITDA / Interest Payable</t>
  </si>
  <si>
    <t>Total debt / Total Equity</t>
  </si>
  <si>
    <t>(in INR Millions)</t>
  </si>
  <si>
    <t>Particulars</t>
  </si>
  <si>
    <t>INCOME</t>
  </si>
  <si>
    <t>EXPENSES</t>
  </si>
  <si>
    <t>Raw Materials</t>
  </si>
  <si>
    <t>Purchases</t>
  </si>
  <si>
    <t>Changes in Stock in Trade</t>
  </si>
  <si>
    <t>Employee Cost</t>
  </si>
  <si>
    <t>Other Expenses</t>
  </si>
  <si>
    <t>EBITDA</t>
  </si>
  <si>
    <t>Depreciation &amp; Amortization</t>
  </si>
  <si>
    <t>EBIT</t>
  </si>
  <si>
    <t>Interest</t>
  </si>
  <si>
    <t>Profit Before Exceptional Items and Taxes</t>
  </si>
  <si>
    <t>Exceptional Items</t>
  </si>
  <si>
    <t>Profit Before Taxes</t>
  </si>
  <si>
    <t>Profit for the Year</t>
  </si>
  <si>
    <t>Revenue from operations</t>
  </si>
  <si>
    <t>Money Received against Warrants</t>
  </si>
  <si>
    <t>Long Term Provisions</t>
  </si>
  <si>
    <t>Deferred Tax Liabilities</t>
  </si>
  <si>
    <t>Tax Liabilities</t>
  </si>
  <si>
    <t>Short Term Borrowings</t>
  </si>
  <si>
    <t>Other Current Liabilities</t>
  </si>
  <si>
    <t>Short Term Provisions</t>
  </si>
  <si>
    <t>Intangible Assets</t>
  </si>
  <si>
    <t>Capital Work in Progress</t>
  </si>
  <si>
    <t>Non-Current Investments</t>
  </si>
  <si>
    <t>Other Financial Assets</t>
  </si>
  <si>
    <t>Long Term Loans and Advances</t>
  </si>
  <si>
    <t>Other Non Current Assets</t>
  </si>
  <si>
    <t>Cash &amp; Bank Balances</t>
  </si>
  <si>
    <t>Loans &amp; Advances</t>
  </si>
  <si>
    <t>Other Current Assets</t>
  </si>
  <si>
    <t>Investments</t>
  </si>
  <si>
    <t>HISTORICAL DATA</t>
  </si>
  <si>
    <t>EBIT/(Total Assets-Current Liability)</t>
  </si>
  <si>
    <t>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</si>
</sst>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₹&quot;\ #,##0;[Red]&quot;₹&quot;\ \-#,##0"/>
    <numFmt numFmtId="41" formatCode="_ * #,##0_ ;_ * \-#,##0_ ;_ * &quot;-&quot;_ ;_ @_ "/>
    <numFmt numFmtId="43" formatCode="_ * #,##0.00_ ;_ * \-#,##0.00_ ;_ * &quot;-&quot;??_ ;_ @_ "/>
    <numFmt numFmtId="164" formatCode="&quot;Year&quot;\ 0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&quot;OK!&quot;;&quot;ERROR&quot;"/>
    <numFmt numFmtId="168" formatCode="&quot;₹&quot;\ #,##0.0;[Red]&quot;₹&quot;\ \-#,##0.0"/>
    <numFmt numFmtId="169" formatCode="0.0%"/>
    <numFmt numFmtId="170" formatCode="_ * #,##0_ ;_ * \-#,##0_ ;_ * &quot;-&quot;??_ ;_ @_ "/>
    <numFmt numFmtId="171" formatCode="_ * #,##0.0000_ ;_ * \-#,##0.0000_ ;_ * &quot;-&quot;??_ ;_ @_ "/>
    <numFmt numFmtId="172" formatCode="_(* #,##0_);_(* \(#,##0\);_(* &quot;-&quot;_);_(@_)"/>
    <numFmt numFmtId="173" formatCode="#,##0.0_);[Red]\(#,##0.0\)"/>
    <numFmt numFmtId="174" formatCode="#,##0_ ;[Red]\-#,##0\ "/>
    <numFmt numFmtId="175" formatCode="#,##0.0"/>
    <numFmt numFmtId="176" formatCode="_ * #,##0.0_ ;_ * \-#,##0.0_ ;_ * &quot;-&quot;??_ ;_ @_ 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0"/>
      <name val="Cambria"/>
      <family val="1"/>
    </font>
    <font>
      <sz val="10"/>
      <name val="Arial"/>
      <family val="2"/>
    </font>
    <font>
      <sz val="10"/>
      <name val="Arial"/>
      <family val="2"/>
      <charset val="204"/>
    </font>
    <font>
      <b/>
      <sz val="12"/>
      <name val="Cambria"/>
      <family val="1"/>
    </font>
    <font>
      <b/>
      <sz val="12"/>
      <color theme="1"/>
      <name val="Cambria"/>
      <family val="1"/>
    </font>
    <font>
      <i/>
      <sz val="12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mbria"/>
      <family val="1"/>
    </font>
    <font>
      <b/>
      <sz val="12"/>
      <color rgb="FFFFFFFF"/>
      <name val="Cambria"/>
      <family val="1"/>
    </font>
    <font>
      <sz val="12"/>
      <color rgb="FFFFFFFF"/>
      <name val="Cambria"/>
      <family val="1"/>
    </font>
    <font>
      <sz val="12"/>
      <name val="Cambria"/>
      <family val="1"/>
    </font>
    <font>
      <sz val="12"/>
      <color rgb="FF0016E4"/>
      <name val="Cambria"/>
      <family val="1"/>
    </font>
    <font>
      <b/>
      <u/>
      <sz val="12"/>
      <name val="Cambria"/>
      <family val="1"/>
    </font>
    <font>
      <sz val="12"/>
      <color rgb="FF0070C0"/>
      <name val="Cambria"/>
      <family val="1"/>
    </font>
    <font>
      <b/>
      <i/>
      <sz val="12"/>
      <color theme="1"/>
      <name val="Cambria"/>
      <family val="1"/>
    </font>
    <font>
      <sz val="11"/>
      <color rgb="FFFA7D00"/>
      <name val="Calibri"/>
      <family val="2"/>
      <scheme val="minor"/>
    </font>
    <font>
      <sz val="11"/>
      <color theme="1"/>
      <name val="Cambria"/>
      <family val="1"/>
    </font>
    <font>
      <u/>
      <sz val="12"/>
      <color theme="1"/>
      <name val="Cambria"/>
      <family val="1"/>
    </font>
    <font>
      <b/>
      <sz val="12"/>
      <color rgb="FF0016E4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2" fillId="0" borderId="0"/>
    <xf numFmtId="0" fontId="4" fillId="0" borderId="0">
      <alignment vertical="top"/>
    </xf>
    <xf numFmtId="165" fontId="5" fillId="0" borderId="0">
      <alignment vertical="top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1" fillId="0" borderId="5" applyNumberFormat="0" applyFill="0" applyAlignment="0" applyProtection="0"/>
    <xf numFmtId="174" fontId="12" fillId="5" borderId="8"/>
    <xf numFmtId="43" fontId="12" fillId="0" borderId="0" applyFont="0" applyFill="0" applyBorder="0" applyAlignment="0" applyProtection="0"/>
  </cellStyleXfs>
  <cellXfs count="169">
    <xf numFmtId="0" fontId="0" fillId="0" borderId="0" xfId="0"/>
    <xf numFmtId="0" fontId="3" fillId="2" borderId="0" xfId="1" applyFont="1" applyFill="1" applyAlignment="1">
      <alignment horizontal="centerContinuous" vertical="top" wrapText="1"/>
    </xf>
    <xf numFmtId="0" fontId="6" fillId="2" borderId="0" xfId="1" applyFont="1" applyFill="1" applyAlignment="1">
      <alignment horizontal="centerContinuous" vertical="top" wrapText="1"/>
    </xf>
    <xf numFmtId="0" fontId="6" fillId="3" borderId="0" xfId="2" applyFont="1" applyFill="1" applyAlignment="1"/>
    <xf numFmtId="0" fontId="8" fillId="0" borderId="0" xfId="0" applyFont="1" applyAlignment="1">
      <alignment horizontal="center"/>
    </xf>
    <xf numFmtId="0" fontId="9" fillId="3" borderId="0" xfId="2" applyFont="1" applyFill="1" applyAlignment="1"/>
    <xf numFmtId="166" fontId="9" fillId="3" borderId="0" xfId="3" applyNumberFormat="1" applyFont="1" applyFill="1" applyAlignment="1"/>
    <xf numFmtId="0" fontId="7" fillId="3" borderId="1" xfId="2" applyFont="1" applyFill="1" applyBorder="1" applyAlignment="1"/>
    <xf numFmtId="166" fontId="7" fillId="3" borderId="1" xfId="3" applyNumberFormat="1" applyFont="1" applyFill="1" applyBorder="1" applyAlignment="1"/>
    <xf numFmtId="166" fontId="7" fillId="3" borderId="1" xfId="2" applyNumberFormat="1" applyFont="1" applyFill="1" applyBorder="1" applyAlignment="1"/>
    <xf numFmtId="0" fontId="6" fillId="3" borderId="2" xfId="2" applyFont="1" applyFill="1" applyBorder="1" applyAlignment="1"/>
    <xf numFmtId="166" fontId="6" fillId="3" borderId="2" xfId="2" applyNumberFormat="1" applyFont="1" applyFill="1" applyBorder="1" applyAlignment="1"/>
    <xf numFmtId="0" fontId="7" fillId="3" borderId="0" xfId="2" applyFont="1" applyFill="1" applyAlignment="1"/>
    <xf numFmtId="166" fontId="7" fillId="3" borderId="0" xfId="3" applyNumberFormat="1" applyFont="1" applyFill="1" applyAlignment="1"/>
    <xf numFmtId="9" fontId="7" fillId="3" borderId="0" xfId="3" applyNumberFormat="1" applyFont="1" applyFill="1" applyAlignment="1"/>
    <xf numFmtId="0" fontId="10" fillId="3" borderId="0" xfId="2" applyFont="1" applyFill="1" applyAlignment="1"/>
    <xf numFmtId="0" fontId="1" fillId="0" borderId="0" xfId="0" applyFont="1"/>
    <xf numFmtId="0" fontId="1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10" fillId="3" borderId="0" xfId="3" applyNumberFormat="1" applyFont="1" applyFill="1" applyAlignment="1"/>
    <xf numFmtId="169" fontId="10" fillId="3" borderId="0" xfId="3" applyNumberFormat="1" applyFont="1" applyFill="1" applyAlignment="1"/>
    <xf numFmtId="0" fontId="9" fillId="0" borderId="0" xfId="0" applyFont="1"/>
    <xf numFmtId="0" fontId="9" fillId="0" borderId="0" xfId="0" applyFont="1" applyAlignment="1">
      <alignment horizontal="center"/>
    </xf>
    <xf numFmtId="0" fontId="7" fillId="0" borderId="0" xfId="0" applyFont="1"/>
    <xf numFmtId="0" fontId="7" fillId="4" borderId="0" xfId="0" applyFont="1" applyFill="1"/>
    <xf numFmtId="0" fontId="13" fillId="0" borderId="0" xfId="0" applyFont="1"/>
    <xf numFmtId="0" fontId="14" fillId="2" borderId="3" xfId="0" applyFont="1" applyFill="1" applyBorder="1" applyAlignment="1">
      <alignment horizontal="centerContinuous"/>
    </xf>
    <xf numFmtId="0" fontId="15" fillId="2" borderId="3" xfId="0" applyFont="1" applyFill="1" applyBorder="1" applyAlignment="1">
      <alignment horizontal="centerContinuous"/>
    </xf>
    <xf numFmtId="9" fontId="7" fillId="4" borderId="0" xfId="0" applyNumberFormat="1" applyFont="1" applyFill="1"/>
    <xf numFmtId="0" fontId="6" fillId="4" borderId="0" xfId="1" applyFont="1" applyFill="1" applyAlignment="1">
      <alignment horizontal="center" vertical="top" wrapText="1"/>
    </xf>
    <xf numFmtId="164" fontId="7" fillId="4" borderId="0" xfId="0" applyNumberFormat="1" applyFont="1" applyFill="1"/>
    <xf numFmtId="0" fontId="9" fillId="4" borderId="0" xfId="0" applyFont="1" applyFill="1"/>
    <xf numFmtId="166" fontId="7" fillId="0" borderId="0" xfId="0" applyNumberFormat="1" applyFont="1"/>
    <xf numFmtId="166" fontId="6" fillId="0" borderId="0" xfId="0" applyNumberFormat="1" applyFont="1"/>
    <xf numFmtId="0" fontId="9" fillId="0" borderId="0" xfId="0" applyFont="1" applyAlignment="1">
      <alignment horizontal="left" indent="1"/>
    </xf>
    <xf numFmtId="166" fontId="16" fillId="0" borderId="0" xfId="0" applyNumberFormat="1" applyFont="1"/>
    <xf numFmtId="166" fontId="9" fillId="0" borderId="0" xfId="0" applyNumberFormat="1" applyFont="1"/>
    <xf numFmtId="168" fontId="7" fillId="4" borderId="0" xfId="0" applyNumberFormat="1" applyFont="1" applyFill="1"/>
    <xf numFmtId="168" fontId="9" fillId="0" borderId="0" xfId="0" applyNumberFormat="1" applyFont="1"/>
    <xf numFmtId="166" fontId="17" fillId="0" borderId="0" xfId="0" applyNumberFormat="1" applyFont="1"/>
    <xf numFmtId="0" fontId="7" fillId="0" borderId="1" xfId="0" applyFont="1" applyBorder="1"/>
    <xf numFmtId="166" fontId="7" fillId="0" borderId="1" xfId="0" applyNumberFormat="1" applyFont="1" applyBorder="1"/>
    <xf numFmtId="166" fontId="9" fillId="0" borderId="0" xfId="0" applyNumberFormat="1" applyFont="1" applyAlignment="1">
      <alignment horizontal="center"/>
    </xf>
    <xf numFmtId="0" fontId="9" fillId="0" borderId="3" xfId="0" applyFont="1" applyBorder="1"/>
    <xf numFmtId="166" fontId="9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6" fontId="6" fillId="0" borderId="1" xfId="0" applyNumberFormat="1" applyFont="1" applyBorder="1"/>
    <xf numFmtId="166" fontId="7" fillId="4" borderId="0" xfId="0" applyNumberFormat="1" applyFont="1" applyFill="1"/>
    <xf numFmtId="0" fontId="7" fillId="4" borderId="3" xfId="0" applyFont="1" applyFill="1" applyBorder="1"/>
    <xf numFmtId="166" fontId="7" fillId="4" borderId="3" xfId="0" applyNumberFormat="1" applyFont="1" applyFill="1" applyBorder="1"/>
    <xf numFmtId="6" fontId="7" fillId="4" borderId="0" xfId="0" applyNumberFormat="1" applyFont="1" applyFill="1"/>
    <xf numFmtId="166" fontId="7" fillId="0" borderId="0" xfId="0" applyNumberFormat="1" applyFont="1" applyAlignment="1">
      <alignment horizontal="center"/>
    </xf>
    <xf numFmtId="0" fontId="9" fillId="4" borderId="3" xfId="0" applyFont="1" applyFill="1" applyBorder="1"/>
    <xf numFmtId="166" fontId="9" fillId="4" borderId="3" xfId="0" applyNumberFormat="1" applyFont="1" applyFill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7" fontId="7" fillId="0" borderId="0" xfId="0" applyNumberFormat="1" applyFont="1" applyAlignment="1">
      <alignment horizontal="center"/>
    </xf>
    <xf numFmtId="0" fontId="6" fillId="0" borderId="0" xfId="0" applyFont="1"/>
    <xf numFmtId="0" fontId="16" fillId="0" borderId="0" xfId="0" applyFont="1"/>
    <xf numFmtId="0" fontId="18" fillId="0" borderId="0" xfId="0" applyFont="1"/>
    <xf numFmtId="170" fontId="16" fillId="0" borderId="0" xfId="4" applyNumberFormat="1" applyFont="1" applyFill="1"/>
    <xf numFmtId="170" fontId="19" fillId="0" borderId="0" xfId="4" applyNumberFormat="1" applyFont="1" applyFill="1" applyBorder="1"/>
    <xf numFmtId="170" fontId="19" fillId="0" borderId="0" xfId="4" applyNumberFormat="1" applyFont="1" applyFill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70" fontId="6" fillId="0" borderId="4" xfId="4" applyNumberFormat="1" applyFont="1" applyFill="1" applyBorder="1"/>
    <xf numFmtId="10" fontId="16" fillId="0" borderId="0" xfId="5" applyNumberFormat="1" applyFont="1" applyFill="1"/>
    <xf numFmtId="0" fontId="16" fillId="0" borderId="0" xfId="0" applyFont="1" applyAlignment="1">
      <alignment horizontal="left"/>
    </xf>
    <xf numFmtId="164" fontId="7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71" fontId="9" fillId="0" borderId="0" xfId="0" applyNumberFormat="1" applyFont="1" applyAlignment="1">
      <alignment horizontal="center"/>
    </xf>
    <xf numFmtId="166" fontId="9" fillId="0" borderId="3" xfId="0" applyNumberFormat="1" applyFont="1" applyBorder="1"/>
    <xf numFmtId="164" fontId="7" fillId="4" borderId="3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170" fontId="6" fillId="0" borderId="0" xfId="4" applyNumberFormat="1" applyFont="1" applyFill="1" applyBorder="1"/>
    <xf numFmtId="170" fontId="6" fillId="0" borderId="0" xfId="4" applyNumberFormat="1" applyFont="1" applyFill="1"/>
    <xf numFmtId="166" fontId="16" fillId="0" borderId="3" xfId="0" applyNumberFormat="1" applyFont="1" applyBorder="1"/>
    <xf numFmtId="0" fontId="7" fillId="0" borderId="6" xfId="0" applyFont="1" applyBorder="1" applyAlignment="1">
      <alignment horizontal="center"/>
    </xf>
    <xf numFmtId="166" fontId="7" fillId="0" borderId="6" xfId="0" applyNumberFormat="1" applyFont="1" applyBorder="1"/>
    <xf numFmtId="172" fontId="16" fillId="0" borderId="0" xfId="0" applyNumberFormat="1" applyFont="1"/>
    <xf numFmtId="172" fontId="17" fillId="0" borderId="0" xfId="0" applyNumberFormat="1" applyFont="1"/>
    <xf numFmtId="172" fontId="6" fillId="0" borderId="1" xfId="0" applyNumberFormat="1" applyFont="1" applyBorder="1"/>
    <xf numFmtId="166" fontId="9" fillId="4" borderId="0" xfId="3" applyNumberFormat="1" applyFont="1" applyFill="1" applyAlignment="1"/>
    <xf numFmtId="0" fontId="6" fillId="0" borderId="7" xfId="0" applyFont="1" applyBorder="1"/>
    <xf numFmtId="170" fontId="16" fillId="0" borderId="0" xfId="4" applyNumberFormat="1" applyFont="1" applyFill="1" applyBorder="1"/>
    <xf numFmtId="166" fontId="16" fillId="0" borderId="0" xfId="4" applyNumberFormat="1" applyFont="1" applyFill="1" applyBorder="1"/>
    <xf numFmtId="166" fontId="6" fillId="0" borderId="7" xfId="4" applyNumberFormat="1" applyFont="1" applyFill="1" applyBorder="1"/>
    <xf numFmtId="172" fontId="6" fillId="0" borderId="0" xfId="0" applyNumberFormat="1" applyFont="1"/>
    <xf numFmtId="0" fontId="22" fillId="0" borderId="0" xfId="0" applyFont="1"/>
    <xf numFmtId="41" fontId="16" fillId="0" borderId="0" xfId="0" applyNumberFormat="1" applyFont="1"/>
    <xf numFmtId="41" fontId="6" fillId="0" borderId="1" xfId="0" applyNumberFormat="1" applyFont="1" applyBorder="1"/>
    <xf numFmtId="41" fontId="7" fillId="0" borderId="1" xfId="0" applyNumberFormat="1" applyFont="1" applyBorder="1"/>
    <xf numFmtId="166" fontId="9" fillId="0" borderId="0" xfId="3" applyNumberFormat="1" applyFont="1" applyAlignment="1"/>
    <xf numFmtId="0" fontId="3" fillId="2" borderId="0" xfId="1" applyFont="1" applyFill="1" applyAlignment="1">
      <alignment horizontal="left" vertical="top"/>
    </xf>
    <xf numFmtId="0" fontId="9" fillId="2" borderId="0" xfId="0" applyFont="1" applyFill="1" applyAlignment="1">
      <alignment horizontal="centerContinuous"/>
    </xf>
    <xf numFmtId="173" fontId="9" fillId="0" borderId="0" xfId="0" applyNumberFormat="1" applyFont="1" applyAlignment="1">
      <alignment horizontal="center"/>
    </xf>
    <xf numFmtId="0" fontId="20" fillId="0" borderId="0" xfId="0" applyFont="1"/>
    <xf numFmtId="175" fontId="9" fillId="0" borderId="0" xfId="0" applyNumberFormat="1" applyFont="1"/>
    <xf numFmtId="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3" fillId="0" borderId="0" xfId="0" applyFont="1"/>
    <xf numFmtId="0" fontId="9" fillId="2" borderId="0" xfId="0" applyFont="1" applyFill="1" applyAlignment="1">
      <alignment horizontal="center"/>
    </xf>
    <xf numFmtId="166" fontId="6" fillId="0" borderId="6" xfId="6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166" fontId="9" fillId="4" borderId="0" xfId="0" applyNumberFormat="1" applyFont="1" applyFill="1"/>
    <xf numFmtId="170" fontId="19" fillId="4" borderId="0" xfId="4" applyNumberFormat="1" applyFont="1" applyFill="1" applyBorder="1"/>
    <xf numFmtId="166" fontId="16" fillId="4" borderId="3" xfId="0" applyNumberFormat="1" applyFont="1" applyFill="1" applyBorder="1"/>
    <xf numFmtId="170" fontId="19" fillId="4" borderId="0" xfId="4" applyNumberFormat="1" applyFont="1" applyFill="1"/>
    <xf numFmtId="0" fontId="16" fillId="4" borderId="0" xfId="0" applyFont="1" applyFill="1" applyAlignment="1">
      <alignment horizontal="left"/>
    </xf>
    <xf numFmtId="166" fontId="16" fillId="4" borderId="0" xfId="4" applyNumberFormat="1" applyFont="1" applyFill="1" applyBorder="1"/>
    <xf numFmtId="166" fontId="6" fillId="4" borderId="0" xfId="0" applyNumberFormat="1" applyFont="1" applyFill="1"/>
    <xf numFmtId="172" fontId="16" fillId="4" borderId="0" xfId="0" applyNumberFormat="1" applyFont="1" applyFill="1"/>
    <xf numFmtId="41" fontId="16" fillId="4" borderId="0" xfId="0" applyNumberFormat="1" applyFont="1" applyFill="1"/>
    <xf numFmtId="166" fontId="16" fillId="4" borderId="0" xfId="0" applyNumberFormat="1" applyFont="1" applyFill="1"/>
    <xf numFmtId="170" fontId="16" fillId="4" borderId="0" xfId="4" applyNumberFormat="1" applyFont="1" applyFill="1" applyBorder="1"/>
    <xf numFmtId="170" fontId="16" fillId="4" borderId="0" xfId="4" applyNumberFormat="1" applyFont="1" applyFill="1"/>
    <xf numFmtId="0" fontId="7" fillId="0" borderId="7" xfId="0" applyFont="1" applyBorder="1"/>
    <xf numFmtId="166" fontId="7" fillId="0" borderId="7" xfId="0" applyNumberFormat="1" applyFont="1" applyBorder="1"/>
    <xf numFmtId="0" fontId="9" fillId="3" borderId="3" xfId="2" applyFont="1" applyFill="1" applyBorder="1" applyAlignment="1"/>
    <xf numFmtId="166" fontId="9" fillId="0" borderId="3" xfId="3" applyNumberFormat="1" applyFont="1" applyBorder="1" applyAlignment="1"/>
    <xf numFmtId="166" fontId="7" fillId="0" borderId="0" xfId="3" applyNumberFormat="1" applyFont="1" applyAlignment="1"/>
    <xf numFmtId="170" fontId="6" fillId="4" borderId="0" xfId="4" applyNumberFormat="1" applyFont="1" applyFill="1" applyBorder="1"/>
    <xf numFmtId="166" fontId="17" fillId="4" borderId="0" xfId="0" applyNumberFormat="1" applyFont="1" applyFill="1"/>
    <xf numFmtId="0" fontId="9" fillId="0" borderId="3" xfId="0" applyFont="1" applyBorder="1" applyAlignment="1">
      <alignment horizontal="left" indent="1"/>
    </xf>
    <xf numFmtId="0" fontId="6" fillId="4" borderId="3" xfId="0" applyFont="1" applyFill="1" applyBorder="1" applyAlignment="1">
      <alignment horizontal="left"/>
    </xf>
    <xf numFmtId="166" fontId="24" fillId="0" borderId="0" xfId="0" applyNumberFormat="1" applyFont="1"/>
    <xf numFmtId="166" fontId="6" fillId="4" borderId="0" xfId="4" applyNumberFormat="1" applyFont="1" applyFill="1" applyBorder="1"/>
    <xf numFmtId="166" fontId="7" fillId="4" borderId="0" xfId="3" applyNumberFormat="1" applyFont="1" applyFill="1" applyAlignment="1"/>
    <xf numFmtId="17" fontId="9" fillId="0" borderId="0" xfId="0" applyNumberFormat="1" applyFont="1" applyAlignment="1">
      <alignment horizontal="center"/>
    </xf>
    <xf numFmtId="166" fontId="6" fillId="0" borderId="7" xfId="0" applyNumberFormat="1" applyFont="1" applyBorder="1"/>
    <xf numFmtId="0" fontId="9" fillId="0" borderId="0" xfId="0" applyFont="1" applyAlignment="1">
      <alignment horizontal="left"/>
    </xf>
    <xf numFmtId="10" fontId="9" fillId="0" borderId="0" xfId="0" applyNumberFormat="1" applyFont="1"/>
    <xf numFmtId="0" fontId="9" fillId="4" borderId="0" xfId="0" applyFont="1" applyFill="1" applyAlignment="1">
      <alignment horizontal="center"/>
    </xf>
    <xf numFmtId="9" fontId="9" fillId="0" borderId="0" xfId="3" applyNumberFormat="1" applyFont="1" applyAlignment="1"/>
    <xf numFmtId="0" fontId="6" fillId="0" borderId="0" xfId="0" applyFont="1" applyAlignment="1">
      <alignment vertical="center"/>
    </xf>
    <xf numFmtId="0" fontId="16" fillId="0" borderId="0" xfId="0" applyFont="1" applyAlignment="1">
      <alignment horizontal="right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6" fillId="0" borderId="10" xfId="0" applyFont="1" applyBorder="1"/>
    <xf numFmtId="170" fontId="16" fillId="0" borderId="0" xfId="0" applyNumberFormat="1" applyFont="1"/>
    <xf numFmtId="0" fontId="16" fillId="0" borderId="10" xfId="0" applyFont="1" applyBorder="1"/>
    <xf numFmtId="3" fontId="19" fillId="0" borderId="0" xfId="4" applyNumberFormat="1" applyFont="1" applyFill="1" applyAlignment="1">
      <alignment horizontal="center"/>
    </xf>
    <xf numFmtId="3" fontId="6" fillId="0" borderId="4" xfId="4" applyNumberFormat="1" applyFont="1" applyFill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0" xfId="4" applyNumberFormat="1" applyFont="1" applyFill="1" applyAlignment="1">
      <alignment horizontal="center"/>
    </xf>
    <xf numFmtId="3" fontId="6" fillId="0" borderId="0" xfId="4" applyNumberFormat="1" applyFont="1" applyFill="1" applyBorder="1" applyAlignment="1">
      <alignment horizontal="center"/>
    </xf>
    <xf numFmtId="3" fontId="19" fillId="0" borderId="0" xfId="4" applyNumberFormat="1" applyFont="1" applyFill="1" applyBorder="1" applyAlignment="1">
      <alignment horizontal="center"/>
    </xf>
    <xf numFmtId="176" fontId="16" fillId="0" borderId="0" xfId="4" applyNumberFormat="1" applyFont="1" applyFill="1" applyBorder="1" applyAlignment="1">
      <alignment horizontal="center"/>
    </xf>
    <xf numFmtId="170" fontId="19" fillId="0" borderId="0" xfId="4" applyNumberFormat="1" applyFont="1"/>
    <xf numFmtId="170" fontId="19" fillId="0" borderId="0" xfId="4" applyNumberFormat="1" applyFont="1" applyBorder="1"/>
    <xf numFmtId="170" fontId="6" fillId="0" borderId="4" xfId="4" applyNumberFormat="1" applyFont="1" applyBorder="1"/>
    <xf numFmtId="0" fontId="9" fillId="0" borderId="11" xfId="0" applyFont="1" applyBorder="1"/>
    <xf numFmtId="3" fontId="9" fillId="0" borderId="0" xfId="0" applyNumberFormat="1" applyFont="1"/>
    <xf numFmtId="9" fontId="16" fillId="0" borderId="0" xfId="8" applyNumberFormat="1" applyFont="1" applyFill="1" applyBorder="1"/>
    <xf numFmtId="0" fontId="9" fillId="4" borderId="0" xfId="0" applyFont="1" applyFill="1" applyAlignment="1">
      <alignment horizontal="left"/>
    </xf>
    <xf numFmtId="170" fontId="6" fillId="0" borderId="0" xfId="4" applyNumberFormat="1" applyFont="1"/>
    <xf numFmtId="0" fontId="3" fillId="6" borderId="0" xfId="0" applyFont="1" applyFill="1"/>
    <xf numFmtId="9" fontId="9" fillId="0" borderId="0" xfId="0" applyNumberFormat="1" applyFont="1"/>
    <xf numFmtId="43" fontId="9" fillId="0" borderId="0" xfId="0" applyNumberFormat="1" applyFont="1"/>
    <xf numFmtId="43" fontId="9" fillId="0" borderId="0" xfId="0" applyNumberFormat="1" applyFont="1" applyAlignment="1">
      <alignment horizontal="center"/>
    </xf>
    <xf numFmtId="43" fontId="9" fillId="0" borderId="0" xfId="0" applyNumberFormat="1" applyFont="1" applyAlignment="1">
      <alignment horizontal="left"/>
    </xf>
    <xf numFmtId="4" fontId="9" fillId="0" borderId="0" xfId="0" applyNumberFormat="1" applyFont="1"/>
    <xf numFmtId="170" fontId="9" fillId="0" borderId="0" xfId="0" applyNumberFormat="1" applyFont="1"/>
    <xf numFmtId="176" fontId="9" fillId="0" borderId="0" xfId="0" applyNumberFormat="1" applyFont="1"/>
  </cellXfs>
  <cellStyles count="9">
    <cellStyle name="Calc - NUmber" xfId="7" xr:uid="{96BE1862-BF3A-491A-AFA1-4AFCCDD4F6EB}"/>
    <cellStyle name="Comma" xfId="4" builtinId="3"/>
    <cellStyle name="Comma 2" xfId="8" xr:uid="{71041A72-686F-4318-9EC1-4479190987E1}"/>
    <cellStyle name="Comma 6" xfId="3" xr:uid="{B66FEF44-350B-4C61-B856-F873647A1F2B}"/>
    <cellStyle name="Linked Cell" xfId="6" builtinId="24"/>
    <cellStyle name="Normal" xfId="0" builtinId="0"/>
    <cellStyle name="Normal 5" xfId="2" xr:uid="{901E3AE9-4519-40E3-8F07-6DFF6ED20AB9}"/>
    <cellStyle name="Normal 7 2" xfId="1" xr:uid="{B11B35E3-A4D3-4A35-B239-3B5F801F19C5}"/>
    <cellStyle name="Percent" xfId="5" builtinId="5"/>
  </cellStyles>
  <dxfs count="4"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7A46-21EF-454B-85F1-60016B6C1465}">
  <dimension ref="B2:I10"/>
  <sheetViews>
    <sheetView showGridLines="0" tabSelected="1" zoomScale="205" zoomScaleNormal="205" workbookViewId="0"/>
  </sheetViews>
  <sheetFormatPr defaultRowHeight="14.3" x14ac:dyDescent="0.25"/>
  <sheetData>
    <row r="2" spans="2:9" ht="46.2" x14ac:dyDescent="0.75">
      <c r="B2" s="17" t="s">
        <v>22</v>
      </c>
    </row>
    <row r="4" spans="2:9" x14ac:dyDescent="0.25">
      <c r="B4" s="16" t="s">
        <v>11</v>
      </c>
    </row>
    <row r="6" spans="2:9" x14ac:dyDescent="0.25">
      <c r="B6" t="s">
        <v>12</v>
      </c>
      <c r="E6" t="s">
        <v>15</v>
      </c>
      <c r="I6" t="s">
        <v>20</v>
      </c>
    </row>
    <row r="7" spans="2:9" x14ac:dyDescent="0.25">
      <c r="B7" s="18" t="s">
        <v>13</v>
      </c>
      <c r="E7" t="s">
        <v>16</v>
      </c>
      <c r="I7" t="s">
        <v>17</v>
      </c>
    </row>
    <row r="8" spans="2:9" x14ac:dyDescent="0.25">
      <c r="B8" s="19" t="s">
        <v>14</v>
      </c>
      <c r="I8" t="s">
        <v>18</v>
      </c>
    </row>
    <row r="9" spans="2:9" x14ac:dyDescent="0.25">
      <c r="I9" t="s">
        <v>19</v>
      </c>
    </row>
    <row r="10" spans="2:9" x14ac:dyDescent="0.25">
      <c r="I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0F8-34CC-43A1-8B45-3FB48E862BE0}">
  <dimension ref="B1:M28"/>
  <sheetViews>
    <sheetView showGridLines="0" zoomScale="130" zoomScaleNormal="130" workbookViewId="0">
      <selection activeCell="H24" sqref="H24"/>
    </sheetView>
  </sheetViews>
  <sheetFormatPr defaultRowHeight="15.65" x14ac:dyDescent="0.25"/>
  <cols>
    <col min="1" max="1" width="1.5" style="22" customWidth="1"/>
    <col min="2" max="2" width="27.375" style="22" customWidth="1"/>
    <col min="3" max="3" width="9.25" style="22" bestFit="1" customWidth="1"/>
    <col min="4" max="4" width="10.875" style="23" customWidth="1"/>
    <col min="5" max="5" width="3.25" style="23" customWidth="1"/>
    <col min="6" max="6" width="26" style="23" customWidth="1"/>
    <col min="7" max="7" width="9.125" style="23" customWidth="1"/>
    <col min="8" max="8" width="9.125" style="22" customWidth="1"/>
    <col min="9" max="9" width="10.375" style="22" customWidth="1"/>
    <col min="10" max="10" width="2.375" style="22" customWidth="1"/>
    <col min="11" max="11" width="30.75" style="22" customWidth="1"/>
    <col min="12" max="13" width="11" style="22" customWidth="1"/>
    <col min="14" max="16384" width="9" style="22"/>
  </cols>
  <sheetData>
    <row r="1" spans="2:13" x14ac:dyDescent="0.25">
      <c r="H1" s="70" t="s">
        <v>97</v>
      </c>
      <c r="M1" s="70" t="s">
        <v>97</v>
      </c>
    </row>
    <row r="2" spans="2:13" x14ac:dyDescent="0.25">
      <c r="B2" s="1" t="s">
        <v>0</v>
      </c>
      <c r="C2" s="2"/>
      <c r="E2" s="27" t="s">
        <v>74</v>
      </c>
      <c r="F2" s="28"/>
      <c r="G2" s="28"/>
      <c r="H2" s="28"/>
      <c r="J2" s="27" t="s">
        <v>75</v>
      </c>
      <c r="K2" s="28"/>
      <c r="L2" s="28"/>
      <c r="M2" s="28"/>
    </row>
    <row r="3" spans="2:13" x14ac:dyDescent="0.25">
      <c r="B3" s="30" t="s">
        <v>97</v>
      </c>
      <c r="C3" s="69">
        <v>1</v>
      </c>
      <c r="E3" s="25"/>
      <c r="F3" s="30"/>
      <c r="G3" s="31">
        <v>0</v>
      </c>
      <c r="H3" s="31">
        <v>1</v>
      </c>
      <c r="J3" s="49"/>
      <c r="K3" s="49"/>
      <c r="L3" s="75">
        <f t="shared" ref="L3:M3" si="0">G3</f>
        <v>0</v>
      </c>
      <c r="M3" s="75">
        <f t="shared" si="0"/>
        <v>1</v>
      </c>
    </row>
    <row r="4" spans="2:13" x14ac:dyDescent="0.25">
      <c r="B4" s="3"/>
      <c r="C4" s="4"/>
      <c r="E4" s="60" t="s">
        <v>83</v>
      </c>
      <c r="G4" s="59"/>
      <c r="H4" s="59"/>
      <c r="J4" s="76" t="s">
        <v>100</v>
      </c>
      <c r="K4" s="76"/>
      <c r="L4" s="77"/>
      <c r="M4" s="77"/>
    </row>
    <row r="5" spans="2:13" x14ac:dyDescent="0.25">
      <c r="B5" s="5" t="s">
        <v>23</v>
      </c>
      <c r="C5" s="6">
        <f>1000</f>
        <v>1000</v>
      </c>
      <c r="E5" s="59"/>
      <c r="F5" s="59"/>
      <c r="G5" s="59"/>
      <c r="H5" s="59"/>
      <c r="K5" s="24" t="s">
        <v>44</v>
      </c>
      <c r="L5" s="33">
        <f>+B24</f>
        <v>0</v>
      </c>
      <c r="M5" s="34">
        <f>C18</f>
        <v>105.13999999999999</v>
      </c>
    </row>
    <row r="6" spans="2:13" x14ac:dyDescent="0.25">
      <c r="B6" s="5" t="s">
        <v>24</v>
      </c>
      <c r="C6" s="6">
        <f>-C5*70%</f>
        <v>-700</v>
      </c>
      <c r="E6" s="58" t="s">
        <v>84</v>
      </c>
      <c r="F6" s="59"/>
      <c r="G6" s="59"/>
      <c r="H6" s="61"/>
      <c r="K6" s="35"/>
      <c r="L6" s="37"/>
      <c r="M6" s="74"/>
    </row>
    <row r="7" spans="2:13" x14ac:dyDescent="0.25">
      <c r="B7" s="7" t="s">
        <v>1</v>
      </c>
      <c r="C7" s="8">
        <f>SUM(C5:C6)</f>
        <v>300</v>
      </c>
      <c r="E7" s="59"/>
      <c r="F7" s="59" t="s">
        <v>85</v>
      </c>
      <c r="G7" s="62">
        <v>2000</v>
      </c>
      <c r="H7" s="62">
        <f>G7</f>
        <v>2000</v>
      </c>
      <c r="K7" s="46" t="s">
        <v>48</v>
      </c>
      <c r="L7" s="47">
        <f>SUM(L5:L6)</f>
        <v>0</v>
      </c>
      <c r="M7" s="34">
        <f>SUM(M5:M6)</f>
        <v>105.13999999999999</v>
      </c>
    </row>
    <row r="8" spans="2:13" x14ac:dyDescent="0.25">
      <c r="B8" s="15" t="s">
        <v>10</v>
      </c>
      <c r="C8" s="20">
        <f>C7/C5</f>
        <v>0.3</v>
      </c>
      <c r="E8" s="59"/>
      <c r="F8" s="59" t="s">
        <v>86</v>
      </c>
      <c r="G8" s="62">
        <v>0</v>
      </c>
      <c r="H8" s="62">
        <f>C18</f>
        <v>105.13999999999999</v>
      </c>
      <c r="K8" s="35"/>
      <c r="L8" s="36"/>
      <c r="M8" s="36"/>
    </row>
    <row r="9" spans="2:13" x14ac:dyDescent="0.25">
      <c r="B9" s="12"/>
      <c r="C9" s="14"/>
      <c r="E9" s="59"/>
      <c r="F9" s="59"/>
      <c r="G9" s="62"/>
      <c r="H9" s="62"/>
      <c r="J9" s="76" t="s">
        <v>101</v>
      </c>
      <c r="K9" s="76"/>
      <c r="L9" s="77"/>
      <c r="M9" s="77"/>
    </row>
    <row r="10" spans="2:13" x14ac:dyDescent="0.25">
      <c r="B10" s="5" t="s">
        <v>2</v>
      </c>
      <c r="C10" s="6">
        <v>-100</v>
      </c>
      <c r="E10" s="58" t="s">
        <v>87</v>
      </c>
      <c r="F10" s="59"/>
      <c r="G10" s="62"/>
      <c r="H10" s="62"/>
      <c r="J10" s="60"/>
      <c r="K10" s="22" t="s">
        <v>103</v>
      </c>
      <c r="L10" s="37">
        <v>0</v>
      </c>
      <c r="M10" s="74">
        <f>G20-H20</f>
        <v>-1200</v>
      </c>
    </row>
    <row r="11" spans="2:13" x14ac:dyDescent="0.25">
      <c r="B11" s="7" t="s">
        <v>7</v>
      </c>
      <c r="C11" s="8">
        <f>C7+C10</f>
        <v>200</v>
      </c>
      <c r="E11" s="59"/>
      <c r="F11" s="59" t="s">
        <v>88</v>
      </c>
      <c r="G11" s="62">
        <v>0</v>
      </c>
      <c r="H11" s="62">
        <v>0</v>
      </c>
      <c r="J11" s="60"/>
      <c r="K11" s="46" t="s">
        <v>51</v>
      </c>
      <c r="L11" s="47">
        <f>SUM(L6:L10)</f>
        <v>0</v>
      </c>
      <c r="M11" s="34">
        <f>SUM(M10)</f>
        <v>-1200</v>
      </c>
    </row>
    <row r="12" spans="2:13" x14ac:dyDescent="0.25">
      <c r="B12" s="15" t="s">
        <v>8</v>
      </c>
      <c r="C12" s="20">
        <f>C11/C5</f>
        <v>0.2</v>
      </c>
      <c r="E12" s="59"/>
      <c r="F12" s="59"/>
      <c r="G12" s="63"/>
      <c r="H12" s="63"/>
      <c r="J12"/>
      <c r="K12"/>
      <c r="L12" s="37"/>
      <c r="M12" s="37"/>
    </row>
    <row r="13" spans="2:13" x14ac:dyDescent="0.25">
      <c r="B13" s="12"/>
      <c r="C13" s="13"/>
      <c r="E13" s="58" t="s">
        <v>89</v>
      </c>
      <c r="F13" s="59"/>
      <c r="G13" s="62"/>
      <c r="H13" s="63"/>
      <c r="J13" s="76" t="s">
        <v>102</v>
      </c>
      <c r="K13" s="76"/>
      <c r="L13" s="77"/>
      <c r="M13" s="77"/>
    </row>
    <row r="14" spans="2:13" x14ac:dyDescent="0.25">
      <c r="B14" s="5" t="s">
        <v>3</v>
      </c>
      <c r="C14" s="6">
        <v>-50</v>
      </c>
      <c r="E14" s="59"/>
      <c r="F14" s="59" t="s">
        <v>90</v>
      </c>
      <c r="G14" s="62">
        <v>0</v>
      </c>
      <c r="H14" s="63">
        <v>0</v>
      </c>
      <c r="J14" s="60"/>
      <c r="K14" s="22" t="s">
        <v>106</v>
      </c>
      <c r="L14" s="37">
        <f>+G7</f>
        <v>2000</v>
      </c>
      <c r="M14" s="74">
        <f>G7-H7</f>
        <v>0</v>
      </c>
    </row>
    <row r="15" spans="2:13" ht="16.3" thickBot="1" x14ac:dyDescent="0.3">
      <c r="B15" s="5" t="s">
        <v>4</v>
      </c>
      <c r="C15" s="6">
        <v>0</v>
      </c>
      <c r="E15" s="64"/>
      <c r="F15" s="65" t="s">
        <v>91</v>
      </c>
      <c r="G15" s="66">
        <f>SUM(G7:G14)</f>
        <v>2000</v>
      </c>
      <c r="H15" s="66">
        <f>SUM(H7:H14)</f>
        <v>2105.14</v>
      </c>
      <c r="K15" s="46" t="s">
        <v>51</v>
      </c>
      <c r="L15" s="47">
        <f>SUM(L9:L14)</f>
        <v>2000</v>
      </c>
      <c r="M15" s="34">
        <f>SUM(M14)</f>
        <v>0</v>
      </c>
    </row>
    <row r="16" spans="2:13" x14ac:dyDescent="0.25">
      <c r="B16" s="7" t="s">
        <v>9</v>
      </c>
      <c r="C16" s="9">
        <f>SUM(C11:C15)</f>
        <v>150.19999999999999</v>
      </c>
      <c r="E16" s="59"/>
      <c r="F16" s="59"/>
      <c r="G16" s="59"/>
      <c r="H16" s="59"/>
      <c r="K16" s="56"/>
      <c r="L16" s="34"/>
      <c r="M16" s="34"/>
    </row>
    <row r="17" spans="2:13" x14ac:dyDescent="0.25">
      <c r="B17" s="5" t="s">
        <v>5</v>
      </c>
      <c r="C17" s="6">
        <f>-C16*30%</f>
        <v>-45.059999999999995</v>
      </c>
      <c r="E17" s="60" t="s">
        <v>92</v>
      </c>
      <c r="F17" s="59"/>
      <c r="G17" s="67"/>
      <c r="H17" s="67"/>
      <c r="K17" s="24" t="s">
        <v>52</v>
      </c>
      <c r="L17" s="34">
        <f>+L7+L11+L15</f>
        <v>2000</v>
      </c>
      <c r="M17" s="34">
        <f>+M7+M11+M15</f>
        <v>-1094.8600000000001</v>
      </c>
    </row>
    <row r="18" spans="2:13" ht="16.3" thickBot="1" x14ac:dyDescent="0.3">
      <c r="B18" s="10" t="s">
        <v>6</v>
      </c>
      <c r="C18" s="11">
        <f>SUM(C16:C17)</f>
        <v>105.13999999999999</v>
      </c>
      <c r="E18" s="59"/>
      <c r="F18" s="59"/>
      <c r="G18" s="67"/>
      <c r="H18" s="67"/>
      <c r="K18" s="24" t="s">
        <v>104</v>
      </c>
      <c r="L18" s="33">
        <v>0</v>
      </c>
      <c r="M18" s="34">
        <f>L19</f>
        <v>2000</v>
      </c>
    </row>
    <row r="19" spans="2:13" x14ac:dyDescent="0.25">
      <c r="B19" s="15" t="s">
        <v>82</v>
      </c>
      <c r="C19" s="21">
        <f>C18/C5</f>
        <v>0.10513999999999998</v>
      </c>
      <c r="E19" s="58" t="s">
        <v>93</v>
      </c>
      <c r="F19" s="59"/>
      <c r="G19" s="59"/>
      <c r="H19" s="59"/>
      <c r="K19" s="24" t="s">
        <v>105</v>
      </c>
      <c r="L19" s="33">
        <f>L17+L18</f>
        <v>2000</v>
      </c>
      <c r="M19" s="33">
        <f>M17+M18</f>
        <v>905.13999999999987</v>
      </c>
    </row>
    <row r="20" spans="2:13" x14ac:dyDescent="0.25">
      <c r="E20" s="59"/>
      <c r="F20" s="68" t="s">
        <v>94</v>
      </c>
      <c r="G20" s="62">
        <v>0</v>
      </c>
      <c r="H20" s="63">
        <v>1200</v>
      </c>
    </row>
    <row r="21" spans="2:13" x14ac:dyDescent="0.25">
      <c r="E21" s="59"/>
      <c r="F21" s="59"/>
      <c r="G21" s="62"/>
      <c r="H21" s="63"/>
    </row>
    <row r="22" spans="2:13" x14ac:dyDescent="0.25">
      <c r="E22" s="58" t="s">
        <v>95</v>
      </c>
      <c r="F22" s="59"/>
      <c r="G22" s="62"/>
      <c r="H22" s="62"/>
    </row>
    <row r="23" spans="2:13" x14ac:dyDescent="0.25">
      <c r="E23" s="59"/>
      <c r="F23" s="68" t="s">
        <v>96</v>
      </c>
      <c r="G23" s="62">
        <v>0</v>
      </c>
      <c r="H23" s="63">
        <v>0</v>
      </c>
    </row>
    <row r="24" spans="2:13" x14ac:dyDescent="0.25">
      <c r="E24" s="59"/>
      <c r="F24" s="68" t="s">
        <v>99</v>
      </c>
      <c r="G24" s="62">
        <v>2000</v>
      </c>
      <c r="H24" s="62">
        <f>800+C18</f>
        <v>905.14</v>
      </c>
    </row>
    <row r="25" spans="2:13" ht="16.3" thickBot="1" x14ac:dyDescent="0.3">
      <c r="E25" s="64"/>
      <c r="F25" s="65" t="s">
        <v>91</v>
      </c>
      <c r="G25" s="66">
        <f>SUM(G20:G20,G23:G24)</f>
        <v>2000</v>
      </c>
      <c r="H25" s="66">
        <f>SUM(H20:H20,H23:H24)</f>
        <v>2105.14</v>
      </c>
    </row>
    <row r="27" spans="2:13" x14ac:dyDescent="0.25">
      <c r="F27" s="72" t="s">
        <v>98</v>
      </c>
      <c r="G27" s="71" t="str">
        <f>IF(G15&lt;&gt;G25,"Error","Tallied")</f>
        <v>Tallied</v>
      </c>
      <c r="H27" s="71" t="str">
        <f>IF(H15&lt;&gt;H25,"Error","Tallied")</f>
        <v>Tallied</v>
      </c>
    </row>
    <row r="28" spans="2:13" x14ac:dyDescent="0.25">
      <c r="G28" s="73"/>
      <c r="H28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139C-93A3-4758-BDC3-79F80C81FBA0}">
  <dimension ref="B1:O27"/>
  <sheetViews>
    <sheetView showGridLines="0" zoomScale="130" zoomScaleNormal="130" workbookViewId="0">
      <selection activeCell="G11" sqref="G11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20.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1000+C21</f>
        <v>1200</v>
      </c>
      <c r="D5" s="6">
        <v>1000</v>
      </c>
      <c r="F5" s="58" t="s">
        <v>110</v>
      </c>
      <c r="G5" s="58"/>
      <c r="H5" s="58">
        <v>2000</v>
      </c>
      <c r="I5" s="79">
        <f>+H5+C18</f>
        <v>2147.1516666666666</v>
      </c>
      <c r="J5" s="79">
        <f>+I5+D18</f>
        <v>2252.2916666666665</v>
      </c>
      <c r="K5" s="59"/>
      <c r="M5" s="24" t="s">
        <v>44</v>
      </c>
      <c r="N5" s="34">
        <f>C18</f>
        <v>147.15166666666664</v>
      </c>
      <c r="O5" s="34">
        <f>D18</f>
        <v>105.13999999999999</v>
      </c>
    </row>
    <row r="6" spans="2:15" x14ac:dyDescent="0.25">
      <c r="B6" s="5" t="s">
        <v>24</v>
      </c>
      <c r="C6" s="6">
        <f>-C5*70%</f>
        <v>-840</v>
      </c>
      <c r="D6" s="6">
        <f>-D5*70%</f>
        <v>-700</v>
      </c>
      <c r="F6" s="59"/>
      <c r="G6" s="59"/>
      <c r="H6" s="62"/>
      <c r="I6" s="61"/>
      <c r="J6" s="61"/>
      <c r="K6" s="61"/>
      <c r="M6" s="35" t="s">
        <v>107</v>
      </c>
      <c r="N6" s="74">
        <f>H11-I11</f>
        <v>-200</v>
      </c>
      <c r="O6" s="74">
        <f>I11-J11</f>
        <v>200</v>
      </c>
    </row>
    <row r="7" spans="2:15" x14ac:dyDescent="0.25">
      <c r="B7" s="7" t="s">
        <v>1</v>
      </c>
      <c r="C7" s="8">
        <f>SUM(C5:C6)</f>
        <v>360</v>
      </c>
      <c r="D7" s="8">
        <f>SUM(D5:D6)</f>
        <v>300</v>
      </c>
      <c r="F7" s="59" t="s">
        <v>109</v>
      </c>
      <c r="G7" s="59"/>
      <c r="H7" s="62">
        <v>0</v>
      </c>
      <c r="I7" s="63">
        <v>0</v>
      </c>
      <c r="J7" s="63">
        <v>0</v>
      </c>
      <c r="K7" s="62"/>
      <c r="M7" s="46" t="s">
        <v>48</v>
      </c>
      <c r="N7" s="34">
        <f>SUM(N5:N6)</f>
        <v>-52.848333333333358</v>
      </c>
      <c r="O7" s="34">
        <f>SUM(O5:O6)</f>
        <v>305.14</v>
      </c>
    </row>
    <row r="8" spans="2:15" ht="16.3" thickBot="1" x14ac:dyDescent="0.3">
      <c r="B8" s="15" t="s">
        <v>10</v>
      </c>
      <c r="C8" s="20">
        <f>C7/C5</f>
        <v>0.3</v>
      </c>
      <c r="D8" s="20">
        <f>D7/D5</f>
        <v>0.3</v>
      </c>
      <c r="F8" s="64"/>
      <c r="G8" s="65" t="s">
        <v>91</v>
      </c>
      <c r="H8" s="66">
        <f>H5+H6+H7</f>
        <v>2000</v>
      </c>
      <c r="I8" s="66">
        <f t="shared" ref="I8:J8" si="2">I5+I6+I7</f>
        <v>2147.1516666666666</v>
      </c>
      <c r="J8" s="66">
        <f t="shared" si="2"/>
        <v>2252.2916666666665</v>
      </c>
      <c r="K8" s="62"/>
      <c r="M8" s="35"/>
      <c r="N8" s="36"/>
      <c r="O8" s="36"/>
    </row>
    <row r="9" spans="2:15" x14ac:dyDescent="0.25">
      <c r="B9" s="12"/>
      <c r="C9" s="14"/>
      <c r="D9" s="14"/>
      <c r="F9" s="59"/>
      <c r="G9" s="59"/>
      <c r="H9" s="59"/>
      <c r="I9" s="59"/>
      <c r="J9" s="59"/>
      <c r="K9" s="62"/>
    </row>
    <row r="10" spans="2:15" x14ac:dyDescent="0.25">
      <c r="B10" s="5" t="s">
        <v>2</v>
      </c>
      <c r="C10" s="6">
        <v>-100</v>
      </c>
      <c r="D10" s="6">
        <v>-100</v>
      </c>
      <c r="F10" s="58" t="s">
        <v>95</v>
      </c>
      <c r="G10" s="59"/>
      <c r="H10" s="62"/>
      <c r="I10" s="62"/>
      <c r="J10" s="62"/>
      <c r="K10" s="62"/>
    </row>
    <row r="11" spans="2:15" x14ac:dyDescent="0.25">
      <c r="B11" s="7" t="s">
        <v>7</v>
      </c>
      <c r="C11" s="8">
        <f>C7+C10</f>
        <v>260</v>
      </c>
      <c r="D11" s="8">
        <f>D7+D10</f>
        <v>200</v>
      </c>
      <c r="F11" s="59"/>
      <c r="G11" s="68" t="s">
        <v>108</v>
      </c>
      <c r="H11" s="62">
        <v>0</v>
      </c>
      <c r="I11" s="62">
        <f>C21</f>
        <v>200</v>
      </c>
      <c r="J11" s="62">
        <v>0</v>
      </c>
      <c r="K11" s="62"/>
    </row>
    <row r="12" spans="2:15" x14ac:dyDescent="0.25">
      <c r="B12" s="15" t="s">
        <v>8</v>
      </c>
      <c r="C12" s="20">
        <f>C11/C5</f>
        <v>0.21666666666666667</v>
      </c>
      <c r="D12" s="20">
        <f>D11/D5</f>
        <v>0.2</v>
      </c>
      <c r="F12" s="59"/>
      <c r="G12" s="68" t="s">
        <v>99</v>
      </c>
      <c r="H12" s="62">
        <v>2000</v>
      </c>
      <c r="I12" s="62">
        <f>+H12+N7</f>
        <v>1947.1516666666666</v>
      </c>
      <c r="J12" s="62">
        <f>+I12+O7</f>
        <v>2252.2916666666665</v>
      </c>
      <c r="K12" s="63"/>
    </row>
    <row r="13" spans="2:15" ht="16.3" thickBot="1" x14ac:dyDescent="0.3">
      <c r="B13" s="12"/>
      <c r="C13" s="13"/>
      <c r="D13" s="13"/>
      <c r="F13" s="64"/>
      <c r="G13" s="65" t="s">
        <v>91</v>
      </c>
      <c r="H13" s="66">
        <f t="shared" ref="H13:J13" si="3">H11+H12</f>
        <v>2000</v>
      </c>
      <c r="I13" s="66">
        <f t="shared" si="3"/>
        <v>2147.1516666666666</v>
      </c>
      <c r="J13" s="66">
        <f t="shared" si="3"/>
        <v>2252.2916666666665</v>
      </c>
      <c r="K13" s="63"/>
    </row>
    <row r="14" spans="2:15" x14ac:dyDescent="0.25">
      <c r="B14" s="5" t="s">
        <v>3</v>
      </c>
      <c r="C14" s="6">
        <v>-50</v>
      </c>
      <c r="D14" s="6">
        <v>-50</v>
      </c>
      <c r="K14" s="63"/>
    </row>
    <row r="15" spans="2:15" x14ac:dyDescent="0.25">
      <c r="B15" s="5" t="s">
        <v>4</v>
      </c>
      <c r="C15" s="6">
        <v>0</v>
      </c>
      <c r="D15" s="6">
        <v>0</v>
      </c>
      <c r="G15" s="72" t="s">
        <v>98</v>
      </c>
      <c r="H15" s="71" t="str">
        <f>IF(H8&lt;&gt;H13,"Error","Tallied")</f>
        <v>Tallied</v>
      </c>
      <c r="I15" s="71" t="str">
        <f>IF(I8&lt;&gt;I13,"Error","Tallied")</f>
        <v>Tallied</v>
      </c>
      <c r="J15" s="71" t="str">
        <f>IF(J8&lt;&gt;J13,"Error","Tallied")</f>
        <v>Tallied</v>
      </c>
      <c r="K15" s="78"/>
    </row>
    <row r="16" spans="2:15" x14ac:dyDescent="0.25">
      <c r="B16" s="7" t="s">
        <v>9</v>
      </c>
      <c r="C16" s="9">
        <f>SUM(C11:C15)</f>
        <v>210.21666666666664</v>
      </c>
      <c r="D16" s="9">
        <f>SUM(D11:D15)</f>
        <v>150.19999999999999</v>
      </c>
      <c r="H16" s="73"/>
      <c r="I16" s="73"/>
      <c r="K16" s="59"/>
    </row>
    <row r="17" spans="2:11" x14ac:dyDescent="0.25">
      <c r="B17" s="5" t="s">
        <v>5</v>
      </c>
      <c r="C17" s="6">
        <f>-C16*30%</f>
        <v>-63.064999999999991</v>
      </c>
      <c r="D17" s="6">
        <f>-D16*30%</f>
        <v>-45.059999999999995</v>
      </c>
      <c r="K17" s="67"/>
    </row>
    <row r="18" spans="2:11" ht="16.3" thickBot="1" x14ac:dyDescent="0.3">
      <c r="B18" s="10" t="s">
        <v>6</v>
      </c>
      <c r="C18" s="11">
        <f>SUM(C16:C17)</f>
        <v>147.15166666666664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0.12262638888888887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111</v>
      </c>
      <c r="C21" s="25">
        <v>200</v>
      </c>
      <c r="K21" s="63"/>
    </row>
    <row r="22" spans="2:11" x14ac:dyDescent="0.25">
      <c r="K22" s="62"/>
    </row>
    <row r="23" spans="2:11" x14ac:dyDescent="0.25">
      <c r="K23" s="63"/>
    </row>
    <row r="24" spans="2:11" x14ac:dyDescent="0.25">
      <c r="K24" s="62"/>
    </row>
    <row r="25" spans="2:11" x14ac:dyDescent="0.25">
      <c r="K25" s="78"/>
    </row>
    <row r="27" spans="2:11" x14ac:dyDescent="0.25">
      <c r="K27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FFFD-43DD-4540-B47E-5CA4BCD9B1A9}">
  <dimension ref="B1:O27"/>
  <sheetViews>
    <sheetView showGridLines="0" zoomScale="130" zoomScaleNormal="130" workbookViewId="0">
      <selection activeCell="G20" sqref="G20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20.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1000+C21</f>
        <v>1200</v>
      </c>
      <c r="D5" s="6">
        <v>1000</v>
      </c>
      <c r="F5" s="58" t="s">
        <v>110</v>
      </c>
      <c r="G5" s="58"/>
      <c r="H5" s="58">
        <v>2000</v>
      </c>
      <c r="I5" s="79">
        <f>+H5+C18</f>
        <v>2042.0641666666666</v>
      </c>
      <c r="J5" s="79">
        <f>+I5+D18</f>
        <v>2147.2041666666664</v>
      </c>
      <c r="K5" s="59"/>
      <c r="M5" s="24" t="s">
        <v>44</v>
      </c>
      <c r="N5" s="34">
        <f>C18</f>
        <v>42.064166666666665</v>
      </c>
      <c r="O5" s="34">
        <f>D18</f>
        <v>105.13999999999999</v>
      </c>
    </row>
    <row r="6" spans="2:15" x14ac:dyDescent="0.25">
      <c r="B6" s="5" t="s">
        <v>24</v>
      </c>
      <c r="C6" s="6">
        <f>-C5*70%-C23</f>
        <v>-940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H12-I12</f>
        <v>-200</v>
      </c>
      <c r="O6" s="37">
        <f>I12-J12</f>
        <v>200</v>
      </c>
    </row>
    <row r="7" spans="2:15" x14ac:dyDescent="0.25">
      <c r="B7" s="7" t="s">
        <v>1</v>
      </c>
      <c r="C7" s="8">
        <f>SUM(C5:C6)</f>
        <v>260</v>
      </c>
      <c r="D7" s="8">
        <f>SUM(D5:D6)</f>
        <v>300</v>
      </c>
      <c r="F7" s="58"/>
      <c r="G7" s="59" t="s">
        <v>113</v>
      </c>
      <c r="H7" s="62">
        <v>0</v>
      </c>
      <c r="I7" s="62">
        <f>C23</f>
        <v>100</v>
      </c>
      <c r="J7" s="63">
        <v>0</v>
      </c>
      <c r="K7" s="62"/>
      <c r="M7" s="35" t="s">
        <v>115</v>
      </c>
      <c r="N7" s="36">
        <f t="shared" ref="N7:N8" si="2">I7-H7</f>
        <v>100</v>
      </c>
      <c r="O7" s="36">
        <f>J7-I7</f>
        <v>-100</v>
      </c>
    </row>
    <row r="8" spans="2:15" x14ac:dyDescent="0.25">
      <c r="B8" s="15" t="s">
        <v>10</v>
      </c>
      <c r="C8" s="20">
        <f>C7/C5</f>
        <v>0.21666666666666667</v>
      </c>
      <c r="D8" s="20">
        <f>D7/D5</f>
        <v>0.3</v>
      </c>
      <c r="F8" s="59"/>
      <c r="G8" s="59" t="s">
        <v>114</v>
      </c>
      <c r="H8" s="62">
        <v>0</v>
      </c>
      <c r="I8" s="63">
        <f>C25</f>
        <v>50</v>
      </c>
      <c r="J8" s="63">
        <v>0</v>
      </c>
      <c r="K8" s="62"/>
      <c r="M8" s="35" t="s">
        <v>116</v>
      </c>
      <c r="N8" s="80">
        <f t="shared" si="2"/>
        <v>50</v>
      </c>
      <c r="O8" s="80">
        <f>J8-I8</f>
        <v>-50</v>
      </c>
    </row>
    <row r="9" spans="2:15" ht="16.3" thickBot="1" x14ac:dyDescent="0.3">
      <c r="B9" s="12"/>
      <c r="C9" s="14"/>
      <c r="D9" s="14"/>
      <c r="F9" s="64"/>
      <c r="G9" s="65" t="s">
        <v>91</v>
      </c>
      <c r="H9" s="66">
        <f>SUM(H5:H8)</f>
        <v>2000</v>
      </c>
      <c r="I9" s="66">
        <f t="shared" ref="I9:J9" si="3">SUM(I5:I8)</f>
        <v>2192.0641666666666</v>
      </c>
      <c r="J9" s="66">
        <f t="shared" si="3"/>
        <v>2147.2041666666664</v>
      </c>
      <c r="K9" s="62"/>
      <c r="M9" s="46" t="s">
        <v>48</v>
      </c>
      <c r="N9" s="34">
        <f>SUM(N5:N8)</f>
        <v>-7.9358333333333348</v>
      </c>
      <c r="O9" s="34">
        <f>SUM(O5:O8)</f>
        <v>155.13999999999999</v>
      </c>
    </row>
    <row r="10" spans="2:15" x14ac:dyDescent="0.25">
      <c r="B10" s="5" t="s">
        <v>2</v>
      </c>
      <c r="C10" s="6">
        <f>-100-50</f>
        <v>-150</v>
      </c>
      <c r="D10" s="6">
        <v>-100</v>
      </c>
      <c r="F10" s="59"/>
      <c r="G10" s="59"/>
      <c r="H10" s="59"/>
      <c r="I10" s="59"/>
      <c r="J10" s="59"/>
      <c r="K10" s="62"/>
      <c r="M10" s="35"/>
      <c r="N10" s="36"/>
      <c r="O10" s="36"/>
    </row>
    <row r="11" spans="2:15" x14ac:dyDescent="0.25">
      <c r="B11" s="7" t="s">
        <v>7</v>
      </c>
      <c r="C11" s="8">
        <f>C7+C10</f>
        <v>110</v>
      </c>
      <c r="D11" s="8">
        <f>D7+D10</f>
        <v>200</v>
      </c>
      <c r="F11" s="58" t="s">
        <v>95</v>
      </c>
      <c r="G11" s="59"/>
      <c r="H11" s="62"/>
      <c r="I11" s="62"/>
      <c r="J11" s="62"/>
      <c r="K11" s="62"/>
    </row>
    <row r="12" spans="2:15" x14ac:dyDescent="0.25">
      <c r="B12" s="15" t="s">
        <v>8</v>
      </c>
      <c r="C12" s="20">
        <f>C11/C5</f>
        <v>9.166666666666666E-2</v>
      </c>
      <c r="D12" s="20">
        <f>D11/D5</f>
        <v>0.2</v>
      </c>
      <c r="F12" s="59"/>
      <c r="G12" s="68" t="s">
        <v>108</v>
      </c>
      <c r="H12" s="62">
        <v>0</v>
      </c>
      <c r="I12" s="62">
        <f>C21</f>
        <v>200</v>
      </c>
      <c r="J12" s="62">
        <v>0</v>
      </c>
      <c r="K12" s="63"/>
    </row>
    <row r="13" spans="2:15" x14ac:dyDescent="0.25">
      <c r="B13" s="12"/>
      <c r="C13" s="13"/>
      <c r="D13" s="13"/>
      <c r="F13" s="59"/>
      <c r="G13" s="68" t="s">
        <v>99</v>
      </c>
      <c r="H13" s="62">
        <v>2000</v>
      </c>
      <c r="I13" s="62">
        <f>+H13+N9</f>
        <v>1992.0641666666666</v>
      </c>
      <c r="J13" s="62">
        <f>+I13+O9</f>
        <v>2147.2041666666664</v>
      </c>
      <c r="K13" s="63"/>
    </row>
    <row r="14" spans="2:15" ht="16.3" thickBot="1" x14ac:dyDescent="0.3">
      <c r="B14" s="5" t="s">
        <v>3</v>
      </c>
      <c r="C14" s="6">
        <v>-50</v>
      </c>
      <c r="D14" s="6">
        <v>-50</v>
      </c>
      <c r="F14" s="64"/>
      <c r="G14" s="65" t="s">
        <v>91</v>
      </c>
      <c r="H14" s="66">
        <f t="shared" ref="H14:J14" si="4">H12+H13</f>
        <v>2000</v>
      </c>
      <c r="I14" s="66">
        <f t="shared" si="4"/>
        <v>2192.0641666666666</v>
      </c>
      <c r="J14" s="66">
        <f t="shared" si="4"/>
        <v>2147.2041666666664</v>
      </c>
      <c r="K14" s="63"/>
    </row>
    <row r="15" spans="2:15" x14ac:dyDescent="0.25">
      <c r="B15" s="5" t="s">
        <v>4</v>
      </c>
      <c r="C15" s="6">
        <v>0</v>
      </c>
      <c r="D15" s="6">
        <v>0</v>
      </c>
      <c r="K15" s="78"/>
    </row>
    <row r="16" spans="2:15" x14ac:dyDescent="0.25">
      <c r="B16" s="7" t="s">
        <v>9</v>
      </c>
      <c r="C16" s="9">
        <f>SUM(C11:C15)</f>
        <v>60.091666666666669</v>
      </c>
      <c r="D16" s="9">
        <f>SUM(D11:D15)</f>
        <v>150.19999999999999</v>
      </c>
      <c r="G16" s="72" t="s">
        <v>98</v>
      </c>
      <c r="H16" s="71" t="str">
        <f>IF(H9&lt;&gt;H14,"Error","Tallied")</f>
        <v>Tallied</v>
      </c>
      <c r="I16" s="71" t="str">
        <f>IF(I9&lt;&gt;I14,"Error","Tallied")</f>
        <v>Tallied</v>
      </c>
      <c r="J16" s="71" t="str">
        <f>IF(J9&lt;&gt;J14,"Error","Tallied")</f>
        <v>Tallied</v>
      </c>
      <c r="K16" s="59"/>
    </row>
    <row r="17" spans="2:11" x14ac:dyDescent="0.25">
      <c r="B17" s="5" t="s">
        <v>5</v>
      </c>
      <c r="C17" s="6">
        <f>-C16*30%</f>
        <v>-18.0275</v>
      </c>
      <c r="D17" s="6">
        <f>-D16*30%</f>
        <v>-45.059999999999995</v>
      </c>
      <c r="H17" s="73"/>
      <c r="I17" s="73"/>
      <c r="K17" s="67"/>
    </row>
    <row r="18" spans="2:11" ht="16.3" thickBot="1" x14ac:dyDescent="0.3">
      <c r="B18" s="10" t="s">
        <v>6</v>
      </c>
      <c r="C18" s="11">
        <f>SUM(C16:C17)</f>
        <v>42.064166666666665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3.5053472222222222E-2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111</v>
      </c>
      <c r="C21" s="25">
        <v>200</v>
      </c>
      <c r="K21" s="63"/>
    </row>
    <row r="22" spans="2:11" x14ac:dyDescent="0.25">
      <c r="K22" s="62"/>
    </row>
    <row r="23" spans="2:11" x14ac:dyDescent="0.25">
      <c r="B23" s="24" t="s">
        <v>112</v>
      </c>
      <c r="C23" s="25">
        <v>100</v>
      </c>
      <c r="K23" s="63"/>
    </row>
    <row r="24" spans="2:11" x14ac:dyDescent="0.25">
      <c r="K24" s="62"/>
    </row>
    <row r="25" spans="2:11" x14ac:dyDescent="0.25">
      <c r="B25" s="24" t="s">
        <v>114</v>
      </c>
      <c r="C25" s="25">
        <v>50</v>
      </c>
      <c r="K25" s="78"/>
    </row>
    <row r="27" spans="2:11" x14ac:dyDescent="0.25">
      <c r="K27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8834-A3AC-475C-A704-F3F293F13354}">
  <dimension ref="B1:O24"/>
  <sheetViews>
    <sheetView showGridLines="0" zoomScale="130" zoomScaleNormal="130" workbookViewId="0">
      <selection activeCell="J17" sqref="H17:J17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20.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H12-I12</f>
        <v>0</v>
      </c>
      <c r="O6" s="37">
        <f>I12-J12</f>
        <v>0</v>
      </c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118</v>
      </c>
      <c r="N7" s="109">
        <f>H13-I13</f>
        <v>-50</v>
      </c>
      <c r="O7" s="109">
        <f>I13-J13</f>
        <v>50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115</v>
      </c>
      <c r="N8" s="36">
        <f t="shared" ref="N8:N9" si="2">I7-H7</f>
        <v>0</v>
      </c>
      <c r="O8" s="36">
        <f>J7-I7</f>
        <v>0</v>
      </c>
    </row>
    <row r="9" spans="2:15" ht="16.3" thickBot="1" x14ac:dyDescent="0.3">
      <c r="B9" s="12"/>
      <c r="C9" s="14"/>
      <c r="D9" s="14"/>
      <c r="F9" s="64"/>
      <c r="G9" s="65" t="s">
        <v>91</v>
      </c>
      <c r="H9" s="66">
        <f>SUM(H5:H8)</f>
        <v>2000</v>
      </c>
      <c r="I9" s="66">
        <f>SUM(I5:I8)</f>
        <v>2105.14</v>
      </c>
      <c r="J9" s="66">
        <f t="shared" ref="J9" si="3">SUM(J5:J8)</f>
        <v>2210.2799999999997</v>
      </c>
      <c r="K9" s="62"/>
      <c r="M9" s="35" t="s">
        <v>116</v>
      </c>
      <c r="N9" s="80">
        <f t="shared" si="2"/>
        <v>0</v>
      </c>
      <c r="O9" s="80">
        <f>J8-I8</f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F10" s="59"/>
      <c r="G10" s="59"/>
      <c r="H10" s="59"/>
      <c r="I10" s="59"/>
      <c r="J10" s="59"/>
      <c r="K10" s="62"/>
      <c r="M10" s="46" t="s">
        <v>48</v>
      </c>
      <c r="N10" s="34">
        <f>SUM(N5:N9)</f>
        <v>55.139999999999986</v>
      </c>
      <c r="O10" s="34">
        <f>SUM(O5:O9)</f>
        <v>155.13999999999999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8" t="s">
        <v>95</v>
      </c>
      <c r="G11" s="59"/>
      <c r="H11" s="62"/>
      <c r="I11" s="62"/>
      <c r="J11" s="62"/>
      <c r="K11" s="62"/>
      <c r="M11" s="35"/>
      <c r="N11" s="36"/>
      <c r="O11" s="36"/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9"/>
      <c r="G12" s="68" t="s">
        <v>108</v>
      </c>
      <c r="H12" s="62">
        <v>0</v>
      </c>
      <c r="I12" s="62">
        <v>0</v>
      </c>
      <c r="J12" s="62">
        <v>0</v>
      </c>
      <c r="K12" s="63"/>
    </row>
    <row r="13" spans="2:15" x14ac:dyDescent="0.25">
      <c r="B13" s="12"/>
      <c r="C13" s="13"/>
      <c r="D13" s="13"/>
      <c r="F13" s="59"/>
      <c r="G13" s="68" t="s">
        <v>117</v>
      </c>
      <c r="H13" s="62">
        <v>0</v>
      </c>
      <c r="I13" s="110">
        <f>C21</f>
        <v>50</v>
      </c>
      <c r="J13" s="110">
        <v>0</v>
      </c>
      <c r="K13" s="63"/>
    </row>
    <row r="14" spans="2:15" x14ac:dyDescent="0.25">
      <c r="B14" s="5" t="s">
        <v>3</v>
      </c>
      <c r="C14" s="6">
        <v>-50</v>
      </c>
      <c r="D14" s="6">
        <v>-50</v>
      </c>
      <c r="F14" s="59"/>
      <c r="G14" s="68" t="s">
        <v>99</v>
      </c>
      <c r="H14" s="62">
        <v>2000</v>
      </c>
      <c r="I14" s="62">
        <f>+H14+N10</f>
        <v>2055.14</v>
      </c>
      <c r="J14" s="62">
        <f>+I14+O10</f>
        <v>2210.2799999999997</v>
      </c>
      <c r="K14" s="63"/>
    </row>
    <row r="15" spans="2:15" ht="16.3" thickBot="1" x14ac:dyDescent="0.3">
      <c r="B15" s="5" t="s">
        <v>4</v>
      </c>
      <c r="C15" s="6">
        <v>0</v>
      </c>
      <c r="D15" s="6">
        <v>0</v>
      </c>
      <c r="F15" s="64"/>
      <c r="G15" s="65" t="s">
        <v>91</v>
      </c>
      <c r="H15" s="66">
        <f>SUM(H12:H14)</f>
        <v>2000</v>
      </c>
      <c r="I15" s="66">
        <f t="shared" ref="I15:J15" si="4">SUM(I12:I14)</f>
        <v>2105.14</v>
      </c>
      <c r="J15" s="66">
        <f t="shared" si="4"/>
        <v>2210.2799999999997</v>
      </c>
      <c r="K15" s="78"/>
    </row>
    <row r="16" spans="2:15" x14ac:dyDescent="0.25">
      <c r="B16" s="7" t="s">
        <v>9</v>
      </c>
      <c r="C16" s="9">
        <f>SUM(C11:C15)</f>
        <v>150.19999999999999</v>
      </c>
      <c r="D16" s="9">
        <f>SUM(D11:D15)</f>
        <v>150.19999999999999</v>
      </c>
      <c r="K16" s="59"/>
    </row>
    <row r="17" spans="2:11" x14ac:dyDescent="0.25">
      <c r="B17" s="5" t="s">
        <v>5</v>
      </c>
      <c r="C17" s="6">
        <f>-C16*30%</f>
        <v>-45.059999999999995</v>
      </c>
      <c r="D17" s="6">
        <f>-D16*30%</f>
        <v>-45.059999999999995</v>
      </c>
      <c r="G17" s="72" t="s">
        <v>98</v>
      </c>
      <c r="H17" s="71" t="str">
        <f>IF(H9&lt;&gt;H15,"Error","Tallied")</f>
        <v>Tallied</v>
      </c>
      <c r="I17" s="71" t="str">
        <f>IF(I9&lt;&gt;I15,"Error","Tallied")</f>
        <v>Tallied</v>
      </c>
      <c r="J17" s="71" t="str">
        <f>IF(J9&lt;&gt;J15,"Error","Tallied")</f>
        <v>Tallied</v>
      </c>
      <c r="K17" s="67"/>
    </row>
    <row r="18" spans="2:11" ht="16.3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H18" s="73"/>
      <c r="I18" s="73"/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117</v>
      </c>
      <c r="C21" s="25">
        <v>50</v>
      </c>
      <c r="K21" s="63"/>
    </row>
    <row r="22" spans="2:11" x14ac:dyDescent="0.25">
      <c r="K22" s="62"/>
    </row>
    <row r="23" spans="2:11" x14ac:dyDescent="0.25">
      <c r="B23" s="22" t="s">
        <v>146</v>
      </c>
      <c r="C23" s="22">
        <v>100</v>
      </c>
      <c r="K23" s="71"/>
    </row>
    <row r="24" spans="2:11" x14ac:dyDescent="0.25">
      <c r="C24" s="22">
        <v>50</v>
      </c>
      <c r="D24" s="22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C06F-90F1-4E90-967F-1D9536921663}">
  <dimension ref="B1:O23"/>
  <sheetViews>
    <sheetView showGridLines="0" zoomScale="130" zoomScaleNormal="130" workbookViewId="0">
      <selection activeCell="J18" sqref="G18:J18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20.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H13-I13</f>
        <v>0</v>
      </c>
      <c r="O6" s="37">
        <f>I13-J13</f>
        <v>0</v>
      </c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118</v>
      </c>
      <c r="N7" s="37">
        <f>H14-I14</f>
        <v>0</v>
      </c>
      <c r="O7" s="37">
        <f>I14-J14</f>
        <v>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115</v>
      </c>
      <c r="N8" s="36">
        <f t="shared" ref="N8:N9" si="2">I7-H7</f>
        <v>0</v>
      </c>
      <c r="O8" s="36">
        <f t="shared" ref="O8:O9" si="3">J7-I7</f>
        <v>0</v>
      </c>
    </row>
    <row r="9" spans="2:15" x14ac:dyDescent="0.25">
      <c r="B9" s="12"/>
      <c r="C9" s="14"/>
      <c r="D9" s="14"/>
      <c r="F9" s="59"/>
      <c r="G9" s="59" t="s">
        <v>119</v>
      </c>
      <c r="H9" s="62">
        <v>0</v>
      </c>
      <c r="I9" s="110">
        <f>C21</f>
        <v>50</v>
      </c>
      <c r="J9" s="112">
        <v>0</v>
      </c>
      <c r="K9" s="62"/>
      <c r="M9" s="35" t="s">
        <v>116</v>
      </c>
      <c r="N9" s="36">
        <f t="shared" si="2"/>
        <v>0</v>
      </c>
      <c r="O9" s="36">
        <f t="shared" si="3"/>
        <v>0</v>
      </c>
    </row>
    <row r="10" spans="2:15" ht="16.3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2155.14</v>
      </c>
      <c r="J10" s="66">
        <f>SUM(J5:J9)</f>
        <v>2210.2799999999997</v>
      </c>
      <c r="K10" s="62"/>
      <c r="M10" s="35" t="s">
        <v>120</v>
      </c>
      <c r="N10" s="111">
        <f>I9-H9</f>
        <v>50</v>
      </c>
      <c r="O10" s="111">
        <f>J9-I9</f>
        <v>-50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46" t="s">
        <v>48</v>
      </c>
      <c r="N11" s="34">
        <f>SUM(N5:N10)</f>
        <v>155.13999999999999</v>
      </c>
      <c r="O11" s="34">
        <f>SUM(O5:O10)</f>
        <v>55.139999999999986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95</v>
      </c>
      <c r="G12" s="59"/>
      <c r="H12" s="62"/>
      <c r="I12" s="62"/>
      <c r="J12" s="62"/>
      <c r="K12" s="63"/>
      <c r="M12" s="35"/>
      <c r="N12" s="36"/>
      <c r="O12" s="36"/>
    </row>
    <row r="13" spans="2:15" x14ac:dyDescent="0.25">
      <c r="B13" s="12"/>
      <c r="C13" s="13"/>
      <c r="D13" s="13"/>
      <c r="F13" s="59"/>
      <c r="G13" s="68" t="s">
        <v>108</v>
      </c>
      <c r="H13" s="62">
        <v>0</v>
      </c>
      <c r="I13" s="62">
        <v>0</v>
      </c>
      <c r="J13" s="62">
        <v>0</v>
      </c>
      <c r="K13" s="63"/>
    </row>
    <row r="14" spans="2:15" x14ac:dyDescent="0.25">
      <c r="B14" s="5" t="s">
        <v>3</v>
      </c>
      <c r="C14" s="6">
        <v>-50</v>
      </c>
      <c r="D14" s="6">
        <v>-50</v>
      </c>
      <c r="F14" s="59"/>
      <c r="G14" s="68" t="s">
        <v>117</v>
      </c>
      <c r="H14" s="62">
        <v>0</v>
      </c>
      <c r="I14" s="62">
        <v>0</v>
      </c>
      <c r="J14" s="62">
        <v>0</v>
      </c>
      <c r="K14" s="63"/>
    </row>
    <row r="15" spans="2:15" x14ac:dyDescent="0.25">
      <c r="B15" s="5" t="s">
        <v>4</v>
      </c>
      <c r="C15" s="6">
        <v>0</v>
      </c>
      <c r="D15" s="6">
        <v>0</v>
      </c>
      <c r="F15" s="59"/>
      <c r="G15" s="68" t="s">
        <v>99</v>
      </c>
      <c r="H15" s="62">
        <v>2000</v>
      </c>
      <c r="I15" s="62">
        <f>+H15+N11</f>
        <v>2155.14</v>
      </c>
      <c r="J15" s="62">
        <f>+I15+O11</f>
        <v>2210.2799999999997</v>
      </c>
      <c r="K15" s="78"/>
    </row>
    <row r="16" spans="2:15" ht="16.3" thickBot="1" x14ac:dyDescent="0.3">
      <c r="B16" s="7" t="s">
        <v>9</v>
      </c>
      <c r="C16" s="9">
        <f>SUM(C11:C15)</f>
        <v>150.19999999999999</v>
      </c>
      <c r="D16" s="9">
        <f>SUM(D11:D15)</f>
        <v>150.19999999999999</v>
      </c>
      <c r="F16" s="64"/>
      <c r="G16" s="65" t="s">
        <v>91</v>
      </c>
      <c r="H16" s="66">
        <f>SUM(H13:H15)</f>
        <v>2000</v>
      </c>
      <c r="I16" s="66">
        <f t="shared" ref="I16:J16" si="4">SUM(I13:I15)</f>
        <v>2155.14</v>
      </c>
      <c r="J16" s="66">
        <f t="shared" si="4"/>
        <v>2210.2799999999997</v>
      </c>
      <c r="K16" s="59"/>
    </row>
    <row r="17" spans="2:11" x14ac:dyDescent="0.25">
      <c r="B17" s="5" t="s">
        <v>5</v>
      </c>
      <c r="C17" s="6">
        <f>-C16*30%</f>
        <v>-45.059999999999995</v>
      </c>
      <c r="D17" s="6">
        <f>-D16*30%</f>
        <v>-45.059999999999995</v>
      </c>
      <c r="K17" s="67"/>
    </row>
    <row r="18" spans="2:11" ht="16.3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G18" s="72" t="s">
        <v>98</v>
      </c>
      <c r="H18" s="71" t="str">
        <f>IF(H10&lt;&gt;H16,"Error","Tallied")</f>
        <v>Tallied</v>
      </c>
      <c r="I18" s="71" t="str">
        <f>IF(I10&lt;&gt;I16,"Error","Tallied")</f>
        <v>Tallied</v>
      </c>
      <c r="J18" s="71" t="str">
        <f>IF(J10&lt;&gt;J16,"Error","Tallied")</f>
        <v>Tallied</v>
      </c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H19" s="73"/>
      <c r="I19" s="73"/>
      <c r="K19" s="59"/>
    </row>
    <row r="20" spans="2:11" x14ac:dyDescent="0.25">
      <c r="K20" s="63"/>
    </row>
    <row r="21" spans="2:11" x14ac:dyDescent="0.25">
      <c r="B21" s="24" t="s">
        <v>119</v>
      </c>
      <c r="C21" s="25">
        <v>50</v>
      </c>
      <c r="K21" s="63"/>
    </row>
    <row r="22" spans="2:11" x14ac:dyDescent="0.25">
      <c r="K22" s="62"/>
    </row>
    <row r="23" spans="2:11" x14ac:dyDescent="0.25">
      <c r="K23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0BB7-DE8F-4DA7-B7F3-B15C8CABCCA8}">
  <dimension ref="B1:O26"/>
  <sheetViews>
    <sheetView showGridLines="0" zoomScale="130" zoomScaleNormal="130" workbookViewId="0">
      <selection activeCell="E25" sqref="E25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20.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122</v>
      </c>
      <c r="N6" s="109">
        <f>H13-I13</f>
        <v>-100</v>
      </c>
      <c r="O6" s="109">
        <f>I13-J13</f>
        <v>-50</v>
      </c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107</v>
      </c>
      <c r="N7" s="37">
        <f t="shared" ref="N7:O8" si="2">H14-I14</f>
        <v>0</v>
      </c>
      <c r="O7" s="37">
        <f t="shared" si="2"/>
        <v>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118</v>
      </c>
      <c r="N8" s="37">
        <f t="shared" si="2"/>
        <v>0</v>
      </c>
      <c r="O8" s="37">
        <f t="shared" si="2"/>
        <v>0</v>
      </c>
    </row>
    <row r="9" spans="2:15" x14ac:dyDescent="0.25">
      <c r="B9" s="12"/>
      <c r="C9" s="14"/>
      <c r="D9" s="14"/>
      <c r="F9" s="59"/>
      <c r="G9" s="59" t="s">
        <v>119</v>
      </c>
      <c r="H9" s="62">
        <v>0</v>
      </c>
      <c r="I9" s="62">
        <v>0</v>
      </c>
      <c r="J9" s="63">
        <v>0</v>
      </c>
      <c r="K9" s="62"/>
      <c r="M9" s="35" t="s">
        <v>115</v>
      </c>
      <c r="N9" s="36">
        <f t="shared" ref="N9:O11" si="3">I7-H7</f>
        <v>0</v>
      </c>
      <c r="O9" s="36">
        <f t="shared" si="3"/>
        <v>0</v>
      </c>
    </row>
    <row r="10" spans="2:15" ht="16.3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2105.14</v>
      </c>
      <c r="J10" s="66">
        <f>SUM(J5:J9)</f>
        <v>2210.2799999999997</v>
      </c>
      <c r="K10" s="62"/>
      <c r="M10" s="35" t="s">
        <v>116</v>
      </c>
      <c r="N10" s="36">
        <f t="shared" si="3"/>
        <v>0</v>
      </c>
      <c r="O10" s="36">
        <f t="shared" si="3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35" t="s">
        <v>120</v>
      </c>
      <c r="N11" s="80">
        <f t="shared" si="3"/>
        <v>0</v>
      </c>
      <c r="O11" s="80">
        <f t="shared" si="3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95</v>
      </c>
      <c r="G12" s="59"/>
      <c r="H12" s="62"/>
      <c r="I12" s="62"/>
      <c r="J12" s="62"/>
      <c r="K12" s="63"/>
      <c r="M12" s="46" t="s">
        <v>48</v>
      </c>
      <c r="N12" s="34">
        <f>SUM(N5:N11)</f>
        <v>5.1399999999999864</v>
      </c>
      <c r="O12" s="34">
        <f>SUM(O5:O11)</f>
        <v>55.139999999999986</v>
      </c>
    </row>
    <row r="13" spans="2:15" x14ac:dyDescent="0.25">
      <c r="B13" s="12"/>
      <c r="C13" s="13"/>
      <c r="D13" s="13"/>
      <c r="F13" s="58"/>
      <c r="G13" s="59" t="s">
        <v>121</v>
      </c>
      <c r="H13" s="62">
        <v>0</v>
      </c>
      <c r="I13" s="110">
        <f>C24</f>
        <v>100</v>
      </c>
      <c r="J13" s="110">
        <f>D24</f>
        <v>150</v>
      </c>
      <c r="K13" s="63"/>
      <c r="M13" s="35"/>
      <c r="N13" s="36"/>
      <c r="O13" s="36"/>
    </row>
    <row r="14" spans="2:15" x14ac:dyDescent="0.25">
      <c r="B14" s="5" t="s">
        <v>3</v>
      </c>
      <c r="C14" s="6">
        <v>-50</v>
      </c>
      <c r="D14" s="6">
        <v>-50</v>
      </c>
      <c r="F14" s="59"/>
      <c r="G14" s="68" t="s">
        <v>108</v>
      </c>
      <c r="H14" s="62">
        <v>0</v>
      </c>
      <c r="I14" s="62">
        <v>0</v>
      </c>
      <c r="J14" s="62">
        <v>0</v>
      </c>
      <c r="K14" s="63"/>
    </row>
    <row r="15" spans="2:15" x14ac:dyDescent="0.25">
      <c r="B15" s="5" t="s">
        <v>4</v>
      </c>
      <c r="C15" s="6">
        <v>0</v>
      </c>
      <c r="D15" s="6">
        <v>0</v>
      </c>
      <c r="F15" s="59"/>
      <c r="G15" s="68" t="s">
        <v>117</v>
      </c>
      <c r="H15" s="62">
        <v>0</v>
      </c>
      <c r="I15" s="62">
        <v>0</v>
      </c>
      <c r="J15" s="62">
        <v>0</v>
      </c>
      <c r="K15" s="78"/>
    </row>
    <row r="16" spans="2:15" x14ac:dyDescent="0.25">
      <c r="B16" s="7" t="s">
        <v>9</v>
      </c>
      <c r="C16" s="9">
        <f>SUM(C11:C15)</f>
        <v>150.19999999999999</v>
      </c>
      <c r="D16" s="9">
        <f>SUM(D11:D15)</f>
        <v>150.19999999999999</v>
      </c>
      <c r="F16" s="59"/>
      <c r="G16" s="68" t="s">
        <v>99</v>
      </c>
      <c r="H16" s="62">
        <v>2000</v>
      </c>
      <c r="I16" s="62">
        <f>+H16+N12</f>
        <v>2005.1399999999999</v>
      </c>
      <c r="J16" s="62">
        <f>+I16+O12</f>
        <v>2060.2799999999997</v>
      </c>
      <c r="K16" s="59"/>
    </row>
    <row r="17" spans="2:11" ht="16.3" thickBot="1" x14ac:dyDescent="0.3">
      <c r="B17" s="5" t="s">
        <v>5</v>
      </c>
      <c r="C17" s="6">
        <f>-C16*30%</f>
        <v>-45.059999999999995</v>
      </c>
      <c r="D17" s="6">
        <f>-D16*30%</f>
        <v>-45.059999999999995</v>
      </c>
      <c r="F17" s="64"/>
      <c r="G17" s="65" t="s">
        <v>91</v>
      </c>
      <c r="H17" s="66">
        <f>SUM(H13:H16)</f>
        <v>2000</v>
      </c>
      <c r="I17" s="66">
        <f t="shared" ref="I17:J17" si="4">SUM(I13:I16)</f>
        <v>2105.14</v>
      </c>
      <c r="J17" s="66">
        <f t="shared" si="4"/>
        <v>2210.2799999999997</v>
      </c>
      <c r="K17" s="67"/>
    </row>
    <row r="18" spans="2:11" ht="16.3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G19" s="72" t="s">
        <v>98</v>
      </c>
      <c r="H19" s="71" t="str">
        <f>IF(H10&lt;&gt;H17,"Error","Tallied")</f>
        <v>Tallied</v>
      </c>
      <c r="I19" s="71" t="str">
        <f>IF(I10&lt;&gt;I17,"Error","Tallied")</f>
        <v>Tallied</v>
      </c>
      <c r="J19" s="71" t="str">
        <f>IF(J10&lt;&gt;J17,"Error","Tallied")</f>
        <v>Tallied</v>
      </c>
      <c r="K19" s="59"/>
    </row>
    <row r="20" spans="2:11" x14ac:dyDescent="0.25">
      <c r="H20" s="73"/>
      <c r="I20" s="73"/>
      <c r="K20" s="63"/>
    </row>
    <row r="21" spans="2:11" x14ac:dyDescent="0.25">
      <c r="B21" s="25" t="s">
        <v>123</v>
      </c>
      <c r="C21" s="31">
        <f t="shared" ref="C21:D21" si="5">C3</f>
        <v>1</v>
      </c>
      <c r="D21" s="31">
        <f t="shared" si="5"/>
        <v>2</v>
      </c>
      <c r="K21" s="63"/>
    </row>
    <row r="22" spans="2:11" x14ac:dyDescent="0.25">
      <c r="B22" s="22" t="s">
        <v>124</v>
      </c>
      <c r="C22" s="6"/>
      <c r="D22" s="6">
        <f>C24</f>
        <v>100</v>
      </c>
      <c r="K22" s="62"/>
    </row>
    <row r="23" spans="2:11" x14ac:dyDescent="0.25">
      <c r="B23" s="22" t="s">
        <v>147</v>
      </c>
      <c r="C23" s="6">
        <v>800</v>
      </c>
      <c r="D23" s="6">
        <v>750</v>
      </c>
      <c r="K23" s="71"/>
    </row>
    <row r="24" spans="2:11" x14ac:dyDescent="0.25">
      <c r="B24" s="22" t="s">
        <v>148</v>
      </c>
      <c r="C24" s="6">
        <v>100</v>
      </c>
      <c r="D24" s="6">
        <v>150</v>
      </c>
    </row>
    <row r="25" spans="2:11" ht="16.3" thickBot="1" x14ac:dyDescent="0.3">
      <c r="B25" s="81" t="s">
        <v>149</v>
      </c>
      <c r="C25" s="82">
        <f t="shared" ref="C25:D25" si="6">C22+C23-C24</f>
        <v>700</v>
      </c>
      <c r="D25" s="82">
        <f t="shared" si="6"/>
        <v>700</v>
      </c>
    </row>
    <row r="26" spans="2:11" ht="16.3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8821-0FC0-42E4-B1A6-9EBAA2FFFDC4}">
  <dimension ref="A1:O31"/>
  <sheetViews>
    <sheetView showGridLines="0" zoomScale="130" zoomScaleNormal="130" workbookViewId="0"/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2049</v>
      </c>
      <c r="J5" s="79">
        <f>+I5+D20</f>
        <v>2084</v>
      </c>
      <c r="K5" s="59"/>
      <c r="M5" s="24" t="s">
        <v>44</v>
      </c>
      <c r="N5" s="34">
        <f>C20</f>
        <v>49</v>
      </c>
      <c r="O5" s="34">
        <f>D20</f>
        <v>35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88">
        <v>0</v>
      </c>
      <c r="I7" s="88">
        <v>0</v>
      </c>
      <c r="J7" s="61">
        <v>0</v>
      </c>
      <c r="K7" s="62"/>
      <c r="M7" s="35" t="s">
        <v>129</v>
      </c>
      <c r="N7" s="115">
        <f t="shared" ref="N7:O7" si="2">-C14</f>
        <v>80</v>
      </c>
      <c r="O7" s="115">
        <f t="shared" si="2"/>
        <v>100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88">
        <v>0</v>
      </c>
      <c r="I8" s="88">
        <v>0</v>
      </c>
      <c r="J8" s="61">
        <v>0</v>
      </c>
      <c r="K8" s="62"/>
      <c r="M8" s="35"/>
      <c r="N8" s="34"/>
      <c r="O8" s="34"/>
    </row>
    <row r="9" spans="2:15" x14ac:dyDescent="0.25">
      <c r="B9" s="12"/>
      <c r="C9" s="14"/>
      <c r="D9" s="14"/>
      <c r="F9" s="59"/>
      <c r="G9" s="59" t="s">
        <v>119</v>
      </c>
      <c r="H9" s="88">
        <v>0</v>
      </c>
      <c r="I9" s="88">
        <v>0</v>
      </c>
      <c r="J9" s="61">
        <v>0</v>
      </c>
      <c r="K9" s="62"/>
      <c r="M9" s="35" t="s">
        <v>122</v>
      </c>
      <c r="N9" s="37">
        <f t="shared" ref="N9:O11" si="3">H19-I19</f>
        <v>0</v>
      </c>
      <c r="O9" s="37">
        <f t="shared" si="3"/>
        <v>0</v>
      </c>
    </row>
    <row r="10" spans="2:15" ht="16.3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2049</v>
      </c>
      <c r="J10" s="66">
        <f>SUM(J5:J9)</f>
        <v>2084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93</v>
      </c>
      <c r="G12" s="59"/>
      <c r="H12" s="88"/>
      <c r="I12" s="88"/>
      <c r="J12" s="88"/>
      <c r="K12" s="63"/>
      <c r="M12" s="35" t="s">
        <v>115</v>
      </c>
      <c r="N12" s="36">
        <f t="shared" ref="N12:O14" si="4">I7-H7</f>
        <v>0</v>
      </c>
      <c r="O12" s="36">
        <f t="shared" si="4"/>
        <v>0</v>
      </c>
    </row>
    <row r="13" spans="2:15" x14ac:dyDescent="0.25">
      <c r="B13" s="12"/>
      <c r="C13" s="13"/>
      <c r="D13" s="13"/>
      <c r="F13" s="58"/>
      <c r="G13" s="59" t="s">
        <v>126</v>
      </c>
      <c r="H13" s="89">
        <v>1000</v>
      </c>
      <c r="I13" s="114">
        <f>H13+C23</f>
        <v>1100</v>
      </c>
      <c r="J13" s="114">
        <f>I13+D23</f>
        <v>1300</v>
      </c>
      <c r="K13" s="63"/>
      <c r="M13" s="35" t="s">
        <v>116</v>
      </c>
      <c r="N13" s="36">
        <f t="shared" si="4"/>
        <v>0</v>
      </c>
      <c r="O13" s="36">
        <f t="shared" si="4"/>
        <v>0</v>
      </c>
    </row>
    <row r="14" spans="2:15" x14ac:dyDescent="0.25">
      <c r="B14" s="5" t="s">
        <v>62</v>
      </c>
      <c r="C14" s="86">
        <f t="shared" ref="C14:D14" si="5">-C25</f>
        <v>-80</v>
      </c>
      <c r="D14" s="86">
        <f t="shared" si="5"/>
        <v>-100</v>
      </c>
      <c r="F14" s="58"/>
      <c r="G14" s="59" t="s">
        <v>127</v>
      </c>
      <c r="H14" s="89">
        <v>0</v>
      </c>
      <c r="I14" s="89">
        <f>C14</f>
        <v>-80</v>
      </c>
      <c r="J14" s="89">
        <f>I14+D14</f>
        <v>-180</v>
      </c>
      <c r="K14" s="63"/>
      <c r="M14" s="35" t="s">
        <v>120</v>
      </c>
      <c r="N14" s="80">
        <f t="shared" si="4"/>
        <v>0</v>
      </c>
      <c r="O14" s="80">
        <f t="shared" si="4"/>
        <v>0</v>
      </c>
    </row>
    <row r="15" spans="2:15" x14ac:dyDescent="0.25">
      <c r="B15" s="12"/>
      <c r="C15" s="13"/>
      <c r="D15" s="13"/>
      <c r="F15" s="87"/>
      <c r="G15" s="87" t="s">
        <v>128</v>
      </c>
      <c r="H15" s="90">
        <f>H13+H14</f>
        <v>1000</v>
      </c>
      <c r="I15" s="90">
        <f>I13+I14</f>
        <v>1020</v>
      </c>
      <c r="J15" s="90">
        <f t="shared" ref="J15" si="6">J13+J14</f>
        <v>1120</v>
      </c>
      <c r="K15" s="78"/>
      <c r="M15" s="46" t="s">
        <v>48</v>
      </c>
      <c r="N15" s="34">
        <f>SUM(N5:N14)</f>
        <v>129</v>
      </c>
      <c r="O15" s="34">
        <f>SUM(O5:O14)</f>
        <v>135</v>
      </c>
    </row>
    <row r="16" spans="2:15" x14ac:dyDescent="0.25">
      <c r="B16" s="5" t="s">
        <v>3</v>
      </c>
      <c r="C16" s="6">
        <v>-50</v>
      </c>
      <c r="D16" s="6">
        <v>-50</v>
      </c>
      <c r="F16" s="58"/>
      <c r="G16" s="59"/>
      <c r="H16" s="88"/>
      <c r="I16" s="88"/>
      <c r="J16" s="88"/>
      <c r="K16" s="59"/>
      <c r="M16" s="35"/>
      <c r="N16" s="36"/>
      <c r="O16" s="36"/>
    </row>
    <row r="17" spans="1:15" x14ac:dyDescent="0.25">
      <c r="B17" s="5" t="s">
        <v>4</v>
      </c>
      <c r="C17" s="6">
        <v>0</v>
      </c>
      <c r="D17" s="6">
        <v>0</v>
      </c>
      <c r="F17" s="59"/>
      <c r="G17" s="59"/>
      <c r="H17" s="59"/>
      <c r="I17" s="59"/>
      <c r="J17" s="59"/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70</v>
      </c>
      <c r="D18" s="9">
        <f>SUM(D14:D17,D11)</f>
        <v>50</v>
      </c>
      <c r="F18" s="58" t="s">
        <v>95</v>
      </c>
      <c r="G18" s="59"/>
      <c r="H18" s="88"/>
      <c r="I18" s="88"/>
      <c r="J18" s="88"/>
      <c r="K18" s="67"/>
      <c r="M18" s="35" t="s">
        <v>125</v>
      </c>
      <c r="N18" s="116">
        <f>H13-I13</f>
        <v>-100</v>
      </c>
      <c r="O18" s="116">
        <f>I13-J13</f>
        <v>-200</v>
      </c>
    </row>
    <row r="19" spans="1:15" x14ac:dyDescent="0.25">
      <c r="B19" s="5" t="s">
        <v>5</v>
      </c>
      <c r="C19" s="6">
        <f>-C18*30%</f>
        <v>-21</v>
      </c>
      <c r="D19" s="6">
        <f>-D18*30%</f>
        <v>-15</v>
      </c>
      <c r="F19" s="58"/>
      <c r="G19" s="59" t="s">
        <v>121</v>
      </c>
      <c r="H19" s="88">
        <v>0</v>
      </c>
      <c r="I19" s="88">
        <f>C27</f>
        <v>0</v>
      </c>
      <c r="J19" s="88">
        <f>D27</f>
        <v>0</v>
      </c>
      <c r="K19" s="59"/>
      <c r="M19" s="46" t="s">
        <v>51</v>
      </c>
      <c r="N19" s="85">
        <f>SUM(N18)</f>
        <v>-100</v>
      </c>
      <c r="O19" s="85">
        <f t="shared" ref="O19" si="7">SUM(O18)</f>
        <v>-200</v>
      </c>
    </row>
    <row r="20" spans="1:15" ht="16.3" thickBot="1" x14ac:dyDescent="0.3">
      <c r="B20" s="10" t="s">
        <v>6</v>
      </c>
      <c r="C20" s="11">
        <f>SUM(C18:C19)</f>
        <v>49</v>
      </c>
      <c r="D20" s="11">
        <f>SUM(D18:D19)</f>
        <v>35</v>
      </c>
      <c r="F20" s="59"/>
      <c r="G20" s="68" t="s">
        <v>108</v>
      </c>
      <c r="H20" s="88">
        <v>0</v>
      </c>
      <c r="I20" s="88">
        <v>0</v>
      </c>
      <c r="J20" s="88">
        <v>0</v>
      </c>
      <c r="K20" s="63"/>
    </row>
    <row r="21" spans="1:15" x14ac:dyDescent="0.25">
      <c r="A21"/>
      <c r="B21" s="15" t="s">
        <v>82</v>
      </c>
      <c r="C21" s="20">
        <f>C20/C5</f>
        <v>4.9000000000000002E-2</v>
      </c>
      <c r="D21" s="20">
        <f>D20/D5</f>
        <v>3.5000000000000003E-2</v>
      </c>
      <c r="F21" s="59"/>
      <c r="G21" s="68" t="s">
        <v>117</v>
      </c>
      <c r="H21" s="88">
        <v>0</v>
      </c>
      <c r="I21" s="88">
        <v>0</v>
      </c>
      <c r="J21" s="88">
        <v>0</v>
      </c>
      <c r="K21" s="63"/>
      <c r="M21" s="24" t="s">
        <v>52</v>
      </c>
      <c r="N21" s="34">
        <f>N19+N15</f>
        <v>29</v>
      </c>
      <c r="O21" s="34">
        <f t="shared" ref="O21" si="8">O19+O15</f>
        <v>-65</v>
      </c>
    </row>
    <row r="22" spans="1:15" x14ac:dyDescent="0.25">
      <c r="A22"/>
      <c r="F22" s="59"/>
      <c r="G22" s="68" t="s">
        <v>99</v>
      </c>
      <c r="H22" s="88">
        <v>1000</v>
      </c>
      <c r="I22" s="88">
        <f>+H22+N21</f>
        <v>1029</v>
      </c>
      <c r="J22" s="88">
        <f>+I22+O21</f>
        <v>964</v>
      </c>
      <c r="K22" s="62"/>
    </row>
    <row r="23" spans="1:15" x14ac:dyDescent="0.25">
      <c r="A23"/>
      <c r="B23" s="68" t="s">
        <v>139</v>
      </c>
      <c r="C23" s="113">
        <v>100</v>
      </c>
      <c r="D23" s="113">
        <v>200</v>
      </c>
      <c r="F23" s="87"/>
      <c r="G23" s="87" t="s">
        <v>130</v>
      </c>
      <c r="H23" s="90">
        <f>SUM(H19:H22)</f>
        <v>1000</v>
      </c>
      <c r="I23" s="90">
        <f t="shared" ref="I23:J23" si="9">SUM(I19:I22)</f>
        <v>1029</v>
      </c>
      <c r="J23" s="90">
        <f t="shared" si="9"/>
        <v>964</v>
      </c>
      <c r="K23" s="71"/>
    </row>
    <row r="24" spans="1:15" x14ac:dyDescent="0.25">
      <c r="A24"/>
      <c r="B24" s="68"/>
      <c r="C24" s="68"/>
      <c r="D24" s="68"/>
      <c r="F24" s="59"/>
      <c r="G24" s="68"/>
      <c r="H24" s="88"/>
      <c r="I24" s="88"/>
      <c r="J24" s="88"/>
    </row>
    <row r="25" spans="1:15" ht="16.3" thickBot="1" x14ac:dyDescent="0.3">
      <c r="A25"/>
      <c r="B25" s="68" t="s">
        <v>62</v>
      </c>
      <c r="C25" s="113">
        <v>80</v>
      </c>
      <c r="D25" s="113">
        <v>100</v>
      </c>
      <c r="F25" s="64"/>
      <c r="G25" s="65" t="s">
        <v>91</v>
      </c>
      <c r="H25" s="66">
        <f t="shared" ref="H25:J25" si="10">+H23+H15</f>
        <v>2000</v>
      </c>
      <c r="I25" s="66">
        <f t="shared" si="10"/>
        <v>2049</v>
      </c>
      <c r="J25" s="66">
        <f t="shared" si="10"/>
        <v>2084</v>
      </c>
    </row>
    <row r="26" spans="1:15" x14ac:dyDescent="0.25">
      <c r="B26" s="68"/>
      <c r="C26" s="68"/>
      <c r="D26" s="68"/>
    </row>
    <row r="27" spans="1:15" x14ac:dyDescent="0.25">
      <c r="B27" s="68"/>
      <c r="C27" s="68"/>
      <c r="D27" s="68"/>
      <c r="G27" s="72" t="s">
        <v>98</v>
      </c>
      <c r="H27" s="71" t="str">
        <f>IF(H10&lt;&gt;H25,"Error","Tallied")</f>
        <v>Tallied</v>
      </c>
      <c r="I27" s="71" t="str">
        <f>IF(I10&lt;&gt;I25,"Error","Tallied")</f>
        <v>Tallied</v>
      </c>
      <c r="J27" s="71" t="str">
        <f>IF(J10&lt;&gt;J25,"Error","Tallied")</f>
        <v>Tallied</v>
      </c>
    </row>
    <row r="28" spans="1:15" x14ac:dyDescent="0.25">
      <c r="B28" s="68"/>
      <c r="C28" s="68"/>
      <c r="D28" s="68"/>
      <c r="H28" s="73"/>
      <c r="I28" s="73"/>
    </row>
    <row r="29" spans="1:15" x14ac:dyDescent="0.25">
      <c r="B29" s="68"/>
      <c r="C29" s="68"/>
      <c r="D29" s="68"/>
    </row>
    <row r="30" spans="1:15" x14ac:dyDescent="0.25">
      <c r="B30" s="68"/>
      <c r="C30" s="68"/>
      <c r="D30" s="68"/>
    </row>
    <row r="31" spans="1:15" x14ac:dyDescent="0.25">
      <c r="B31" s="68"/>
      <c r="C31" s="68"/>
      <c r="D31" s="6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2879-FF63-4F2F-A606-5D4B35D36C62}">
  <dimension ref="B2:Q33"/>
  <sheetViews>
    <sheetView showGridLines="0" zoomScale="115" zoomScaleNormal="115" workbookViewId="0"/>
  </sheetViews>
  <sheetFormatPr defaultRowHeight="15.65" x14ac:dyDescent="0.25"/>
  <cols>
    <col min="1" max="1" width="2" style="22" customWidth="1"/>
    <col min="2" max="2" width="2.375" style="22" customWidth="1"/>
    <col min="3" max="3" width="1.875" style="22" customWidth="1"/>
    <col min="4" max="4" width="33.125" style="22" bestFit="1" customWidth="1"/>
    <col min="5" max="5" width="10.5" style="22" customWidth="1"/>
    <col min="6" max="6" width="10.5" style="22" bestFit="1" customWidth="1"/>
    <col min="7" max="7" width="9.25" style="22" customWidth="1"/>
    <col min="8" max="15" width="12.375" style="23" customWidth="1"/>
    <col min="16" max="16" width="9" style="22"/>
    <col min="17" max="17" width="9.25" style="22" bestFit="1" customWidth="1"/>
    <col min="18" max="16384" width="9" style="22"/>
  </cols>
  <sheetData>
    <row r="2" spans="2:15" x14ac:dyDescent="0.25">
      <c r="B2" s="97" t="s">
        <v>144</v>
      </c>
      <c r="C2" s="98"/>
      <c r="D2" s="98"/>
      <c r="E2" s="98"/>
      <c r="F2" s="98"/>
      <c r="G2" s="98"/>
      <c r="H2" s="105"/>
      <c r="I2" s="105"/>
      <c r="J2" s="105"/>
      <c r="K2" s="105"/>
      <c r="L2" s="105"/>
      <c r="M2" s="105"/>
      <c r="N2" s="105"/>
      <c r="O2" s="105"/>
    </row>
    <row r="4" spans="2:15" x14ac:dyDescent="0.25">
      <c r="H4" s="69">
        <v>1</v>
      </c>
      <c r="I4" s="69">
        <f>H4+1</f>
        <v>2</v>
      </c>
      <c r="J4" s="69">
        <f>I4+1</f>
        <v>3</v>
      </c>
      <c r="K4" s="69">
        <f t="shared" ref="K4:O4" si="0">J4+1</f>
        <v>4</v>
      </c>
      <c r="L4" s="69">
        <f t="shared" si="0"/>
        <v>5</v>
      </c>
      <c r="M4" s="69">
        <f t="shared" si="0"/>
        <v>6</v>
      </c>
      <c r="N4" s="69">
        <f t="shared" si="0"/>
        <v>7</v>
      </c>
      <c r="O4" s="69">
        <f t="shared" si="0"/>
        <v>8</v>
      </c>
    </row>
    <row r="5" spans="2:15" x14ac:dyDescent="0.25">
      <c r="D5" s="22" t="s">
        <v>133</v>
      </c>
      <c r="H5" s="99">
        <v>200</v>
      </c>
      <c r="I5" s="99">
        <v>50</v>
      </c>
      <c r="J5" s="99">
        <v>40</v>
      </c>
      <c r="K5" s="99">
        <v>30</v>
      </c>
      <c r="L5" s="99">
        <v>70</v>
      </c>
      <c r="M5" s="99">
        <v>85</v>
      </c>
      <c r="N5" s="99">
        <v>90</v>
      </c>
      <c r="O5" s="99">
        <v>40</v>
      </c>
    </row>
    <row r="6" spans="2:15" x14ac:dyDescent="0.25">
      <c r="H6" s="99"/>
      <c r="I6" s="99"/>
      <c r="J6" s="99"/>
      <c r="K6" s="99"/>
      <c r="L6" s="99"/>
      <c r="M6" s="99"/>
      <c r="N6" s="99"/>
      <c r="O6" s="99"/>
    </row>
    <row r="7" spans="2:15" x14ac:dyDescent="0.25">
      <c r="G7"/>
      <c r="H7" s="43"/>
      <c r="I7" s="43"/>
      <c r="J7" s="43"/>
      <c r="K7" s="43"/>
      <c r="L7" s="43"/>
      <c r="M7" s="43"/>
      <c r="N7" s="43"/>
      <c r="O7" s="43"/>
    </row>
    <row r="8" spans="2:15" x14ac:dyDescent="0.25">
      <c r="B8" s="58" t="s">
        <v>145</v>
      </c>
      <c r="G8"/>
      <c r="H8" s="43"/>
      <c r="I8" s="43"/>
      <c r="J8" s="43"/>
      <c r="K8" s="43"/>
      <c r="L8" s="43"/>
      <c r="M8" s="43"/>
      <c r="N8" s="43"/>
      <c r="O8" s="43"/>
    </row>
    <row r="9" spans="2:15" x14ac:dyDescent="0.25">
      <c r="C9" s="104" t="s">
        <v>150</v>
      </c>
      <c r="E9" s="23"/>
      <c r="G9"/>
      <c r="H9" s="43"/>
      <c r="I9" s="43"/>
      <c r="J9" s="43"/>
      <c r="K9" s="43"/>
      <c r="L9" s="43"/>
      <c r="M9" s="43"/>
      <c r="N9" s="43"/>
      <c r="O9" s="43"/>
    </row>
    <row r="10" spans="2:15" x14ac:dyDescent="0.25">
      <c r="D10" s="24" t="s">
        <v>141</v>
      </c>
      <c r="E10" s="102">
        <f>1-E19^(1/E18)</f>
        <v>0.25010579066754413</v>
      </c>
      <c r="G10"/>
      <c r="H10" s="43"/>
      <c r="I10" s="43"/>
      <c r="J10" s="43"/>
      <c r="K10" s="43"/>
      <c r="L10" s="43"/>
      <c r="M10" s="43"/>
      <c r="N10" s="43"/>
      <c r="O10" s="43"/>
    </row>
    <row r="11" spans="2:15" x14ac:dyDescent="0.25">
      <c r="E11" s="23"/>
      <c r="G11"/>
      <c r="H11" s="43"/>
      <c r="I11" s="43"/>
      <c r="J11" s="43"/>
      <c r="K11" s="43"/>
      <c r="L11" s="43"/>
      <c r="M11" s="43"/>
      <c r="N11" s="43"/>
      <c r="O11" s="43"/>
    </row>
    <row r="12" spans="2:15" x14ac:dyDescent="0.25">
      <c r="D12" s="22" t="s">
        <v>134</v>
      </c>
      <c r="E12" s="23"/>
      <c r="G12"/>
      <c r="H12" s="43">
        <v>0</v>
      </c>
      <c r="I12" s="43">
        <f>H15</f>
        <v>149.97884186649117</v>
      </c>
      <c r="J12" s="43">
        <f t="shared" ref="J12:O12" si="1">I15</f>
        <v>149.96297550469262</v>
      </c>
      <c r="K12" s="43">
        <f t="shared" si="1"/>
        <v>142.45213531853216</v>
      </c>
      <c r="L12" s="43">
        <f t="shared" si="1"/>
        <v>129.32085766238436</v>
      </c>
      <c r="M12" s="43">
        <f t="shared" si="1"/>
        <v>149.46955696020069</v>
      </c>
      <c r="N12" s="43">
        <f t="shared" si="1"/>
        <v>175.82736302920091</v>
      </c>
      <c r="O12" s="43">
        <f t="shared" si="1"/>
        <v>199.34240021771433</v>
      </c>
    </row>
    <row r="13" spans="2:15" x14ac:dyDescent="0.25">
      <c r="D13" s="22" t="s">
        <v>135</v>
      </c>
      <c r="E13" s="23"/>
      <c r="G13"/>
      <c r="H13" s="43">
        <f>H5</f>
        <v>200</v>
      </c>
      <c r="I13" s="43">
        <f>I5</f>
        <v>50</v>
      </c>
      <c r="J13" s="43">
        <f t="shared" ref="J13:O13" si="2">J5</f>
        <v>40</v>
      </c>
      <c r="K13" s="43">
        <f t="shared" si="2"/>
        <v>30</v>
      </c>
      <c r="L13" s="43">
        <f t="shared" si="2"/>
        <v>70</v>
      </c>
      <c r="M13" s="43">
        <f t="shared" si="2"/>
        <v>85</v>
      </c>
      <c r="N13" s="43">
        <f t="shared" si="2"/>
        <v>90</v>
      </c>
      <c r="O13" s="43">
        <f t="shared" si="2"/>
        <v>40</v>
      </c>
    </row>
    <row r="14" spans="2:15" x14ac:dyDescent="0.25">
      <c r="D14" s="22" t="s">
        <v>136</v>
      </c>
      <c r="E14" s="23"/>
      <c r="G14"/>
      <c r="H14" s="43">
        <f>-(H12+H13)*$E$10</f>
        <v>-50.021158133508827</v>
      </c>
      <c r="I14" s="43">
        <f>-(I12+I13)*$E$10</f>
        <v>-50.015866361798551</v>
      </c>
      <c r="J14" s="43">
        <f t="shared" ref="J14:O14" si="3">-(J12+J13)*$E$10</f>
        <v>-47.510840186160465</v>
      </c>
      <c r="K14" s="43">
        <f t="shared" si="3"/>
        <v>-43.131277656147795</v>
      </c>
      <c r="L14" s="43">
        <f t="shared" si="3"/>
        <v>-49.851300702183657</v>
      </c>
      <c r="M14" s="43">
        <f t="shared" si="3"/>
        <v>-58.642193930999767</v>
      </c>
      <c r="N14" s="43">
        <f t="shared" si="3"/>
        <v>-66.484962811486582</v>
      </c>
      <c r="O14" s="43">
        <f t="shared" si="3"/>
        <v>-59.860920246719225</v>
      </c>
    </row>
    <row r="15" spans="2:15" ht="16.3" thickBot="1" x14ac:dyDescent="0.3">
      <c r="D15" s="100" t="s">
        <v>137</v>
      </c>
      <c r="E15" s="23"/>
      <c r="G15"/>
      <c r="H15" s="106">
        <f>SUM(H12:H14)</f>
        <v>149.97884186649117</v>
      </c>
      <c r="I15" s="106">
        <f>SUM(I12:I14)</f>
        <v>149.96297550469262</v>
      </c>
      <c r="J15" s="106">
        <f t="shared" ref="J15:O15" si="4">SUM(J12:J14)</f>
        <v>142.45213531853216</v>
      </c>
      <c r="K15" s="106">
        <f t="shared" si="4"/>
        <v>129.32085766238436</v>
      </c>
      <c r="L15" s="106">
        <f t="shared" si="4"/>
        <v>149.46955696020069</v>
      </c>
      <c r="M15" s="106">
        <f t="shared" si="4"/>
        <v>175.82736302920091</v>
      </c>
      <c r="N15" s="106">
        <f t="shared" si="4"/>
        <v>199.34240021771433</v>
      </c>
      <c r="O15" s="106">
        <f t="shared" si="4"/>
        <v>179.48147997099511</v>
      </c>
    </row>
    <row r="16" spans="2:15" ht="16.3" thickTop="1" x14ac:dyDescent="0.25">
      <c r="E16" s="23"/>
      <c r="H16" s="43"/>
      <c r="I16" s="43"/>
      <c r="J16" s="43"/>
      <c r="K16" s="43"/>
      <c r="L16" s="43"/>
      <c r="M16" s="43"/>
      <c r="N16" s="43"/>
      <c r="O16" s="43"/>
    </row>
    <row r="17" spans="3:17" x14ac:dyDescent="0.25">
      <c r="C17" s="104" t="s">
        <v>151</v>
      </c>
      <c r="E17" s="23"/>
      <c r="H17" s="43">
        <f>H13-FV(-$E$10,1,,-H13)</f>
        <v>50.021158133508834</v>
      </c>
      <c r="I17" s="43">
        <f>I13+I12-FV(-$E$10,1,,-I13-I12)</f>
        <v>50.015866361798544</v>
      </c>
      <c r="J17" s="43">
        <f>J13+J12-FV(-$E$10,1,,-J13-J12)</f>
        <v>47.510840186160465</v>
      </c>
      <c r="K17" s="43">
        <f>K13+K12-FV(-$E$10,1,,-K13-K12)</f>
        <v>43.131277656147802</v>
      </c>
      <c r="L17" s="43">
        <f t="shared" ref="L17:O17" si="5">L13+L12-FV(-$E$10,1,,-L13-L12)</f>
        <v>49.851300702183664</v>
      </c>
      <c r="M17" s="43">
        <f t="shared" si="5"/>
        <v>58.642193930999781</v>
      </c>
      <c r="N17" s="43">
        <f t="shared" si="5"/>
        <v>66.484962811486582</v>
      </c>
      <c r="O17" s="43">
        <f t="shared" si="5"/>
        <v>59.860920246719218</v>
      </c>
    </row>
    <row r="18" spans="3:17" x14ac:dyDescent="0.25">
      <c r="D18" s="24" t="s">
        <v>142</v>
      </c>
      <c r="E18" s="103">
        <v>8</v>
      </c>
      <c r="H18" s="43">
        <f>FV(-$E$10,1,,-H13-H12)</f>
        <v>149.97884186649117</v>
      </c>
      <c r="I18" s="43">
        <f>FV(-$E$10,1,,-I13-I12)</f>
        <v>149.96297550469262</v>
      </c>
      <c r="J18" s="43">
        <f>FV(-$E$10,1,,-J13-J12)</f>
        <v>142.45213531853216</v>
      </c>
      <c r="K18" s="43">
        <f>FV(-$E$10,1,,-K13-K12)</f>
        <v>129.32085766238436</v>
      </c>
      <c r="L18" s="43">
        <f>FV(-$E$10,1,,-L13-L12)</f>
        <v>149.46955696020069</v>
      </c>
      <c r="M18" s="43">
        <f t="shared" ref="M18:O18" si="6">FV(-$E$10,1,,-M13-M12)</f>
        <v>175.82736302920091</v>
      </c>
      <c r="N18" s="43">
        <f t="shared" si="6"/>
        <v>199.34240021771433</v>
      </c>
      <c r="O18" s="43">
        <f t="shared" si="6"/>
        <v>179.48147997099511</v>
      </c>
    </row>
    <row r="19" spans="3:17" x14ac:dyDescent="0.25">
      <c r="D19" s="24" t="s">
        <v>143</v>
      </c>
      <c r="E19" s="102">
        <v>0.1</v>
      </c>
      <c r="H19" s="45" t="s">
        <v>153</v>
      </c>
      <c r="I19" s="43"/>
      <c r="K19" s="43"/>
      <c r="L19" s="43"/>
      <c r="M19" s="43"/>
      <c r="N19" s="43"/>
      <c r="O19" s="43"/>
    </row>
    <row r="20" spans="3:17" x14ac:dyDescent="0.25">
      <c r="E20" s="23"/>
      <c r="H20" s="43" t="s">
        <v>142</v>
      </c>
      <c r="I20" s="43"/>
      <c r="J20" s="43"/>
      <c r="K20" s="43"/>
      <c r="L20" s="43"/>
      <c r="M20" s="43"/>
      <c r="N20" s="43"/>
      <c r="O20" s="43"/>
    </row>
    <row r="21" spans="3:17" x14ac:dyDescent="0.25">
      <c r="D21" s="22" t="s">
        <v>133</v>
      </c>
      <c r="H21" s="43"/>
      <c r="I21" s="43"/>
      <c r="J21" s="43"/>
      <c r="K21" s="43"/>
      <c r="L21" s="43"/>
      <c r="M21" s="43"/>
      <c r="N21" s="43"/>
      <c r="O21" s="43"/>
    </row>
    <row r="22" spans="3:17" x14ac:dyDescent="0.25">
      <c r="H22" s="43"/>
      <c r="I22" s="43"/>
      <c r="J22" s="43"/>
      <c r="K22" s="43"/>
      <c r="L22" s="43"/>
      <c r="M22" s="43"/>
      <c r="N22" s="43"/>
      <c r="O22" s="43"/>
    </row>
    <row r="23" spans="3:17" ht="31.25" x14ac:dyDescent="0.25">
      <c r="F23" s="108" t="s">
        <v>138</v>
      </c>
      <c r="G23" s="55" t="s">
        <v>139</v>
      </c>
      <c r="H23" s="69">
        <f t="shared" ref="H23:O23" si="7">H4</f>
        <v>1</v>
      </c>
      <c r="I23" s="69">
        <f t="shared" si="7"/>
        <v>2</v>
      </c>
      <c r="J23" s="69">
        <f t="shared" si="7"/>
        <v>3</v>
      </c>
      <c r="K23" s="69">
        <f t="shared" si="7"/>
        <v>4</v>
      </c>
      <c r="L23" s="69">
        <f t="shared" si="7"/>
        <v>5</v>
      </c>
      <c r="M23" s="69">
        <f t="shared" si="7"/>
        <v>6</v>
      </c>
      <c r="N23" s="69">
        <f t="shared" si="7"/>
        <v>7</v>
      </c>
      <c r="O23" s="69">
        <f t="shared" si="7"/>
        <v>8</v>
      </c>
      <c r="P23" s="69">
        <v>9</v>
      </c>
      <c r="Q23" s="69">
        <v>10</v>
      </c>
    </row>
    <row r="24" spans="3:17" x14ac:dyDescent="0.25">
      <c r="F24" s="23" cm="1">
        <f t="array" ref="F24:F31">TRANSPOSE(H23:O23)</f>
        <v>1</v>
      </c>
      <c r="G24" s="101" cm="1">
        <f t="array" ref="G24:G31">TRANSPOSE(H5:O5)</f>
        <v>200</v>
      </c>
      <c r="H24" s="43">
        <f>-IF(H$23&lt;$F24,0,IF(H$23&lt;$F24+$E$18,($G24*(1-$E$19))/$E$18,0))</f>
        <v>-22.5</v>
      </c>
      <c r="I24" s="43">
        <f t="shared" ref="H24:Q31" si="8">-IF(I$23&lt;$F24,0,IF(I$23&lt;$F24+$E$18,($G24*(1-$E$19))/$E$18,0))</f>
        <v>-22.5</v>
      </c>
      <c r="J24" s="43">
        <f t="shared" si="8"/>
        <v>-22.5</v>
      </c>
      <c r="K24" s="43">
        <f t="shared" si="8"/>
        <v>-22.5</v>
      </c>
      <c r="L24" s="43">
        <f t="shared" si="8"/>
        <v>-22.5</v>
      </c>
      <c r="M24" s="43">
        <f t="shared" si="8"/>
        <v>-22.5</v>
      </c>
      <c r="N24" s="43">
        <f t="shared" si="8"/>
        <v>-22.5</v>
      </c>
      <c r="O24" s="43">
        <f t="shared" si="8"/>
        <v>-22.5</v>
      </c>
      <c r="P24" s="43">
        <f t="shared" si="8"/>
        <v>0</v>
      </c>
      <c r="Q24" s="43">
        <f t="shared" si="8"/>
        <v>0</v>
      </c>
    </row>
    <row r="25" spans="3:17" x14ac:dyDescent="0.25">
      <c r="F25" s="23">
        <v>2</v>
      </c>
      <c r="G25" s="101">
        <v>50</v>
      </c>
      <c r="H25" s="43">
        <f>-IF(H$23&lt;$F25,0,IF(H$23&lt;$F25+$E$18,($G25*(1-$E$19))/$E$18,0))</f>
        <v>0</v>
      </c>
      <c r="I25" s="43">
        <f t="shared" si="8"/>
        <v>-5.625</v>
      </c>
      <c r="J25" s="43">
        <f t="shared" si="8"/>
        <v>-5.625</v>
      </c>
      <c r="K25" s="43">
        <f t="shared" si="8"/>
        <v>-5.625</v>
      </c>
      <c r="L25" s="43">
        <f t="shared" si="8"/>
        <v>-5.625</v>
      </c>
      <c r="M25" s="43">
        <f t="shared" si="8"/>
        <v>-5.625</v>
      </c>
      <c r="N25" s="43">
        <f t="shared" si="8"/>
        <v>-5.625</v>
      </c>
      <c r="O25" s="43">
        <f t="shared" si="8"/>
        <v>-5.625</v>
      </c>
      <c r="P25" s="43">
        <f t="shared" si="8"/>
        <v>-5.625</v>
      </c>
      <c r="Q25" s="43">
        <f t="shared" si="8"/>
        <v>0</v>
      </c>
    </row>
    <row r="26" spans="3:17" x14ac:dyDescent="0.25">
      <c r="F26" s="23">
        <v>3</v>
      </c>
      <c r="G26" s="101">
        <v>40</v>
      </c>
      <c r="H26" s="43">
        <f t="shared" si="8"/>
        <v>0</v>
      </c>
      <c r="I26" s="43">
        <f t="shared" si="8"/>
        <v>0</v>
      </c>
      <c r="J26" s="43">
        <f t="shared" si="8"/>
        <v>-4.5</v>
      </c>
      <c r="K26" s="43">
        <f t="shared" si="8"/>
        <v>-4.5</v>
      </c>
      <c r="L26" s="43">
        <f t="shared" si="8"/>
        <v>-4.5</v>
      </c>
      <c r="M26" s="43">
        <f t="shared" si="8"/>
        <v>-4.5</v>
      </c>
      <c r="N26" s="43">
        <f t="shared" si="8"/>
        <v>-4.5</v>
      </c>
      <c r="O26" s="43">
        <f t="shared" si="8"/>
        <v>-4.5</v>
      </c>
      <c r="P26" s="43">
        <f t="shared" si="8"/>
        <v>-4.5</v>
      </c>
      <c r="Q26" s="43">
        <f t="shared" si="8"/>
        <v>-4.5</v>
      </c>
    </row>
    <row r="27" spans="3:17" x14ac:dyDescent="0.25">
      <c r="F27" s="23">
        <v>4</v>
      </c>
      <c r="G27" s="101">
        <v>30</v>
      </c>
      <c r="H27" s="43">
        <f t="shared" si="8"/>
        <v>0</v>
      </c>
      <c r="I27" s="43">
        <f t="shared" si="8"/>
        <v>0</v>
      </c>
      <c r="J27" s="43">
        <f t="shared" si="8"/>
        <v>0</v>
      </c>
      <c r="K27" s="43">
        <f t="shared" si="8"/>
        <v>-3.375</v>
      </c>
      <c r="L27" s="43">
        <f t="shared" si="8"/>
        <v>-3.375</v>
      </c>
      <c r="M27" s="43">
        <f t="shared" si="8"/>
        <v>-3.375</v>
      </c>
      <c r="N27" s="43">
        <f t="shared" si="8"/>
        <v>-3.375</v>
      </c>
      <c r="O27" s="43">
        <f t="shared" si="8"/>
        <v>-3.375</v>
      </c>
      <c r="P27" s="43">
        <f t="shared" si="8"/>
        <v>-3.375</v>
      </c>
      <c r="Q27" s="43">
        <f t="shared" si="8"/>
        <v>-3.375</v>
      </c>
    </row>
    <row r="28" spans="3:17" x14ac:dyDescent="0.25">
      <c r="F28" s="23">
        <v>5</v>
      </c>
      <c r="G28" s="101">
        <v>70</v>
      </c>
      <c r="H28" s="43">
        <f t="shared" si="8"/>
        <v>0</v>
      </c>
      <c r="I28" s="43">
        <f t="shared" si="8"/>
        <v>0</v>
      </c>
      <c r="J28" s="43">
        <f t="shared" si="8"/>
        <v>0</v>
      </c>
      <c r="K28" s="43">
        <f t="shared" si="8"/>
        <v>0</v>
      </c>
      <c r="L28" s="43">
        <f t="shared" si="8"/>
        <v>-7.875</v>
      </c>
      <c r="M28" s="43">
        <f t="shared" si="8"/>
        <v>-7.875</v>
      </c>
      <c r="N28" s="43">
        <f t="shared" si="8"/>
        <v>-7.875</v>
      </c>
      <c r="O28" s="43">
        <f t="shared" si="8"/>
        <v>-7.875</v>
      </c>
      <c r="P28" s="43">
        <f t="shared" si="8"/>
        <v>-7.875</v>
      </c>
      <c r="Q28" s="43">
        <f t="shared" si="8"/>
        <v>-7.875</v>
      </c>
    </row>
    <row r="29" spans="3:17" x14ac:dyDescent="0.25">
      <c r="F29" s="23">
        <v>6</v>
      </c>
      <c r="G29" s="101">
        <v>85</v>
      </c>
      <c r="H29" s="43">
        <f t="shared" si="8"/>
        <v>0</v>
      </c>
      <c r="I29" s="43">
        <f t="shared" si="8"/>
        <v>0</v>
      </c>
      <c r="J29" s="43">
        <f t="shared" si="8"/>
        <v>0</v>
      </c>
      <c r="K29" s="43">
        <f t="shared" si="8"/>
        <v>0</v>
      </c>
      <c r="L29" s="43">
        <f t="shared" si="8"/>
        <v>0</v>
      </c>
      <c r="M29" s="43">
        <f t="shared" si="8"/>
        <v>-9.5625</v>
      </c>
      <c r="N29" s="43">
        <f t="shared" si="8"/>
        <v>-9.5625</v>
      </c>
      <c r="O29" s="43">
        <f t="shared" si="8"/>
        <v>-9.5625</v>
      </c>
      <c r="P29" s="43">
        <f t="shared" si="8"/>
        <v>-9.5625</v>
      </c>
      <c r="Q29" s="43">
        <f t="shared" si="8"/>
        <v>-9.5625</v>
      </c>
    </row>
    <row r="30" spans="3:17" x14ac:dyDescent="0.25">
      <c r="F30" s="23">
        <v>7</v>
      </c>
      <c r="G30" s="101">
        <v>90</v>
      </c>
      <c r="H30" s="43">
        <f t="shared" si="8"/>
        <v>0</v>
      </c>
      <c r="I30" s="43">
        <f t="shared" si="8"/>
        <v>0</v>
      </c>
      <c r="J30" s="43">
        <f t="shared" si="8"/>
        <v>0</v>
      </c>
      <c r="K30" s="43">
        <f t="shared" si="8"/>
        <v>0</v>
      </c>
      <c r="L30" s="43">
        <f t="shared" si="8"/>
        <v>0</v>
      </c>
      <c r="M30" s="43">
        <f t="shared" si="8"/>
        <v>0</v>
      </c>
      <c r="N30" s="43">
        <f t="shared" si="8"/>
        <v>-10.125</v>
      </c>
      <c r="O30" s="43">
        <f t="shared" si="8"/>
        <v>-10.125</v>
      </c>
      <c r="P30" s="43">
        <f t="shared" si="8"/>
        <v>-10.125</v>
      </c>
      <c r="Q30" s="43">
        <f t="shared" si="8"/>
        <v>-10.125</v>
      </c>
    </row>
    <row r="31" spans="3:17" x14ac:dyDescent="0.25">
      <c r="F31" s="23">
        <v>8</v>
      </c>
      <c r="G31" s="101">
        <v>40</v>
      </c>
      <c r="H31" s="43">
        <f t="shared" si="8"/>
        <v>0</v>
      </c>
      <c r="I31" s="43">
        <f t="shared" si="8"/>
        <v>0</v>
      </c>
      <c r="J31" s="43">
        <f t="shared" si="8"/>
        <v>0</v>
      </c>
      <c r="K31" s="43">
        <f t="shared" si="8"/>
        <v>0</v>
      </c>
      <c r="L31" s="43">
        <f t="shared" si="8"/>
        <v>0</v>
      </c>
      <c r="M31" s="43">
        <f t="shared" si="8"/>
        <v>0</v>
      </c>
      <c r="N31" s="43">
        <f t="shared" si="8"/>
        <v>0</v>
      </c>
      <c r="O31" s="43">
        <f t="shared" si="8"/>
        <v>-4.5</v>
      </c>
      <c r="P31" s="43">
        <f t="shared" si="8"/>
        <v>-4.5</v>
      </c>
      <c r="Q31" s="43">
        <f t="shared" si="8"/>
        <v>-4.5</v>
      </c>
    </row>
    <row r="32" spans="3:17" x14ac:dyDescent="0.25">
      <c r="D32" s="24" t="s">
        <v>140</v>
      </c>
      <c r="E32" s="24"/>
      <c r="F32" s="24"/>
      <c r="G32" s="24"/>
      <c r="H32" s="107">
        <f>SUM(H24:H31)</f>
        <v>-22.5</v>
      </c>
      <c r="I32" s="107">
        <f t="shared" ref="I32:O32" si="9">SUM(I24:I31)</f>
        <v>-28.125</v>
      </c>
      <c r="J32" s="107">
        <f t="shared" si="9"/>
        <v>-32.625</v>
      </c>
      <c r="K32" s="107">
        <f t="shared" si="9"/>
        <v>-36</v>
      </c>
      <c r="L32" s="107">
        <f t="shared" si="9"/>
        <v>-43.875</v>
      </c>
      <c r="M32" s="107">
        <f t="shared" si="9"/>
        <v>-53.4375</v>
      </c>
      <c r="N32" s="107">
        <f t="shared" si="9"/>
        <v>-63.5625</v>
      </c>
      <c r="O32" s="107">
        <f t="shared" si="9"/>
        <v>-68.0625</v>
      </c>
      <c r="P32" s="107">
        <f t="shared" ref="P32" si="10">SUM(P24:P31)</f>
        <v>-45.5625</v>
      </c>
      <c r="Q32" s="107">
        <f t="shared" ref="Q32" si="11">SUM(Q24:Q31)</f>
        <v>-39.9375</v>
      </c>
    </row>
    <row r="33" spans="8:15" x14ac:dyDescent="0.25">
      <c r="H33" s="43"/>
      <c r="I33" s="43"/>
      <c r="J33" s="43"/>
      <c r="K33" s="43"/>
      <c r="L33" s="43"/>
      <c r="M33" s="43"/>
      <c r="N33" s="43"/>
      <c r="O33" s="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4022-7020-49EF-9815-CB563E9CED9B}">
  <dimension ref="A1:O35"/>
  <sheetViews>
    <sheetView showGridLines="0" zoomScale="115" zoomScaleNormal="115" workbookViewId="0">
      <selection activeCell="B2" sqref="B2"/>
    </sheetView>
  </sheetViews>
  <sheetFormatPr defaultRowHeight="15.65" x14ac:dyDescent="0.25"/>
  <cols>
    <col min="1" max="1" width="1.5" style="22" customWidth="1"/>
    <col min="2" max="2" width="24.87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2035</v>
      </c>
      <c r="J5" s="79">
        <f>+I5+D20</f>
        <v>2070</v>
      </c>
      <c r="K5" s="59"/>
      <c r="M5" s="24" t="s">
        <v>44</v>
      </c>
      <c r="N5" s="34">
        <f>C20</f>
        <v>35</v>
      </c>
      <c r="O5" s="34">
        <f>D20</f>
        <v>35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35"/>
      <c r="G8" s="93" t="s">
        <v>109</v>
      </c>
      <c r="H8" s="93">
        <v>0</v>
      </c>
      <c r="I8" s="117">
        <f>+H8+C23</f>
        <v>100</v>
      </c>
      <c r="J8" s="117">
        <f>+I8+D23</f>
        <v>90</v>
      </c>
      <c r="K8" s="62"/>
      <c r="M8" s="35"/>
      <c r="N8" s="34"/>
      <c r="O8" s="34"/>
    </row>
    <row r="9" spans="2:15" x14ac:dyDescent="0.25">
      <c r="B9" s="12"/>
      <c r="C9" s="14"/>
      <c r="D9" s="14"/>
      <c r="F9" s="41" t="s">
        <v>40</v>
      </c>
      <c r="G9" s="95"/>
      <c r="H9" s="94">
        <f>H8</f>
        <v>0</v>
      </c>
      <c r="I9" s="94">
        <f t="shared" ref="I9:J9" si="3">I8</f>
        <v>100</v>
      </c>
      <c r="J9" s="94">
        <f t="shared" si="3"/>
        <v>90</v>
      </c>
      <c r="K9" s="62"/>
      <c r="M9" s="35" t="s">
        <v>122</v>
      </c>
      <c r="N9" s="37">
        <f t="shared" ref="N9:O11" si="4">H26-I26</f>
        <v>0</v>
      </c>
      <c r="O9" s="37">
        <f t="shared" si="4"/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8" t="s">
        <v>89</v>
      </c>
      <c r="G11" s="59"/>
      <c r="H11" s="62"/>
      <c r="I11" s="61"/>
      <c r="J11" s="61"/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115</v>
      </c>
      <c r="N12" s="36">
        <f t="shared" ref="N12:O14" si="5">I12-H12</f>
        <v>0</v>
      </c>
      <c r="O12" s="36">
        <f t="shared" si="5"/>
        <v>0</v>
      </c>
    </row>
    <row r="13" spans="2:15" x14ac:dyDescent="0.25">
      <c r="B13" s="12"/>
      <c r="C13" s="13"/>
      <c r="D13" s="13"/>
      <c r="F13" s="59"/>
      <c r="G13" s="59" t="s">
        <v>114</v>
      </c>
      <c r="H13" s="88">
        <v>0</v>
      </c>
      <c r="I13" s="88">
        <v>0</v>
      </c>
      <c r="J13" s="61">
        <v>0</v>
      </c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9"/>
      <c r="G14" s="59" t="s">
        <v>119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x14ac:dyDescent="0.25">
      <c r="B15" s="12"/>
      <c r="C15" s="13"/>
      <c r="D15" s="13"/>
      <c r="F15" s="41" t="s">
        <v>37</v>
      </c>
      <c r="G15" s="95"/>
      <c r="H15" s="94">
        <f>SUM(H12:H14)</f>
        <v>0</v>
      </c>
      <c r="I15" s="94">
        <f t="shared" ref="I15:J15" si="6">SUM(I12:I14)</f>
        <v>0</v>
      </c>
      <c r="J15" s="94">
        <f t="shared" si="6"/>
        <v>0</v>
      </c>
      <c r="K15" s="78"/>
      <c r="M15" s="46" t="s">
        <v>48</v>
      </c>
      <c r="N15" s="34">
        <f>SUM(N5:N14)</f>
        <v>135</v>
      </c>
      <c r="O15" s="34">
        <f>SUM(O5:O14)</f>
        <v>135</v>
      </c>
    </row>
    <row r="16" spans="2:15" x14ac:dyDescent="0.25">
      <c r="B16" s="5" t="s">
        <v>3</v>
      </c>
      <c r="C16" s="6">
        <v>-50</v>
      </c>
      <c r="D16" s="6">
        <v>-50</v>
      </c>
      <c r="K16" s="59"/>
      <c r="M16" s="35"/>
      <c r="N16" s="36"/>
      <c r="O16" s="36"/>
    </row>
    <row r="17" spans="1:15" ht="16.3" thickBot="1" x14ac:dyDescent="0.3">
      <c r="B17" s="5" t="s">
        <v>4</v>
      </c>
      <c r="C17" s="6">
        <v>0</v>
      </c>
      <c r="D17" s="6">
        <v>0</v>
      </c>
      <c r="F17" s="64"/>
      <c r="G17" s="65" t="s">
        <v>91</v>
      </c>
      <c r="H17" s="66">
        <f>H15+H9+H5</f>
        <v>2000</v>
      </c>
      <c r="I17" s="66">
        <f>I15+I9+I5</f>
        <v>2135</v>
      </c>
      <c r="J17" s="66">
        <f>J15+J9+J5</f>
        <v>2160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50</v>
      </c>
      <c r="D18" s="9">
        <f>SUM(D14:D17,D11)</f>
        <v>50</v>
      </c>
      <c r="F18" s="59"/>
      <c r="G18" s="59"/>
      <c r="H18" s="59"/>
      <c r="I18" s="59"/>
      <c r="J18" s="59"/>
      <c r="K18" s="67"/>
      <c r="M18" s="35" t="s">
        <v>125</v>
      </c>
      <c r="N18" s="83">
        <f>H20-I20</f>
        <v>0</v>
      </c>
      <c r="O18" s="84">
        <f>I20-J20</f>
        <v>0</v>
      </c>
    </row>
    <row r="19" spans="1:15" x14ac:dyDescent="0.25">
      <c r="B19" s="5" t="s">
        <v>5</v>
      </c>
      <c r="C19" s="6">
        <f>-C18*30%</f>
        <v>-15</v>
      </c>
      <c r="D19" s="6">
        <f>-D18*30%</f>
        <v>-15</v>
      </c>
      <c r="F19" s="58" t="s">
        <v>93</v>
      </c>
      <c r="G19" s="59"/>
      <c r="H19" s="88"/>
      <c r="I19" s="88"/>
      <c r="J19" s="88"/>
      <c r="K19" s="59"/>
      <c r="M19" s="46" t="s">
        <v>51</v>
      </c>
      <c r="N19" s="85">
        <f>SUM(N18)</f>
        <v>0</v>
      </c>
      <c r="O19" s="85">
        <f t="shared" ref="O19" si="7">SUM(O18)</f>
        <v>0</v>
      </c>
    </row>
    <row r="20" spans="1:15" ht="16.3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8"/>
      <c r="G20" s="59" t="s">
        <v>126</v>
      </c>
      <c r="H20" s="89">
        <v>1000</v>
      </c>
      <c r="I20" s="89">
        <v>1000</v>
      </c>
      <c r="J20" s="89">
        <v>1000</v>
      </c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/>
      <c r="G21" s="59" t="s">
        <v>127</v>
      </c>
      <c r="H21" s="89">
        <v>0</v>
      </c>
      <c r="I21" s="89">
        <f>+H21+C14</f>
        <v>-100</v>
      </c>
      <c r="J21" s="89">
        <f>+I21+D14</f>
        <v>-200</v>
      </c>
      <c r="K21" s="63"/>
      <c r="L21" s="49" t="s">
        <v>71</v>
      </c>
      <c r="M21" s="49"/>
      <c r="N21" s="49"/>
      <c r="O21" s="49"/>
    </row>
    <row r="22" spans="1:15" x14ac:dyDescent="0.25">
      <c r="A22"/>
      <c r="F22" s="87"/>
      <c r="G22" s="87" t="s">
        <v>128</v>
      </c>
      <c r="H22" s="90">
        <f>H20+H21</f>
        <v>1000</v>
      </c>
      <c r="I22" s="90">
        <f t="shared" ref="I22:J22" si="8">I20+I21</f>
        <v>900</v>
      </c>
      <c r="J22" s="90">
        <f t="shared" si="8"/>
        <v>800</v>
      </c>
      <c r="K22" s="62"/>
      <c r="L22" s="92"/>
      <c r="M22" s="35" t="s">
        <v>132</v>
      </c>
      <c r="N22" s="118">
        <f>I8-H8</f>
        <v>100</v>
      </c>
      <c r="O22" s="118">
        <f>J8-I8</f>
        <v>-10</v>
      </c>
    </row>
    <row r="23" spans="1:15" x14ac:dyDescent="0.25">
      <c r="A23"/>
      <c r="B23" s="5" t="s">
        <v>152</v>
      </c>
      <c r="C23" s="86">
        <v>100</v>
      </c>
      <c r="D23" s="86">
        <v>-10</v>
      </c>
      <c r="F23" s="58"/>
      <c r="G23" s="59"/>
      <c r="H23" s="88"/>
      <c r="I23" s="88"/>
      <c r="J23" s="88"/>
      <c r="K23" s="71"/>
      <c r="L23" s="92"/>
      <c r="M23" s="35"/>
      <c r="N23" s="40"/>
      <c r="O23" s="36"/>
    </row>
    <row r="24" spans="1:15" x14ac:dyDescent="0.25">
      <c r="A24"/>
      <c r="B24" s="5"/>
      <c r="C24" s="6"/>
      <c r="D24" s="6"/>
      <c r="F24" s="59"/>
      <c r="G24" s="59"/>
      <c r="H24" s="59"/>
      <c r="I24" s="59"/>
      <c r="J24" s="59"/>
      <c r="L24" s="92"/>
      <c r="M24" s="46" t="s">
        <v>131</v>
      </c>
      <c r="N24" s="47">
        <f>SUM(N22:N23)</f>
        <v>100</v>
      </c>
      <c r="O24" s="47">
        <f>SUM(O22:O23)</f>
        <v>-10</v>
      </c>
    </row>
    <row r="25" spans="1:15" x14ac:dyDescent="0.25">
      <c r="A25"/>
      <c r="B25" s="5"/>
      <c r="C25" s="6"/>
      <c r="D25" s="6"/>
      <c r="F25" s="58" t="s">
        <v>95</v>
      </c>
      <c r="G25" s="59"/>
      <c r="H25" s="88"/>
      <c r="I25" s="88"/>
      <c r="J25" s="88"/>
    </row>
    <row r="26" spans="1:15" x14ac:dyDescent="0.25">
      <c r="B26" s="5"/>
      <c r="C26" s="6"/>
      <c r="D26" s="6"/>
      <c r="F26" s="58"/>
      <c r="G26" s="59" t="s">
        <v>121</v>
      </c>
      <c r="H26" s="88">
        <v>0</v>
      </c>
      <c r="I26" s="88">
        <f>C26</f>
        <v>0</v>
      </c>
      <c r="J26" s="88">
        <f>D26</f>
        <v>0</v>
      </c>
      <c r="M26" s="24" t="s">
        <v>52</v>
      </c>
      <c r="N26" s="34">
        <f>N19+N15+N24</f>
        <v>235</v>
      </c>
      <c r="O26" s="34">
        <f>O19+O15+O24</f>
        <v>125</v>
      </c>
    </row>
    <row r="27" spans="1:15" x14ac:dyDescent="0.25">
      <c r="B27" s="5"/>
      <c r="C27" s="6"/>
      <c r="D27" s="6"/>
      <c r="F27" s="59"/>
      <c r="G27" s="68" t="s">
        <v>108</v>
      </c>
      <c r="H27" s="88">
        <v>0</v>
      </c>
      <c r="I27" s="88">
        <v>0</v>
      </c>
      <c r="J27" s="88">
        <v>0</v>
      </c>
    </row>
    <row r="28" spans="1:15" x14ac:dyDescent="0.25">
      <c r="B28" s="5"/>
      <c r="C28" s="6"/>
      <c r="D28" s="6"/>
      <c r="F28" s="59"/>
      <c r="G28" s="68" t="s">
        <v>117</v>
      </c>
      <c r="H28" s="88">
        <v>0</v>
      </c>
      <c r="I28" s="88">
        <v>0</v>
      </c>
      <c r="J28" s="88">
        <v>0</v>
      </c>
    </row>
    <row r="29" spans="1:15" x14ac:dyDescent="0.25">
      <c r="B29" s="5"/>
      <c r="C29" s="6"/>
      <c r="D29" s="6"/>
      <c r="F29" s="59"/>
      <c r="G29" s="68" t="s">
        <v>99</v>
      </c>
      <c r="H29" s="88">
        <v>1000</v>
      </c>
      <c r="I29" s="88">
        <f>+H29+N26</f>
        <v>1235</v>
      </c>
      <c r="J29" s="88">
        <f>+I29+O26</f>
        <v>1360</v>
      </c>
    </row>
    <row r="30" spans="1:15" x14ac:dyDescent="0.25">
      <c r="F30" s="87"/>
      <c r="G30" s="87" t="s">
        <v>130</v>
      </c>
      <c r="H30" s="90">
        <f>SUM(H26:H29)</f>
        <v>1000</v>
      </c>
      <c r="I30" s="90">
        <f t="shared" ref="I30:J30" si="9">SUM(I26:I29)</f>
        <v>1235</v>
      </c>
      <c r="J30" s="90">
        <f t="shared" si="9"/>
        <v>1360</v>
      </c>
    </row>
    <row r="31" spans="1:15" x14ac:dyDescent="0.25">
      <c r="F31" s="59"/>
      <c r="G31" s="68"/>
      <c r="H31" s="88"/>
      <c r="I31" s="88"/>
      <c r="J31" s="88"/>
    </row>
    <row r="32" spans="1:15" ht="16.3" thickBot="1" x14ac:dyDescent="0.3">
      <c r="F32" s="64"/>
      <c r="G32" s="65" t="s">
        <v>91</v>
      </c>
      <c r="H32" s="66">
        <f t="shared" ref="H32:J32" si="10">+H30+H22</f>
        <v>2000</v>
      </c>
      <c r="I32" s="66">
        <f t="shared" si="10"/>
        <v>2135</v>
      </c>
      <c r="J32" s="66">
        <f t="shared" si="10"/>
        <v>2160</v>
      </c>
    </row>
    <row r="34" spans="7:10" x14ac:dyDescent="0.25">
      <c r="G34" s="72" t="s">
        <v>98</v>
      </c>
      <c r="H34" s="71" t="str">
        <f>IF(H17&lt;&gt;H32,"Error","Tallied")</f>
        <v>Tallied</v>
      </c>
      <c r="I34" s="71" t="str">
        <f>IF(I17&lt;&gt;I32,"Error","Tallied")</f>
        <v>Tallied</v>
      </c>
      <c r="J34" s="71" t="str">
        <f>IF(J17&lt;&gt;J32,"Error","Tallied")</f>
        <v>Tallied</v>
      </c>
    </row>
    <row r="35" spans="7:10" x14ac:dyDescent="0.25">
      <c r="H35" s="73"/>
      <c r="I35" s="73"/>
    </row>
  </sheetData>
  <conditionalFormatting sqref="N18:O18">
    <cfRule type="cellIs" dxfId="3" priority="1" operator="not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43E4-50F9-40F7-B9BB-A46BDAD5C577}">
  <dimension ref="A1:O35"/>
  <sheetViews>
    <sheetView showGridLines="0" zoomScale="115" zoomScaleNormal="115" workbookViewId="0"/>
  </sheetViews>
  <sheetFormatPr defaultRowHeight="15.65" x14ac:dyDescent="0.25"/>
  <cols>
    <col min="1" max="1" width="1.5" style="22" customWidth="1"/>
    <col min="2" max="2" width="26.1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+H5+C20+C23+C25</f>
        <v>2135</v>
      </c>
      <c r="J5" s="79">
        <f>+I5+D20+D23+D25</f>
        <v>2155</v>
      </c>
      <c r="K5" s="59"/>
      <c r="M5" s="24" t="s">
        <v>44</v>
      </c>
      <c r="N5" s="34">
        <f>C20</f>
        <v>35</v>
      </c>
      <c r="O5" s="34">
        <f>D20</f>
        <v>35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35"/>
      <c r="G8" s="93" t="s">
        <v>109</v>
      </c>
      <c r="H8" s="93">
        <v>0</v>
      </c>
      <c r="I8" s="93">
        <v>0</v>
      </c>
      <c r="J8" s="93">
        <v>0</v>
      </c>
      <c r="K8" s="62"/>
      <c r="M8" s="35"/>
      <c r="N8" s="34"/>
      <c r="O8" s="34"/>
    </row>
    <row r="9" spans="2:15" x14ac:dyDescent="0.25">
      <c r="B9" s="12"/>
      <c r="C9" s="14"/>
      <c r="D9" s="14"/>
      <c r="F9" s="41" t="s">
        <v>40</v>
      </c>
      <c r="G9" s="95"/>
      <c r="H9" s="94">
        <f>H8</f>
        <v>0</v>
      </c>
      <c r="I9" s="94">
        <f t="shared" ref="I9:J9" si="3">I8</f>
        <v>0</v>
      </c>
      <c r="J9" s="94">
        <f t="shared" si="3"/>
        <v>0</v>
      </c>
      <c r="K9" s="62"/>
      <c r="M9" s="35" t="s">
        <v>122</v>
      </c>
      <c r="N9" s="37">
        <f t="shared" ref="N9:O11" si="4">H26-I26</f>
        <v>0</v>
      </c>
      <c r="O9" s="37">
        <f t="shared" si="4"/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58" t="s">
        <v>89</v>
      </c>
      <c r="G11" s="59"/>
      <c r="H11" s="62"/>
      <c r="I11" s="61"/>
      <c r="J11" s="61"/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115</v>
      </c>
      <c r="N12" s="36">
        <f t="shared" ref="N12:O14" si="5">I12-H12</f>
        <v>0</v>
      </c>
      <c r="O12" s="36">
        <f t="shared" si="5"/>
        <v>0</v>
      </c>
    </row>
    <row r="13" spans="2:15" x14ac:dyDescent="0.25">
      <c r="B13" s="12"/>
      <c r="C13" s="13"/>
      <c r="D13" s="13"/>
      <c r="F13" s="59"/>
      <c r="G13" s="59" t="s">
        <v>114</v>
      </c>
      <c r="H13" s="88">
        <v>0</v>
      </c>
      <c r="I13" s="88">
        <v>0</v>
      </c>
      <c r="J13" s="61">
        <v>0</v>
      </c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9"/>
      <c r="G14" s="59" t="s">
        <v>119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x14ac:dyDescent="0.25">
      <c r="B15" s="12"/>
      <c r="C15" s="13"/>
      <c r="D15" s="13"/>
      <c r="F15" s="41" t="s">
        <v>37</v>
      </c>
      <c r="G15" s="95"/>
      <c r="H15" s="94">
        <f>SUM(H12:H14)</f>
        <v>0</v>
      </c>
      <c r="I15" s="94">
        <f t="shared" ref="I15:J15" si="6">SUM(I12:I14)</f>
        <v>0</v>
      </c>
      <c r="J15" s="94">
        <f t="shared" si="6"/>
        <v>0</v>
      </c>
      <c r="K15" s="78"/>
      <c r="M15" s="46" t="s">
        <v>48</v>
      </c>
      <c r="N15" s="34">
        <f>SUM(N5:N14)</f>
        <v>135</v>
      </c>
      <c r="O15" s="34">
        <f>SUM(O5:O14)</f>
        <v>135</v>
      </c>
    </row>
    <row r="16" spans="2:15" x14ac:dyDescent="0.25">
      <c r="B16" s="5" t="s">
        <v>3</v>
      </c>
      <c r="C16" s="6">
        <v>-50</v>
      </c>
      <c r="D16" s="6">
        <v>-50</v>
      </c>
      <c r="K16" s="59"/>
      <c r="M16" s="35"/>
      <c r="N16" s="36"/>
      <c r="O16" s="36"/>
    </row>
    <row r="17" spans="1:15" ht="16.3" thickBot="1" x14ac:dyDescent="0.3">
      <c r="B17" s="5" t="s">
        <v>4</v>
      </c>
      <c r="C17" s="6">
        <v>0</v>
      </c>
      <c r="D17" s="6">
        <v>0</v>
      </c>
      <c r="F17" s="64"/>
      <c r="G17" s="65" t="s">
        <v>91</v>
      </c>
      <c r="H17" s="66">
        <f>H15+H9+H5</f>
        <v>2000</v>
      </c>
      <c r="I17" s="66">
        <f>I15+I9+I5</f>
        <v>2135</v>
      </c>
      <c r="J17" s="66">
        <f>J15+J9+J5</f>
        <v>2155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50</v>
      </c>
      <c r="D18" s="9">
        <f>SUM(D14:D17,D11)</f>
        <v>50</v>
      </c>
      <c r="F18" s="59"/>
      <c r="G18" s="59"/>
      <c r="H18" s="59"/>
      <c r="I18" s="59"/>
      <c r="J18" s="59"/>
      <c r="K18" s="67"/>
      <c r="M18" s="35" t="s">
        <v>125</v>
      </c>
      <c r="N18" s="83">
        <f>H20-I20</f>
        <v>0</v>
      </c>
      <c r="O18" s="84">
        <f>I20-J20</f>
        <v>0</v>
      </c>
    </row>
    <row r="19" spans="1:15" x14ac:dyDescent="0.25">
      <c r="B19" s="5" t="s">
        <v>5</v>
      </c>
      <c r="C19" s="6">
        <f>-C18*30%</f>
        <v>-15</v>
      </c>
      <c r="D19" s="6">
        <f>-D18*30%</f>
        <v>-15</v>
      </c>
      <c r="F19" s="58" t="s">
        <v>93</v>
      </c>
      <c r="G19" s="59"/>
      <c r="H19" s="88"/>
      <c r="I19" s="88"/>
      <c r="J19" s="88"/>
      <c r="K19" s="59"/>
      <c r="M19" s="46" t="s">
        <v>51</v>
      </c>
      <c r="N19" s="85">
        <f>SUM(N18)</f>
        <v>0</v>
      </c>
      <c r="O19" s="85">
        <f t="shared" ref="O19" si="7">SUM(O18)</f>
        <v>0</v>
      </c>
    </row>
    <row r="20" spans="1:15" ht="16.3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8"/>
      <c r="G20" s="59" t="s">
        <v>126</v>
      </c>
      <c r="H20" s="89">
        <v>1000</v>
      </c>
      <c r="I20" s="89">
        <v>1000</v>
      </c>
      <c r="J20" s="89">
        <v>1000</v>
      </c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/>
      <c r="G21" s="59" t="s">
        <v>127</v>
      </c>
      <c r="H21" s="89">
        <v>0</v>
      </c>
      <c r="I21" s="89">
        <f>+H21+C14</f>
        <v>-100</v>
      </c>
      <c r="J21" s="89">
        <f>+I21+D14</f>
        <v>-200</v>
      </c>
      <c r="K21" s="63"/>
      <c r="L21" s="49" t="s">
        <v>71</v>
      </c>
      <c r="M21" s="49"/>
      <c r="N21" s="49"/>
      <c r="O21" s="49"/>
    </row>
    <row r="22" spans="1:15" x14ac:dyDescent="0.25">
      <c r="A22"/>
      <c r="F22" s="87"/>
      <c r="G22" s="87" t="s">
        <v>128</v>
      </c>
      <c r="H22" s="90">
        <f>H20+H21</f>
        <v>1000</v>
      </c>
      <c r="I22" s="90">
        <f t="shared" ref="I22:J22" si="8">I20+I21</f>
        <v>900</v>
      </c>
      <c r="J22" s="90">
        <f t="shared" si="8"/>
        <v>800</v>
      </c>
      <c r="K22" s="62"/>
      <c r="L22" s="92"/>
      <c r="M22" s="35" t="s">
        <v>132</v>
      </c>
      <c r="N22" s="36">
        <f>I8-H8</f>
        <v>0</v>
      </c>
      <c r="O22" s="36">
        <f>J8-I8</f>
        <v>0</v>
      </c>
    </row>
    <row r="23" spans="1:15" x14ac:dyDescent="0.25">
      <c r="A23"/>
      <c r="B23" s="5" t="s">
        <v>154</v>
      </c>
      <c r="C23" s="86">
        <v>100</v>
      </c>
      <c r="D23" s="86">
        <v>-10</v>
      </c>
      <c r="F23" s="58"/>
      <c r="G23" s="59"/>
      <c r="H23" s="88"/>
      <c r="I23" s="88"/>
      <c r="J23" s="88"/>
      <c r="K23" s="71"/>
      <c r="L23" s="92"/>
      <c r="M23" s="35"/>
      <c r="N23" s="36"/>
      <c r="O23" s="36"/>
    </row>
    <row r="24" spans="1:15" x14ac:dyDescent="0.25">
      <c r="A24"/>
      <c r="B24" s="5"/>
      <c r="C24" s="6"/>
      <c r="D24" s="6"/>
      <c r="F24" s="59"/>
      <c r="G24" s="59"/>
      <c r="H24" s="59"/>
      <c r="I24" s="59"/>
      <c r="J24" s="59"/>
      <c r="L24" s="92"/>
      <c r="M24" s="35" t="s">
        <v>156</v>
      </c>
      <c r="N24" s="118">
        <f t="shared" ref="N24:O24" si="9">C23</f>
        <v>100</v>
      </c>
      <c r="O24" s="118">
        <f t="shared" si="9"/>
        <v>-10</v>
      </c>
    </row>
    <row r="25" spans="1:15" x14ac:dyDescent="0.25">
      <c r="A25"/>
      <c r="B25" s="5" t="s">
        <v>155</v>
      </c>
      <c r="C25" s="86">
        <v>0</v>
      </c>
      <c r="D25" s="86">
        <v>-5</v>
      </c>
      <c r="F25" s="58" t="s">
        <v>95</v>
      </c>
      <c r="G25" s="59"/>
      <c r="H25" s="88"/>
      <c r="I25" s="88"/>
      <c r="J25" s="88"/>
      <c r="L25" s="92"/>
      <c r="M25" s="35" t="s">
        <v>157</v>
      </c>
      <c r="N25" s="118">
        <f t="shared" ref="N25:O25" si="10">C25</f>
        <v>0</v>
      </c>
      <c r="O25" s="118">
        <f t="shared" si="10"/>
        <v>-5</v>
      </c>
    </row>
    <row r="26" spans="1:15" x14ac:dyDescent="0.25">
      <c r="B26" s="5"/>
      <c r="C26" s="6"/>
      <c r="D26" s="6"/>
      <c r="F26" s="58"/>
      <c r="G26" s="59" t="s">
        <v>121</v>
      </c>
      <c r="H26" s="88">
        <v>0</v>
      </c>
      <c r="I26" s="88">
        <f>C26</f>
        <v>0</v>
      </c>
      <c r="J26" s="88">
        <f>D26</f>
        <v>0</v>
      </c>
      <c r="L26" s="92"/>
      <c r="M26" s="35"/>
      <c r="N26" s="40"/>
      <c r="O26" s="36"/>
    </row>
    <row r="27" spans="1:15" x14ac:dyDescent="0.25">
      <c r="B27" s="5"/>
      <c r="C27" s="6"/>
      <c r="D27" s="6"/>
      <c r="F27" s="59"/>
      <c r="G27" s="68" t="s">
        <v>108</v>
      </c>
      <c r="H27" s="88">
        <v>0</v>
      </c>
      <c r="I27" s="88">
        <v>0</v>
      </c>
      <c r="J27" s="88">
        <v>0</v>
      </c>
      <c r="L27" s="92"/>
      <c r="M27" s="46" t="s">
        <v>131</v>
      </c>
      <c r="N27" s="47">
        <f>SUM(N22:N26)</f>
        <v>100</v>
      </c>
      <c r="O27" s="47">
        <f>SUM(O22:O26)</f>
        <v>-15</v>
      </c>
    </row>
    <row r="28" spans="1:15" x14ac:dyDescent="0.25">
      <c r="B28" s="5"/>
      <c r="C28" s="6"/>
      <c r="D28" s="6"/>
      <c r="F28" s="59"/>
      <c r="G28" s="68" t="s">
        <v>117</v>
      </c>
      <c r="H28" s="88">
        <v>0</v>
      </c>
      <c r="I28" s="88">
        <v>0</v>
      </c>
      <c r="J28" s="88">
        <v>0</v>
      </c>
    </row>
    <row r="29" spans="1:15" x14ac:dyDescent="0.25">
      <c r="B29" s="5"/>
      <c r="C29" s="6"/>
      <c r="D29" s="6"/>
      <c r="F29" s="59"/>
      <c r="G29" s="68" t="s">
        <v>99</v>
      </c>
      <c r="H29" s="88">
        <v>1000</v>
      </c>
      <c r="I29" s="88">
        <f>+H29+N29</f>
        <v>1235</v>
      </c>
      <c r="J29" s="88">
        <f>+I29+O29</f>
        <v>1355</v>
      </c>
      <c r="M29" s="24" t="s">
        <v>52</v>
      </c>
      <c r="N29" s="34">
        <f>N19+N15+N27</f>
        <v>235</v>
      </c>
      <c r="O29" s="34">
        <f>O19+O15+O27</f>
        <v>120</v>
      </c>
    </row>
    <row r="30" spans="1:15" x14ac:dyDescent="0.25">
      <c r="F30" s="87"/>
      <c r="G30" s="87" t="s">
        <v>130</v>
      </c>
      <c r="H30" s="90">
        <f>SUM(H26:H29)</f>
        <v>1000</v>
      </c>
      <c r="I30" s="90">
        <f t="shared" ref="I30:J30" si="11">SUM(I26:I29)</f>
        <v>1235</v>
      </c>
      <c r="J30" s="90">
        <f t="shared" si="11"/>
        <v>1355</v>
      </c>
    </row>
    <row r="31" spans="1:15" x14ac:dyDescent="0.25">
      <c r="F31" s="59"/>
      <c r="G31" s="68"/>
      <c r="H31" s="88"/>
      <c r="I31" s="88"/>
      <c r="J31" s="88"/>
    </row>
    <row r="32" spans="1:15" ht="16.3" thickBot="1" x14ac:dyDescent="0.3">
      <c r="F32" s="64"/>
      <c r="G32" s="65" t="s">
        <v>91</v>
      </c>
      <c r="H32" s="66">
        <f t="shared" ref="H32:J32" si="12">+H30+H22</f>
        <v>2000</v>
      </c>
      <c r="I32" s="66">
        <f t="shared" si="12"/>
        <v>2135</v>
      </c>
      <c r="J32" s="66">
        <f t="shared" si="12"/>
        <v>2155</v>
      </c>
    </row>
    <row r="34" spans="7:10" x14ac:dyDescent="0.25">
      <c r="G34" s="72" t="s">
        <v>98</v>
      </c>
      <c r="H34" s="71" t="str">
        <f>IF(H17&lt;&gt;H32,"Error","Tallied")</f>
        <v>Tallied</v>
      </c>
      <c r="I34" s="71" t="str">
        <f>IF(I17&lt;&gt;I32,"Error","Tallied")</f>
        <v>Tallied</v>
      </c>
      <c r="J34" s="71" t="str">
        <f>IF(J17&lt;&gt;J32,"Error","Tallied")</f>
        <v>Tallied</v>
      </c>
    </row>
    <row r="35" spans="7:10" x14ac:dyDescent="0.25">
      <c r="H35" s="73"/>
      <c r="I35" s="73"/>
    </row>
  </sheetData>
  <conditionalFormatting sqref="N18:O1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31D-CD3D-47A3-986E-68E7161828EA}">
  <dimension ref="A1:O36"/>
  <sheetViews>
    <sheetView showGridLines="0" zoomScale="115" zoomScaleNormal="115" workbookViewId="0">
      <selection activeCell="I37" sqref="I37"/>
    </sheetView>
  </sheetViews>
  <sheetFormatPr defaultRowHeight="15.65" x14ac:dyDescent="0.25"/>
  <cols>
    <col min="1" max="1" width="1.5" style="22" customWidth="1"/>
    <col min="2" max="2" width="26.1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+H5+C25</f>
        <v>2035</v>
      </c>
      <c r="J5" s="79">
        <f>+I5+D25</f>
        <v>2064</v>
      </c>
      <c r="K5" s="59"/>
      <c r="M5" s="24" t="s">
        <v>164</v>
      </c>
      <c r="N5" s="34">
        <f t="shared" ref="N5:O5" si="2">C25</f>
        <v>35</v>
      </c>
      <c r="O5" s="34">
        <f t="shared" si="2"/>
        <v>29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160</v>
      </c>
      <c r="G7" s="58"/>
      <c r="H7" s="119">
        <v>0</v>
      </c>
      <c r="I7" s="119">
        <f>C27</f>
        <v>100</v>
      </c>
      <c r="J7" s="120">
        <f>+I7+D27</f>
        <v>100</v>
      </c>
      <c r="K7" s="62"/>
      <c r="M7" s="35" t="s">
        <v>129</v>
      </c>
      <c r="N7" s="34">
        <f t="shared" ref="N7:O7" si="3">-C14</f>
        <v>100</v>
      </c>
      <c r="O7" s="34">
        <f t="shared" si="3"/>
        <v>100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8"/>
      <c r="G8" s="58"/>
      <c r="H8" s="58"/>
      <c r="I8" s="79"/>
      <c r="J8" s="79"/>
      <c r="K8" s="62"/>
      <c r="M8" s="35"/>
      <c r="N8" s="34"/>
      <c r="O8" s="34"/>
    </row>
    <row r="9" spans="2:15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4">H27-I27</f>
        <v>0</v>
      </c>
      <c r="O9" s="37">
        <f t="shared" si="4"/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5">I10</f>
        <v>0</v>
      </c>
      <c r="J11" s="94">
        <f t="shared" si="5"/>
        <v>0</v>
      </c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6">I14-H14</f>
        <v>0</v>
      </c>
      <c r="O12" s="36">
        <f t="shared" si="6"/>
        <v>0</v>
      </c>
    </row>
    <row r="13" spans="2:15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6"/>
        <v>0</v>
      </c>
      <c r="O13" s="36">
        <f t="shared" si="6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6"/>
        <v>0</v>
      </c>
      <c r="O14" s="80">
        <f t="shared" si="6"/>
        <v>0</v>
      </c>
    </row>
    <row r="15" spans="2:15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135</v>
      </c>
      <c r="O15" s="34">
        <f>SUM(O5:O14)</f>
        <v>129</v>
      </c>
    </row>
    <row r="16" spans="2:15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 s="5" t="s">
        <v>4</v>
      </c>
      <c r="C17" s="6">
        <v>0</v>
      </c>
      <c r="D17" s="6">
        <v>0</v>
      </c>
      <c r="F17" s="41" t="s">
        <v>37</v>
      </c>
      <c r="G17" s="95"/>
      <c r="H17" s="94">
        <f>SUM(H14:H16)</f>
        <v>0</v>
      </c>
      <c r="I17" s="94">
        <f t="shared" ref="I17:J17" si="7">SUM(I14:I16)</f>
        <v>0</v>
      </c>
      <c r="J17" s="94">
        <f t="shared" si="7"/>
        <v>0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50</v>
      </c>
      <c r="D18" s="9">
        <f>SUM(D14:D17,D11)</f>
        <v>50</v>
      </c>
      <c r="K18" s="67"/>
      <c r="M18" s="35" t="s">
        <v>125</v>
      </c>
      <c r="N18" s="83">
        <f>H22-I22</f>
        <v>0</v>
      </c>
      <c r="O18" s="84">
        <f>I22-J22</f>
        <v>0</v>
      </c>
    </row>
    <row r="19" spans="1:15" ht="16.3" thickBot="1" x14ac:dyDescent="0.3">
      <c r="B19" s="5" t="s">
        <v>5</v>
      </c>
      <c r="C19" s="6">
        <f>-C18*30%</f>
        <v>-15</v>
      </c>
      <c r="D19" s="6">
        <f>-D18*30%</f>
        <v>-15</v>
      </c>
      <c r="F19" s="64"/>
      <c r="G19" s="65" t="s">
        <v>91</v>
      </c>
      <c r="H19" s="66">
        <f t="shared" ref="H19:J19" si="8">H17+H11+H5+H7</f>
        <v>2000</v>
      </c>
      <c r="I19" s="66">
        <f t="shared" si="8"/>
        <v>2135</v>
      </c>
      <c r="J19" s="66">
        <f t="shared" si="8"/>
        <v>2164</v>
      </c>
      <c r="K19" s="59"/>
      <c r="M19" s="46" t="s">
        <v>51</v>
      </c>
      <c r="N19" s="85">
        <f>SUM(N18)</f>
        <v>0</v>
      </c>
      <c r="O19" s="85">
        <f t="shared" ref="O19" si="9">SUM(O18)</f>
        <v>0</v>
      </c>
    </row>
    <row r="20" spans="1:15" ht="16.3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 t="s">
        <v>93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F22" s="58"/>
      <c r="G22" s="59" t="s">
        <v>126</v>
      </c>
      <c r="H22" s="89">
        <v>1000</v>
      </c>
      <c r="I22" s="89">
        <v>1000</v>
      </c>
      <c r="J22" s="89">
        <v>1000</v>
      </c>
      <c r="K22" s="62"/>
      <c r="L22" s="92"/>
      <c r="M22" s="35" t="s">
        <v>132</v>
      </c>
      <c r="N22" s="36">
        <f>I10-H10</f>
        <v>0</v>
      </c>
      <c r="O22" s="36">
        <f>J10-I10</f>
        <v>0</v>
      </c>
    </row>
    <row r="23" spans="1:15" x14ac:dyDescent="0.25">
      <c r="A23"/>
      <c r="B23" s="22" t="s">
        <v>162</v>
      </c>
      <c r="C23" s="37">
        <f t="shared" ref="C23:D23" si="10">C29</f>
        <v>0</v>
      </c>
      <c r="D23" s="37">
        <f t="shared" si="10"/>
        <v>-6</v>
      </c>
      <c r="F23" s="58"/>
      <c r="G23" s="59" t="s">
        <v>127</v>
      </c>
      <c r="H23" s="89">
        <v>0</v>
      </c>
      <c r="I23" s="89">
        <f>+H23+C14</f>
        <v>-100</v>
      </c>
      <c r="J23" s="89">
        <f>+I23+D14</f>
        <v>-200</v>
      </c>
      <c r="K23" s="71"/>
      <c r="L23" s="92"/>
      <c r="M23" s="35" t="s">
        <v>165</v>
      </c>
      <c r="N23" s="118">
        <v>0</v>
      </c>
      <c r="O23" s="118">
        <f>D27</f>
        <v>0</v>
      </c>
    </row>
    <row r="24" spans="1:15" x14ac:dyDescent="0.25">
      <c r="A24"/>
      <c r="F24" s="87"/>
      <c r="G24" s="87" t="s">
        <v>128</v>
      </c>
      <c r="H24" s="90">
        <f>H22+H23</f>
        <v>1000</v>
      </c>
      <c r="I24" s="90">
        <f t="shared" ref="I24:J24" si="11">I22+I23</f>
        <v>900</v>
      </c>
      <c r="J24" s="90">
        <f t="shared" si="11"/>
        <v>800</v>
      </c>
      <c r="L24" s="92"/>
      <c r="M24" s="35" t="s">
        <v>157</v>
      </c>
      <c r="N24" s="118">
        <f>C29</f>
        <v>0</v>
      </c>
      <c r="O24" s="118">
        <v>0</v>
      </c>
    </row>
    <row r="25" spans="1:15" x14ac:dyDescent="0.25">
      <c r="A25"/>
      <c r="B25" s="121" t="s">
        <v>163</v>
      </c>
      <c r="C25" s="122">
        <f t="shared" ref="C25:D25" si="12">C20+C23</f>
        <v>35</v>
      </c>
      <c r="D25" s="122">
        <f t="shared" si="12"/>
        <v>29</v>
      </c>
      <c r="F25" s="59"/>
      <c r="G25" s="59"/>
      <c r="H25" s="59"/>
      <c r="I25" s="59"/>
      <c r="J25" s="59"/>
    </row>
    <row r="26" spans="1:15" x14ac:dyDescent="0.25">
      <c r="A26"/>
      <c r="F26" s="58" t="s">
        <v>95</v>
      </c>
      <c r="G26" s="59"/>
      <c r="H26" s="88"/>
      <c r="I26" s="88"/>
      <c r="J26" s="88"/>
      <c r="L26" s="92"/>
      <c r="M26" s="35" t="s">
        <v>161</v>
      </c>
      <c r="N26" s="118">
        <f t="shared" ref="N26:O26" si="13">I7-H7</f>
        <v>100</v>
      </c>
      <c r="O26" s="118">
        <f t="shared" si="13"/>
        <v>0</v>
      </c>
    </row>
    <row r="27" spans="1:15" x14ac:dyDescent="0.25">
      <c r="A27"/>
      <c r="B27" s="5" t="s">
        <v>158</v>
      </c>
      <c r="C27" s="86">
        <v>100</v>
      </c>
      <c r="D27" s="86">
        <v>0</v>
      </c>
      <c r="F27" s="58"/>
      <c r="G27" s="59" t="s">
        <v>121</v>
      </c>
      <c r="H27" s="88">
        <v>0</v>
      </c>
      <c r="I27" s="88">
        <f>C30</f>
        <v>0</v>
      </c>
      <c r="J27" s="88">
        <f>D30</f>
        <v>0</v>
      </c>
      <c r="L27" s="92"/>
      <c r="M27" s="35"/>
      <c r="N27" s="40"/>
      <c r="O27" s="36"/>
    </row>
    <row r="28" spans="1:15" x14ac:dyDescent="0.25">
      <c r="A28"/>
      <c r="B28" s="5"/>
      <c r="C28" s="6"/>
      <c r="D28" s="6"/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46" t="s">
        <v>131</v>
      </c>
      <c r="N28" s="47">
        <f>SUM(N22:N27)</f>
        <v>100</v>
      </c>
      <c r="O28" s="47">
        <f>SUM(O22:O27)</f>
        <v>0</v>
      </c>
    </row>
    <row r="29" spans="1:15" x14ac:dyDescent="0.25">
      <c r="B29" s="5" t="s">
        <v>159</v>
      </c>
      <c r="C29" s="86">
        <v>0</v>
      </c>
      <c r="D29" s="86">
        <f>-C27*6%</f>
        <v>-6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</row>
    <row r="30" spans="1:15" x14ac:dyDescent="0.25">
      <c r="B30" s="5"/>
      <c r="C30" s="6"/>
      <c r="D30" s="6"/>
      <c r="F30" s="59"/>
      <c r="G30" s="68" t="s">
        <v>99</v>
      </c>
      <c r="H30" s="88">
        <v>1000</v>
      </c>
      <c r="I30" s="88">
        <f>+H30+N30</f>
        <v>1235</v>
      </c>
      <c r="J30" s="88">
        <f>+I30+O30</f>
        <v>1364</v>
      </c>
      <c r="M30" s="24" t="s">
        <v>52</v>
      </c>
      <c r="N30" s="34">
        <f>N19+N15+N28</f>
        <v>235</v>
      </c>
      <c r="O30" s="34">
        <f>O19+O15+O28</f>
        <v>129</v>
      </c>
    </row>
    <row r="31" spans="1:15" x14ac:dyDescent="0.25">
      <c r="B31" s="5"/>
      <c r="C31" s="6"/>
      <c r="D31" s="6"/>
      <c r="F31" s="87"/>
      <c r="G31" s="87" t="s">
        <v>130</v>
      </c>
      <c r="H31" s="90">
        <f>SUM(H27:H30)</f>
        <v>1000</v>
      </c>
      <c r="I31" s="90">
        <f t="shared" ref="I31:J31" si="14">SUM(I27:I30)</f>
        <v>1235</v>
      </c>
      <c r="J31" s="90">
        <f t="shared" si="14"/>
        <v>1364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3" thickBot="1" x14ac:dyDescent="0.3">
      <c r="B33" s="5"/>
      <c r="C33" s="6"/>
      <c r="D33" s="6"/>
      <c r="F33" s="64"/>
      <c r="G33" s="65" t="s">
        <v>91</v>
      </c>
      <c r="H33" s="66">
        <f>+H31+H24</f>
        <v>2000</v>
      </c>
      <c r="I33" s="66">
        <f>+I31+I24</f>
        <v>2135</v>
      </c>
      <c r="J33" s="66">
        <f>+J31+J24</f>
        <v>2164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conditionalFormatting sqref="N18:O18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C9CA-ADC4-4EA8-8C28-86BA626284F8}">
  <dimension ref="A1:O36"/>
  <sheetViews>
    <sheetView showGridLines="0" topLeftCell="A10" zoomScale="115" zoomScaleNormal="115" workbookViewId="0">
      <selection activeCell="K1" sqref="K1"/>
    </sheetView>
  </sheetViews>
  <sheetFormatPr defaultRowHeight="15.65" x14ac:dyDescent="0.25"/>
  <cols>
    <col min="1" max="1" width="1.5" style="22" customWidth="1"/>
    <col min="2" max="2" width="26.1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1.875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+H5+C23</f>
        <v>2035</v>
      </c>
      <c r="J5" s="79">
        <f>+I5+D23</f>
        <v>2070</v>
      </c>
      <c r="K5" s="59"/>
      <c r="M5" s="24" t="s">
        <v>164</v>
      </c>
      <c r="N5" s="34">
        <f>C23</f>
        <v>35</v>
      </c>
      <c r="O5" s="34">
        <f>D23</f>
        <v>35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 t="s">
        <v>160</v>
      </c>
      <c r="G6" s="58"/>
      <c r="H6" s="88">
        <v>0</v>
      </c>
      <c r="I6" s="88">
        <v>0</v>
      </c>
      <c r="J6" s="88">
        <v>0</v>
      </c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8"/>
      <c r="H7" s="58"/>
      <c r="I7" s="79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24" t="s">
        <v>38</v>
      </c>
      <c r="G8" s="92"/>
      <c r="H8" s="92"/>
      <c r="I8" s="92"/>
      <c r="J8" s="79"/>
      <c r="K8" s="62"/>
      <c r="M8" s="35" t="s">
        <v>171</v>
      </c>
      <c r="N8" s="126">
        <f t="shared" ref="N8:O8" si="3">C33</f>
        <v>6</v>
      </c>
      <c r="O8" s="126">
        <f t="shared" si="3"/>
        <v>4.5</v>
      </c>
    </row>
    <row r="9" spans="2:15" x14ac:dyDescent="0.25">
      <c r="B9" s="12"/>
      <c r="C9" s="14"/>
      <c r="D9" s="14"/>
      <c r="F9" s="58"/>
      <c r="G9" s="59" t="s">
        <v>170</v>
      </c>
      <c r="H9" s="88">
        <v>0</v>
      </c>
      <c r="I9" s="126">
        <f>H9+C33</f>
        <v>6</v>
      </c>
      <c r="J9" s="126">
        <f>I9+D33</f>
        <v>10.5</v>
      </c>
      <c r="K9" s="62"/>
      <c r="M9" s="35" t="s">
        <v>122</v>
      </c>
      <c r="N9" s="37">
        <f t="shared" ref="N9:O11" si="4">H27-I27</f>
        <v>0</v>
      </c>
      <c r="O9" s="37">
        <f t="shared" si="4"/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5">I10</f>
        <v>0</v>
      </c>
      <c r="J11" s="94">
        <f t="shared" si="5"/>
        <v>0</v>
      </c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6">I14-H14</f>
        <v>0</v>
      </c>
      <c r="O12" s="36">
        <f t="shared" si="6"/>
        <v>0</v>
      </c>
    </row>
    <row r="13" spans="2:15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6"/>
        <v>0</v>
      </c>
      <c r="O13" s="36">
        <f t="shared" si="6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6"/>
        <v>0</v>
      </c>
      <c r="O14" s="80">
        <f t="shared" si="6"/>
        <v>0</v>
      </c>
    </row>
    <row r="15" spans="2:15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141</v>
      </c>
      <c r="O15" s="34">
        <f>SUM(O5:O14)</f>
        <v>139.5</v>
      </c>
    </row>
    <row r="16" spans="2:15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 s="5" t="s">
        <v>4</v>
      </c>
      <c r="C17" s="6">
        <v>0</v>
      </c>
      <c r="D17" s="6">
        <v>0</v>
      </c>
      <c r="F17" s="41" t="s">
        <v>37</v>
      </c>
      <c r="G17" s="95"/>
      <c r="H17" s="94">
        <f>SUM(H9:H16)</f>
        <v>0</v>
      </c>
      <c r="I17" s="94">
        <f>SUM(I9:I16)</f>
        <v>6</v>
      </c>
      <c r="J17" s="94">
        <f>SUM(J9:J16)</f>
        <v>10.5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50</v>
      </c>
      <c r="D18" s="9">
        <f>SUM(D14:D17,D11)</f>
        <v>50</v>
      </c>
      <c r="K18" s="67"/>
      <c r="M18" s="35" t="s">
        <v>125</v>
      </c>
      <c r="N18" s="83">
        <f>H22-I22</f>
        <v>0</v>
      </c>
      <c r="O18" s="84">
        <f>I22-J22</f>
        <v>0</v>
      </c>
    </row>
    <row r="19" spans="1:15" ht="16.3" thickBot="1" x14ac:dyDescent="0.3">
      <c r="B19" s="5" t="s">
        <v>174</v>
      </c>
      <c r="C19" s="86">
        <f>-C18*30%</f>
        <v>-15</v>
      </c>
      <c r="D19" s="86">
        <f>-D18*30%</f>
        <v>-15</v>
      </c>
      <c r="F19" s="64"/>
      <c r="G19" s="65" t="s">
        <v>91</v>
      </c>
      <c r="H19" s="66">
        <f>H17+H11+H5+H6</f>
        <v>2000</v>
      </c>
      <c r="I19" s="66">
        <f>I17+I11+I5+I6</f>
        <v>2041</v>
      </c>
      <c r="J19" s="66">
        <f>J17+J11+J5+J6</f>
        <v>2080.5</v>
      </c>
      <c r="K19" s="59"/>
      <c r="M19" s="46" t="s">
        <v>51</v>
      </c>
      <c r="N19" s="85">
        <f>SUM(N18)</f>
        <v>0</v>
      </c>
      <c r="O19" s="85">
        <f t="shared" ref="O19" si="7">SUM(O18)</f>
        <v>0</v>
      </c>
    </row>
    <row r="20" spans="1:15" ht="16.3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 t="s">
        <v>93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B22" s="22" t="s">
        <v>162</v>
      </c>
      <c r="C22" s="37">
        <v>0</v>
      </c>
      <c r="D22" s="37">
        <v>0</v>
      </c>
      <c r="F22" s="58"/>
      <c r="G22" s="59" t="s">
        <v>126</v>
      </c>
      <c r="H22" s="89">
        <v>1000</v>
      </c>
      <c r="I22" s="89">
        <v>1000</v>
      </c>
      <c r="J22" s="89">
        <v>1000</v>
      </c>
      <c r="K22" s="62"/>
      <c r="L22" s="92"/>
      <c r="M22" s="35" t="s">
        <v>132</v>
      </c>
      <c r="N22" s="36">
        <f>I10-H10</f>
        <v>0</v>
      </c>
      <c r="O22" s="36">
        <f>J10-I10</f>
        <v>0</v>
      </c>
    </row>
    <row r="23" spans="1:15" x14ac:dyDescent="0.25">
      <c r="A23"/>
      <c r="B23" s="121" t="s">
        <v>163</v>
      </c>
      <c r="C23" s="122">
        <f>C20+C22</f>
        <v>35</v>
      </c>
      <c r="D23" s="122">
        <f>D20+D22</f>
        <v>35</v>
      </c>
      <c r="F23" s="58"/>
      <c r="G23" s="59" t="s">
        <v>127</v>
      </c>
      <c r="H23" s="89">
        <v>0</v>
      </c>
      <c r="I23" s="89">
        <f>+H23+C14</f>
        <v>-100</v>
      </c>
      <c r="J23" s="89">
        <f>+I23+D14</f>
        <v>-200</v>
      </c>
      <c r="K23" s="71"/>
      <c r="L23" s="92"/>
      <c r="M23" s="35" t="s">
        <v>165</v>
      </c>
      <c r="N23" s="36">
        <v>0</v>
      </c>
      <c r="O23" s="36">
        <v>0</v>
      </c>
    </row>
    <row r="24" spans="1:15" x14ac:dyDescent="0.25">
      <c r="A24"/>
      <c r="F24" s="87"/>
      <c r="G24" s="87" t="s">
        <v>128</v>
      </c>
      <c r="H24" s="90">
        <f>H22+H23</f>
        <v>1000</v>
      </c>
      <c r="I24" s="90">
        <f t="shared" ref="I24:J24" si="8">I22+I23</f>
        <v>900</v>
      </c>
      <c r="J24" s="90">
        <f t="shared" si="8"/>
        <v>800</v>
      </c>
      <c r="L24" s="92"/>
      <c r="M24" s="35" t="s">
        <v>157</v>
      </c>
      <c r="N24" s="36">
        <v>0</v>
      </c>
      <c r="O24" s="36">
        <v>0</v>
      </c>
    </row>
    <row r="25" spans="1:15" x14ac:dyDescent="0.25">
      <c r="A25"/>
      <c r="B25" s="25" t="s">
        <v>169</v>
      </c>
      <c r="C25" s="32"/>
      <c r="D25" s="32"/>
      <c r="F25" s="59"/>
      <c r="G25" s="59"/>
      <c r="H25" s="59"/>
      <c r="I25" s="59"/>
      <c r="J25" s="59"/>
    </row>
    <row r="26" spans="1:15" x14ac:dyDescent="0.25">
      <c r="A26"/>
      <c r="B26" s="5" t="s">
        <v>166</v>
      </c>
      <c r="C26" s="96">
        <f t="shared" ref="C26:D26" si="9">C18</f>
        <v>50</v>
      </c>
      <c r="D26" s="96">
        <f t="shared" si="9"/>
        <v>50</v>
      </c>
      <c r="F26" s="58" t="s">
        <v>95</v>
      </c>
      <c r="G26" s="59"/>
      <c r="H26" s="88"/>
      <c r="I26" s="88"/>
      <c r="J26" s="88"/>
      <c r="L26" s="92"/>
      <c r="M26" s="35" t="s">
        <v>161</v>
      </c>
      <c r="N26" s="36">
        <f t="shared" ref="N26:O26" si="10">I6-H6</f>
        <v>0</v>
      </c>
      <c r="O26" s="36">
        <f t="shared" si="10"/>
        <v>0</v>
      </c>
    </row>
    <row r="27" spans="1:15" x14ac:dyDescent="0.25">
      <c r="A27"/>
      <c r="B27" s="5" t="s">
        <v>167</v>
      </c>
      <c r="C27" s="96">
        <f t="shared" ref="C27:D27" si="11">-C14</f>
        <v>100</v>
      </c>
      <c r="D27" s="96">
        <f t="shared" si="11"/>
        <v>100</v>
      </c>
      <c r="F27" s="58"/>
      <c r="G27" s="59" t="s">
        <v>121</v>
      </c>
      <c r="H27" s="88">
        <v>0</v>
      </c>
      <c r="I27" s="88">
        <v>0</v>
      </c>
      <c r="J27" s="88">
        <v>0</v>
      </c>
      <c r="L27" s="92"/>
      <c r="M27" s="35"/>
      <c r="N27" s="40"/>
      <c r="O27" s="36"/>
    </row>
    <row r="28" spans="1:15" x14ac:dyDescent="0.25">
      <c r="A28"/>
      <c r="B28" s="123" t="s">
        <v>168</v>
      </c>
      <c r="C28" s="124">
        <v>-120</v>
      </c>
      <c r="D28" s="124">
        <v>-115</v>
      </c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46" t="s">
        <v>131</v>
      </c>
      <c r="N28" s="47">
        <f>SUM(N22:N27)</f>
        <v>0</v>
      </c>
      <c r="O28" s="47">
        <f>SUM(O22:O27)</f>
        <v>0</v>
      </c>
    </row>
    <row r="29" spans="1:15" x14ac:dyDescent="0.25">
      <c r="B29" s="12" t="s">
        <v>172</v>
      </c>
      <c r="C29" s="125">
        <f>SUM(C26:C28)</f>
        <v>30</v>
      </c>
      <c r="D29" s="125">
        <f>SUM(D26:D28)</f>
        <v>35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</row>
    <row r="30" spans="1:15" x14ac:dyDescent="0.25">
      <c r="B30" s="5"/>
      <c r="C30" s="96"/>
      <c r="D30" s="96"/>
      <c r="F30" s="59"/>
      <c r="G30" s="68" t="s">
        <v>99</v>
      </c>
      <c r="H30" s="88">
        <v>1000</v>
      </c>
      <c r="I30" s="88">
        <f>+H30+N30</f>
        <v>1141</v>
      </c>
      <c r="J30" s="88">
        <f>+I30+O30</f>
        <v>1280.5</v>
      </c>
      <c r="M30" s="24" t="s">
        <v>52</v>
      </c>
      <c r="N30" s="34">
        <f>N19+N15+N28</f>
        <v>141</v>
      </c>
      <c r="O30" s="34">
        <f>O19+O15+O28</f>
        <v>139.5</v>
      </c>
    </row>
    <row r="31" spans="1:15" x14ac:dyDescent="0.25">
      <c r="B31" s="5" t="s">
        <v>173</v>
      </c>
      <c r="C31" s="96">
        <f t="shared" ref="C31:D31" si="12">-C29*30%</f>
        <v>-9</v>
      </c>
      <c r="D31" s="96">
        <f t="shared" si="12"/>
        <v>-10.5</v>
      </c>
      <c r="F31" s="87"/>
      <c r="G31" s="87" t="s">
        <v>130</v>
      </c>
      <c r="H31" s="90">
        <f>SUM(H27:H30)</f>
        <v>1000</v>
      </c>
      <c r="I31" s="90">
        <f t="shared" ref="I31:J31" si="13">SUM(I27:I30)</f>
        <v>1141</v>
      </c>
      <c r="J31" s="90">
        <f t="shared" si="13"/>
        <v>1280.5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3" thickBot="1" x14ac:dyDescent="0.3">
      <c r="B33" s="24" t="s">
        <v>184</v>
      </c>
      <c r="C33" s="48">
        <f t="shared" ref="C33:D33" si="14">C31-C19</f>
        <v>6</v>
      </c>
      <c r="D33" s="48">
        <f t="shared" si="14"/>
        <v>4.5</v>
      </c>
      <c r="F33" s="64"/>
      <c r="G33" s="65" t="s">
        <v>91</v>
      </c>
      <c r="H33" s="66">
        <f>+H31+H24</f>
        <v>2000</v>
      </c>
      <c r="I33" s="66">
        <f>+I31+I24</f>
        <v>2041</v>
      </c>
      <c r="J33" s="66">
        <f>+J31+J24</f>
        <v>2080.5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conditionalFormatting sqref="N18:O18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60FC-3A82-4BA2-B6EB-D4B8F287E24C}">
  <dimension ref="B1:AS41"/>
  <sheetViews>
    <sheetView showGridLines="0" zoomScaleNormal="100" workbookViewId="0"/>
  </sheetViews>
  <sheetFormatPr defaultRowHeight="15.65" x14ac:dyDescent="0.25"/>
  <cols>
    <col min="1" max="1" width="2.875" style="22" customWidth="1"/>
    <col min="2" max="2" width="27.375" style="22" customWidth="1"/>
    <col min="3" max="4" width="13.875" style="22" customWidth="1"/>
    <col min="5" max="5" width="7.625" style="23" customWidth="1"/>
    <col min="6" max="6" width="2.75" style="23" customWidth="1"/>
    <col min="7" max="7" width="44.375" style="23" bestFit="1" customWidth="1"/>
    <col min="8" max="10" width="8.875" style="23" bestFit="1" customWidth="1"/>
    <col min="11" max="11" width="9" style="23"/>
    <col min="12" max="12" width="2.125" style="23" customWidth="1"/>
    <col min="13" max="13" width="40.375" style="23" bestFit="1" customWidth="1"/>
    <col min="14" max="15" width="9.75" style="23" bestFit="1" customWidth="1"/>
    <col min="16" max="21" width="9" style="22"/>
    <col min="22" max="22" width="26" style="22" bestFit="1" customWidth="1"/>
    <col min="23" max="23" width="11.25" style="22" bestFit="1" customWidth="1"/>
    <col min="24" max="28" width="10" style="22" customWidth="1"/>
    <col min="29" max="31" width="9" style="22"/>
    <col min="32" max="32" width="49.875" style="22" customWidth="1"/>
    <col min="33" max="37" width="9" style="22"/>
    <col min="38" max="38" width="27.375" style="22" bestFit="1" customWidth="1"/>
    <col min="39" max="39" width="9" style="22"/>
    <col min="40" max="44" width="10.625" style="22" customWidth="1"/>
    <col min="45" max="16384" width="9" style="22"/>
  </cols>
  <sheetData>
    <row r="1" spans="2:45" x14ac:dyDescent="0.25">
      <c r="V1" s="24" t="s">
        <v>58</v>
      </c>
      <c r="W1" s="25">
        <v>20</v>
      </c>
      <c r="Z1" s="26" t="s">
        <v>77</v>
      </c>
      <c r="AL1" s="24" t="s">
        <v>58</v>
      </c>
      <c r="AM1" s="25">
        <v>20</v>
      </c>
      <c r="AP1" s="26" t="s">
        <v>78</v>
      </c>
    </row>
    <row r="2" spans="2:4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L2" s="27" t="s">
        <v>75</v>
      </c>
      <c r="M2" s="28"/>
      <c r="N2" s="28"/>
      <c r="O2" s="28"/>
      <c r="V2" s="24" t="s">
        <v>53</v>
      </c>
      <c r="W2" s="29">
        <v>0.06</v>
      </c>
      <c r="X2" s="23"/>
      <c r="Y2" s="23"/>
      <c r="Z2" s="23"/>
      <c r="AA2" s="23"/>
      <c r="AB2" s="23"/>
      <c r="AL2" s="24" t="s">
        <v>53</v>
      </c>
      <c r="AM2" s="29">
        <v>0.06</v>
      </c>
      <c r="AN2" s="23"/>
      <c r="AO2" s="23"/>
      <c r="AP2" s="23"/>
      <c r="AQ2" s="23"/>
      <c r="AR2" s="23"/>
    </row>
    <row r="3" spans="2:45" x14ac:dyDescent="0.25">
      <c r="B3" s="30"/>
      <c r="C3" s="31">
        <v>1</v>
      </c>
      <c r="D3" s="31">
        <v>2</v>
      </c>
      <c r="F3" s="25" t="s">
        <v>25</v>
      </c>
      <c r="G3" s="32"/>
      <c r="H3" s="31">
        <v>0</v>
      </c>
      <c r="I3" s="31">
        <v>1</v>
      </c>
      <c r="J3" s="31">
        <v>2</v>
      </c>
      <c r="L3" s="25" t="s">
        <v>43</v>
      </c>
      <c r="M3" s="25"/>
      <c r="N3" s="31">
        <v>1</v>
      </c>
      <c r="O3" s="31">
        <v>2</v>
      </c>
      <c r="V3" s="24" t="s">
        <v>54</v>
      </c>
      <c r="W3" s="29">
        <v>0.25</v>
      </c>
      <c r="X3" s="23"/>
      <c r="Y3" s="23"/>
      <c r="Z3" s="23"/>
      <c r="AA3" s="23"/>
      <c r="AB3" s="23"/>
      <c r="AL3" s="24" t="s">
        <v>54</v>
      </c>
      <c r="AM3" s="29">
        <v>0.25</v>
      </c>
      <c r="AN3" s="23"/>
      <c r="AO3" s="23"/>
      <c r="AP3" s="23"/>
      <c r="AQ3" s="23"/>
      <c r="AR3" s="23"/>
    </row>
    <row r="4" spans="2:45" x14ac:dyDescent="0.25">
      <c r="B4" s="5" t="s">
        <v>23</v>
      </c>
      <c r="C4" s="6">
        <v>1000</v>
      </c>
      <c r="D4" s="6">
        <v>1000</v>
      </c>
      <c r="F4" s="22"/>
      <c r="G4" s="24" t="s">
        <v>26</v>
      </c>
      <c r="H4" s="22"/>
      <c r="I4" s="22"/>
      <c r="J4" s="22"/>
      <c r="L4" s="22"/>
      <c r="M4" s="24" t="s">
        <v>44</v>
      </c>
      <c r="N4" s="33">
        <f t="shared" ref="N4:O4" si="0">C20</f>
        <v>150</v>
      </c>
      <c r="O4" s="34">
        <f t="shared" si="0"/>
        <v>133.5717812362937</v>
      </c>
      <c r="V4" s="24" t="s">
        <v>55</v>
      </c>
      <c r="W4" s="25">
        <v>5</v>
      </c>
      <c r="X4" s="23"/>
      <c r="Y4" s="23"/>
      <c r="Z4" s="23"/>
      <c r="AA4" s="23"/>
      <c r="AB4" s="23"/>
      <c r="AL4" s="24" t="s">
        <v>55</v>
      </c>
      <c r="AM4" s="25">
        <v>5</v>
      </c>
      <c r="AN4" s="23"/>
      <c r="AO4" s="23"/>
      <c r="AP4" s="23"/>
      <c r="AQ4" s="23"/>
      <c r="AR4" s="23"/>
    </row>
    <row r="5" spans="2:45" x14ac:dyDescent="0.25">
      <c r="B5" s="5" t="s">
        <v>24</v>
      </c>
      <c r="C5" s="6">
        <v>-700</v>
      </c>
      <c r="D5" s="6">
        <v>-700</v>
      </c>
      <c r="F5" s="22"/>
      <c r="G5" s="35" t="s">
        <v>27</v>
      </c>
      <c r="H5" s="36">
        <f>H27-H12</f>
        <v>1000</v>
      </c>
      <c r="I5" s="36">
        <f>I27-I12</f>
        <v>1150</v>
      </c>
      <c r="J5" s="36">
        <f>J27-J12</f>
        <v>1285.4760729212353</v>
      </c>
      <c r="L5" s="22"/>
      <c r="M5" s="24" t="s">
        <v>45</v>
      </c>
      <c r="N5" s="37"/>
      <c r="O5" s="37"/>
      <c r="V5" s="24" t="s">
        <v>56</v>
      </c>
      <c r="W5" s="38">
        <f>W10/W4</f>
        <v>16.849455142262855</v>
      </c>
      <c r="X5" s="23"/>
      <c r="Y5" s="23"/>
      <c r="Z5" s="23"/>
      <c r="AA5" s="23"/>
      <c r="AB5" s="23"/>
      <c r="AM5" s="39"/>
      <c r="AN5" s="23"/>
      <c r="AO5" s="23"/>
      <c r="AP5" s="23"/>
      <c r="AQ5" s="23"/>
      <c r="AR5" s="23"/>
    </row>
    <row r="6" spans="2:45" x14ac:dyDescent="0.25">
      <c r="B6" s="7" t="s">
        <v>1</v>
      </c>
      <c r="C6" s="8">
        <f>SUM(C4:C5)</f>
        <v>300</v>
      </c>
      <c r="D6" s="8">
        <f>SUM(D4:D5)</f>
        <v>300</v>
      </c>
      <c r="F6" s="22"/>
      <c r="G6" s="35" t="s">
        <v>28</v>
      </c>
      <c r="H6" s="40">
        <v>0</v>
      </c>
      <c r="I6" s="40">
        <v>0</v>
      </c>
      <c r="J6" s="36">
        <v>0</v>
      </c>
      <c r="L6" s="22"/>
      <c r="M6" s="35" t="s">
        <v>46</v>
      </c>
      <c r="N6" s="36">
        <f t="shared" ref="N6" si="1">C13+C14</f>
        <v>0</v>
      </c>
      <c r="O6" s="36">
        <f>-D14</f>
        <v>16.849455142262855</v>
      </c>
      <c r="X6" s="23"/>
      <c r="Y6" s="23"/>
      <c r="Z6" s="23"/>
      <c r="AA6" s="23"/>
      <c r="AB6" s="23"/>
      <c r="AN6" s="23"/>
      <c r="AO6" s="23"/>
      <c r="AP6" s="23"/>
      <c r="AQ6" s="23"/>
      <c r="AR6" s="23"/>
    </row>
    <row r="7" spans="2:45" x14ac:dyDescent="0.25">
      <c r="B7" s="15" t="s">
        <v>10</v>
      </c>
      <c r="C7" s="20">
        <f>C6/C4</f>
        <v>0.3</v>
      </c>
      <c r="D7" s="20">
        <f>D6/D4</f>
        <v>0.3</v>
      </c>
      <c r="F7" s="22"/>
      <c r="G7" s="41" t="s">
        <v>29</v>
      </c>
      <c r="H7" s="42">
        <f>SUM(H5:H6)</f>
        <v>1000</v>
      </c>
      <c r="I7" s="42">
        <f>SUM(I5:I6)</f>
        <v>1150</v>
      </c>
      <c r="J7" s="42">
        <f>SUM(J5:J6)</f>
        <v>1285.4760729212353</v>
      </c>
      <c r="L7" s="22"/>
      <c r="M7" s="24" t="s">
        <v>47</v>
      </c>
      <c r="N7" s="37"/>
      <c r="O7" s="37"/>
      <c r="W7" s="24"/>
      <c r="X7" s="31">
        <v>1</v>
      </c>
      <c r="Y7" s="31">
        <f>X7+1</f>
        <v>2</v>
      </c>
      <c r="Z7" s="31">
        <f t="shared" ref="Z7:AB7" si="2">Y7+1</f>
        <v>3</v>
      </c>
      <c r="AA7" s="31">
        <f t="shared" si="2"/>
        <v>4</v>
      </c>
      <c r="AB7" s="31">
        <f t="shared" si="2"/>
        <v>5</v>
      </c>
      <c r="AM7" s="24"/>
      <c r="AN7" s="31">
        <v>1</v>
      </c>
      <c r="AO7" s="31">
        <f>AN7+1</f>
        <v>2</v>
      </c>
      <c r="AP7" s="31">
        <f t="shared" ref="AP7:AR7" si="3">AO7+1</f>
        <v>3</v>
      </c>
      <c r="AQ7" s="31">
        <f t="shared" si="3"/>
        <v>4</v>
      </c>
      <c r="AR7" s="31">
        <f t="shared" si="3"/>
        <v>5</v>
      </c>
    </row>
    <row r="8" spans="2:45" x14ac:dyDescent="0.25">
      <c r="B8" s="12"/>
      <c r="C8" s="14"/>
      <c r="D8" s="14"/>
      <c r="F8" s="22"/>
      <c r="G8" s="35"/>
      <c r="H8" s="40"/>
      <c r="I8" s="40"/>
      <c r="J8" s="36"/>
      <c r="L8" s="22"/>
      <c r="M8" s="35" t="s">
        <v>28</v>
      </c>
      <c r="N8" s="37">
        <v>0</v>
      </c>
      <c r="O8" s="37">
        <v>0</v>
      </c>
      <c r="V8" s="22" t="s">
        <v>57</v>
      </c>
      <c r="W8" s="37"/>
      <c r="X8" s="43">
        <f>W1</f>
        <v>20</v>
      </c>
      <c r="Y8" s="43">
        <f t="shared" ref="Y8:AB8" si="4">X8</f>
        <v>20</v>
      </c>
      <c r="Z8" s="43">
        <f t="shared" si="4"/>
        <v>20</v>
      </c>
      <c r="AA8" s="43">
        <f t="shared" si="4"/>
        <v>20</v>
      </c>
      <c r="AB8" s="43">
        <f t="shared" si="4"/>
        <v>20</v>
      </c>
      <c r="AL8" s="22" t="s">
        <v>57</v>
      </c>
      <c r="AN8" s="43">
        <f>AM1</f>
        <v>20</v>
      </c>
      <c r="AO8" s="43">
        <f t="shared" ref="AO8:AR8" si="5">AN8</f>
        <v>20</v>
      </c>
      <c r="AP8" s="43">
        <f t="shared" si="5"/>
        <v>20</v>
      </c>
      <c r="AQ8" s="43">
        <f t="shared" si="5"/>
        <v>20</v>
      </c>
      <c r="AR8" s="43">
        <f t="shared" si="5"/>
        <v>20</v>
      </c>
      <c r="AS8" s="37"/>
    </row>
    <row r="9" spans="2:45" x14ac:dyDescent="0.25">
      <c r="B9" s="5" t="s">
        <v>2</v>
      </c>
      <c r="C9" s="6">
        <v>-100</v>
      </c>
      <c r="D9" s="6">
        <v>-100</v>
      </c>
      <c r="F9" s="22"/>
      <c r="G9" s="24" t="s">
        <v>30</v>
      </c>
      <c r="H9" s="37"/>
      <c r="I9" s="37"/>
      <c r="J9" s="37"/>
      <c r="L9" s="22"/>
      <c r="M9" s="35" t="s">
        <v>36</v>
      </c>
      <c r="N9" s="37">
        <v>0</v>
      </c>
      <c r="O9" s="37">
        <v>0</v>
      </c>
      <c r="W9" s="37"/>
      <c r="X9" s="37"/>
      <c r="Y9" s="37"/>
      <c r="Z9" s="37"/>
      <c r="AA9" s="37"/>
      <c r="AB9" s="37"/>
      <c r="AL9" s="44" t="s">
        <v>79</v>
      </c>
      <c r="AM9" s="44"/>
      <c r="AN9" s="45">
        <f>-$AM$13*$AM$2</f>
        <v>-5.0548365426788564</v>
      </c>
      <c r="AO9" s="45">
        <f t="shared" ref="AO9:AR9" si="6">-AN13*$AM$2</f>
        <v>-4.1581267352395876</v>
      </c>
      <c r="AP9" s="45">
        <f t="shared" si="6"/>
        <v>-3.2076143393539631</v>
      </c>
      <c r="AQ9" s="45">
        <f t="shared" si="6"/>
        <v>-2.2000711997152012</v>
      </c>
      <c r="AR9" s="45">
        <f t="shared" si="6"/>
        <v>-1.1320754716981132</v>
      </c>
      <c r="AS9" s="37"/>
    </row>
    <row r="10" spans="2:45" x14ac:dyDescent="0.25">
      <c r="B10" s="7" t="s">
        <v>7</v>
      </c>
      <c r="C10" s="8">
        <f>C6+C9</f>
        <v>200</v>
      </c>
      <c r="D10" s="8">
        <f>D6+D9</f>
        <v>200</v>
      </c>
      <c r="F10" s="22"/>
      <c r="G10" s="35" t="s">
        <v>31</v>
      </c>
      <c r="H10" s="40">
        <v>0</v>
      </c>
      <c r="I10" s="40">
        <f>W9</f>
        <v>0</v>
      </c>
      <c r="J10" s="40">
        <v>0</v>
      </c>
      <c r="L10" s="22"/>
      <c r="M10" s="46" t="s">
        <v>48</v>
      </c>
      <c r="N10" s="47">
        <f>SUM(N4:N9)</f>
        <v>150</v>
      </c>
      <c r="O10" s="47">
        <f>SUM(O4:O9)</f>
        <v>150.42123637855656</v>
      </c>
      <c r="V10" s="22" t="s">
        <v>59</v>
      </c>
      <c r="W10" s="48">
        <f>NPV(W2,X8:AB8)</f>
        <v>84.247275711314273</v>
      </c>
      <c r="X10" s="37">
        <f>W10-X14</f>
        <v>67.397820569051419</v>
      </c>
      <c r="Y10" s="37">
        <f>X10-Y14</f>
        <v>50.548365426788564</v>
      </c>
      <c r="Z10" s="37">
        <f>Y10-Z14</f>
        <v>33.698910284525709</v>
      </c>
      <c r="AA10" s="37">
        <f>Z10-AA14</f>
        <v>16.849455142262855</v>
      </c>
      <c r="AB10" s="37">
        <f>AA10-AB14</f>
        <v>0</v>
      </c>
      <c r="AL10" s="22" t="s">
        <v>62</v>
      </c>
      <c r="AN10" s="43">
        <f t="shared" ref="AN10:AR10" si="7">AN8+AN9</f>
        <v>14.945163457321144</v>
      </c>
      <c r="AO10" s="43">
        <f t="shared" si="7"/>
        <v>15.841873264760412</v>
      </c>
      <c r="AP10" s="43">
        <f t="shared" si="7"/>
        <v>16.792385660646037</v>
      </c>
      <c r="AQ10" s="43">
        <f t="shared" si="7"/>
        <v>17.7999288002848</v>
      </c>
      <c r="AR10" s="43">
        <f t="shared" si="7"/>
        <v>18.867924528301888</v>
      </c>
      <c r="AS10" s="37"/>
    </row>
    <row r="11" spans="2:45" x14ac:dyDescent="0.25">
      <c r="B11" s="15" t="s">
        <v>8</v>
      </c>
      <c r="C11" s="14"/>
      <c r="D11" s="14"/>
      <c r="F11" s="22"/>
      <c r="G11" s="35" t="s">
        <v>76</v>
      </c>
      <c r="H11" s="40">
        <v>0</v>
      </c>
      <c r="I11" s="40">
        <f>W10</f>
        <v>84.247275711314273</v>
      </c>
      <c r="J11" s="40">
        <f>I11-W5</f>
        <v>67.397820569051419</v>
      </c>
      <c r="L11" s="22"/>
      <c r="M11" s="35"/>
      <c r="N11" s="36"/>
      <c r="O11" s="36"/>
      <c r="V11" s="22" t="s">
        <v>60</v>
      </c>
      <c r="W11" s="48">
        <f>W10</f>
        <v>84.247275711314273</v>
      </c>
      <c r="X11" s="37">
        <f>W11-X15</f>
        <v>69.30211225399313</v>
      </c>
      <c r="Y11" s="37">
        <f t="shared" ref="Y11:AB11" si="8">X11-Y15</f>
        <v>53.460238989232721</v>
      </c>
      <c r="Z11" s="37">
        <f t="shared" si="8"/>
        <v>36.667853328586688</v>
      </c>
      <c r="AA11" s="37">
        <f t="shared" si="8"/>
        <v>18.867924528301888</v>
      </c>
      <c r="AB11" s="37">
        <f t="shared" si="8"/>
        <v>0</v>
      </c>
      <c r="AN11" s="37"/>
      <c r="AO11" s="37"/>
      <c r="AP11" s="37"/>
      <c r="AQ11" s="37"/>
      <c r="AR11" s="37"/>
      <c r="AS11" s="37"/>
    </row>
    <row r="12" spans="2:45" x14ac:dyDescent="0.25">
      <c r="B12" s="12"/>
      <c r="C12" s="13"/>
      <c r="D12" s="13"/>
      <c r="F12" s="22"/>
      <c r="G12" s="41" t="s">
        <v>32</v>
      </c>
      <c r="H12" s="42">
        <f>SUM(H11)</f>
        <v>0</v>
      </c>
      <c r="I12" s="42">
        <f t="shared" ref="I12:J12" si="9">SUM(I11)</f>
        <v>84.247275711314273</v>
      </c>
      <c r="J12" s="42">
        <f t="shared" si="9"/>
        <v>67.397820569051419</v>
      </c>
      <c r="L12" s="49" t="s">
        <v>49</v>
      </c>
      <c r="M12" s="49"/>
      <c r="N12" s="50"/>
      <c r="O12" s="50"/>
      <c r="W12" s="37"/>
      <c r="X12" s="37"/>
      <c r="Y12" s="37"/>
      <c r="Z12" s="37"/>
      <c r="AA12" s="37"/>
      <c r="AB12" s="37"/>
      <c r="AL12" s="22" t="s">
        <v>59</v>
      </c>
      <c r="AM12" s="51">
        <f>NPV(AM2,AN8:AR8)</f>
        <v>84.247275711314273</v>
      </c>
      <c r="AN12" s="37">
        <f t="shared" ref="AN12:AR12" si="10">AM12-AN10</f>
        <v>69.30211225399313</v>
      </c>
      <c r="AO12" s="37">
        <f t="shared" si="10"/>
        <v>53.460238989232721</v>
      </c>
      <c r="AP12" s="37">
        <f t="shared" si="10"/>
        <v>36.667853328586688</v>
      </c>
      <c r="AQ12" s="37">
        <f t="shared" si="10"/>
        <v>18.867924528301888</v>
      </c>
      <c r="AR12" s="37">
        <f t="shared" si="10"/>
        <v>0</v>
      </c>
      <c r="AS12" s="37"/>
    </row>
    <row r="13" spans="2:45" x14ac:dyDescent="0.25">
      <c r="B13" s="5" t="s">
        <v>62</v>
      </c>
      <c r="C13" s="13">
        <v>0</v>
      </c>
      <c r="D13" s="13">
        <v>0</v>
      </c>
      <c r="F13" s="22"/>
      <c r="G13" s="22"/>
      <c r="H13" s="37"/>
      <c r="I13" s="37"/>
      <c r="J13" s="37"/>
      <c r="L13" s="22"/>
      <c r="M13" s="35" t="s">
        <v>50</v>
      </c>
      <c r="N13" s="36">
        <f>H10-I10</f>
        <v>0</v>
      </c>
      <c r="O13" s="40">
        <v>0</v>
      </c>
      <c r="V13" s="22" t="s">
        <v>61</v>
      </c>
      <c r="W13" s="37"/>
      <c r="X13" s="37">
        <f>W11*$W$2</f>
        <v>5.0548365426788564</v>
      </c>
      <c r="Y13" s="37">
        <f t="shared" ref="Y13:AB13" si="11">X11*$W$2</f>
        <v>4.1581267352395876</v>
      </c>
      <c r="Z13" s="37">
        <f t="shared" si="11"/>
        <v>3.2076143393539631</v>
      </c>
      <c r="AA13" s="37">
        <f t="shared" si="11"/>
        <v>2.2000711997152012</v>
      </c>
      <c r="AB13" s="37">
        <f t="shared" si="11"/>
        <v>1.1320754716981132</v>
      </c>
      <c r="AL13" s="22" t="s">
        <v>60</v>
      </c>
      <c r="AM13" s="51">
        <f>AM12</f>
        <v>84.247275711314273</v>
      </c>
      <c r="AN13" s="37">
        <f t="shared" ref="AN13:AR13" si="12">AM13-AN10</f>
        <v>69.30211225399313</v>
      </c>
      <c r="AO13" s="37">
        <f t="shared" si="12"/>
        <v>53.460238989232721</v>
      </c>
      <c r="AP13" s="37">
        <f t="shared" si="12"/>
        <v>36.667853328586688</v>
      </c>
      <c r="AQ13" s="37">
        <f t="shared" si="12"/>
        <v>18.867924528301888</v>
      </c>
      <c r="AR13" s="37">
        <f t="shared" si="12"/>
        <v>0</v>
      </c>
      <c r="AS13" s="37"/>
    </row>
    <row r="14" spans="2:45" x14ac:dyDescent="0.25">
      <c r="B14" s="5" t="s">
        <v>69</v>
      </c>
      <c r="C14" s="13">
        <v>0</v>
      </c>
      <c r="D14" s="13">
        <f>-X14</f>
        <v>-16.849455142262855</v>
      </c>
      <c r="F14" s="22"/>
      <c r="G14" s="24" t="s">
        <v>33</v>
      </c>
      <c r="H14" s="52">
        <f>+H12+H7</f>
        <v>1000</v>
      </c>
      <c r="I14" s="52">
        <f>+I12+I7</f>
        <v>1234.2472757113142</v>
      </c>
      <c r="J14" s="52">
        <f>+J12+J7</f>
        <v>1352.8738934902867</v>
      </c>
      <c r="L14" s="22"/>
      <c r="M14" s="35" t="s">
        <v>70</v>
      </c>
      <c r="N14" s="36">
        <f>H11-I11</f>
        <v>-84.247275711314273</v>
      </c>
      <c r="O14" s="40"/>
      <c r="P14" s="37"/>
      <c r="V14" s="22" t="s">
        <v>62</v>
      </c>
      <c r="W14" s="37"/>
      <c r="X14" s="37">
        <f>$W$5</f>
        <v>16.849455142262855</v>
      </c>
      <c r="Y14" s="37">
        <f>$W$5</f>
        <v>16.849455142262855</v>
      </c>
      <c r="Z14" s="37">
        <f>$W$5</f>
        <v>16.849455142262855</v>
      </c>
      <c r="AA14" s="37">
        <f>$W$5</f>
        <v>16.849455142262855</v>
      </c>
      <c r="AB14" s="37">
        <f>$W$5</f>
        <v>16.849455142262855</v>
      </c>
      <c r="AN14" s="37"/>
      <c r="AO14" s="37"/>
      <c r="AP14" s="37"/>
      <c r="AQ14" s="37"/>
      <c r="AR14" s="37"/>
      <c r="AS14" s="37"/>
    </row>
    <row r="15" spans="2:45" x14ac:dyDescent="0.25">
      <c r="B15" s="12"/>
      <c r="C15" s="13"/>
      <c r="D15" s="13"/>
      <c r="F15" s="22"/>
      <c r="G15" s="22"/>
      <c r="H15" s="37"/>
      <c r="I15" s="37"/>
      <c r="J15" s="37"/>
      <c r="L15" s="22"/>
      <c r="M15" s="46" t="s">
        <v>51</v>
      </c>
      <c r="N15" s="47">
        <f>SUM(N13:N14)</f>
        <v>-84.247275711314273</v>
      </c>
      <c r="O15" s="47">
        <f>SUM(O13:O14)</f>
        <v>0</v>
      </c>
      <c r="V15" s="22" t="s">
        <v>63</v>
      </c>
      <c r="W15" s="37"/>
      <c r="X15" s="37">
        <f t="shared" ref="X15" si="13">X8-X13</f>
        <v>14.945163457321144</v>
      </c>
      <c r="Y15" s="37">
        <f t="shared" ref="Y15:AB15" si="14">Y8-Y13</f>
        <v>15.841873264760412</v>
      </c>
      <c r="Z15" s="37">
        <f t="shared" si="14"/>
        <v>16.792385660646037</v>
      </c>
      <c r="AA15" s="37">
        <f t="shared" si="14"/>
        <v>17.7999288002848</v>
      </c>
      <c r="AB15" s="37">
        <f t="shared" si="14"/>
        <v>18.867924528301888</v>
      </c>
      <c r="AL15" s="22" t="s">
        <v>63</v>
      </c>
      <c r="AN15" s="37">
        <f t="shared" ref="AN15:AR15" si="15">AN10</f>
        <v>14.945163457321144</v>
      </c>
      <c r="AO15" s="37">
        <f t="shared" si="15"/>
        <v>15.841873264760412</v>
      </c>
      <c r="AP15" s="37">
        <f t="shared" si="15"/>
        <v>16.792385660646037</v>
      </c>
      <c r="AQ15" s="37">
        <f t="shared" si="15"/>
        <v>17.7999288002848</v>
      </c>
      <c r="AR15" s="37">
        <f t="shared" si="15"/>
        <v>18.867924528301888</v>
      </c>
      <c r="AS15" s="37"/>
    </row>
    <row r="16" spans="2:45" s="23" customFormat="1" x14ac:dyDescent="0.25">
      <c r="B16" s="5" t="s">
        <v>3</v>
      </c>
      <c r="C16" s="6">
        <v>0</v>
      </c>
      <c r="D16" s="6">
        <f>-X13</f>
        <v>-5.0548365426788564</v>
      </c>
      <c r="F16" s="49" t="s">
        <v>34</v>
      </c>
      <c r="G16" s="53"/>
      <c r="H16" s="54"/>
      <c r="I16" s="54"/>
      <c r="J16" s="54"/>
      <c r="L16" s="22"/>
      <c r="M16" s="22"/>
      <c r="N16" s="36"/>
      <c r="O16" s="36"/>
      <c r="V16" s="22"/>
      <c r="W16" s="37"/>
      <c r="X16" s="37"/>
      <c r="Y16" s="37"/>
      <c r="Z16" s="37"/>
      <c r="AA16" s="37"/>
      <c r="AB16" s="37"/>
      <c r="AL16" s="22"/>
      <c r="AM16" s="22"/>
      <c r="AN16" s="37"/>
      <c r="AO16" s="37"/>
      <c r="AP16" s="37"/>
      <c r="AQ16" s="37"/>
      <c r="AR16" s="37"/>
      <c r="AS16" s="43"/>
    </row>
    <row r="17" spans="2:45" s="23" customFormat="1" x14ac:dyDescent="0.25">
      <c r="B17" s="5" t="s">
        <v>4</v>
      </c>
      <c r="C17" s="6">
        <v>0</v>
      </c>
      <c r="D17" s="6">
        <v>0</v>
      </c>
      <c r="F17" s="24"/>
      <c r="G17" s="24" t="s">
        <v>35</v>
      </c>
      <c r="H17" s="37"/>
      <c r="I17" s="37"/>
      <c r="J17" s="37"/>
      <c r="L17" s="49" t="s">
        <v>71</v>
      </c>
      <c r="M17" s="49"/>
      <c r="N17" s="50"/>
      <c r="O17" s="50"/>
      <c r="V17" s="55" t="s">
        <v>64</v>
      </c>
      <c r="W17" s="52"/>
      <c r="X17" s="52">
        <f>-X13-X14</f>
        <v>-21.904291684941711</v>
      </c>
      <c r="Y17" s="52">
        <f>-Y13-Y14</f>
        <v>-21.007581877502442</v>
      </c>
      <c r="Z17" s="52">
        <f>-Z13-Z14</f>
        <v>-20.057069481616818</v>
      </c>
      <c r="AA17" s="52">
        <f>-AA13-AA14</f>
        <v>-19.049526341978055</v>
      </c>
      <c r="AB17" s="52">
        <f>-AB13-AB14</f>
        <v>-17.981530613960967</v>
      </c>
      <c r="AC17" s="52">
        <f>SUM(X17:AB17)</f>
        <v>-100</v>
      </c>
      <c r="AL17" s="55" t="s">
        <v>64</v>
      </c>
      <c r="AM17" s="55"/>
      <c r="AN17" s="52">
        <f t="shared" ref="AN17:AR17" si="16">AN9-AN10</f>
        <v>-20</v>
      </c>
      <c r="AO17" s="52">
        <f t="shared" si="16"/>
        <v>-20</v>
      </c>
      <c r="AP17" s="52">
        <f t="shared" si="16"/>
        <v>-20</v>
      </c>
      <c r="AQ17" s="52">
        <f t="shared" si="16"/>
        <v>-20</v>
      </c>
      <c r="AR17" s="52">
        <f t="shared" si="16"/>
        <v>-20</v>
      </c>
      <c r="AS17" s="52">
        <f>SUM(AN17:AR17)</f>
        <v>-100</v>
      </c>
    </row>
    <row r="18" spans="2:45" x14ac:dyDescent="0.25">
      <c r="B18" s="7" t="s">
        <v>9</v>
      </c>
      <c r="C18" s="9">
        <f>SUM(C10:C17)</f>
        <v>200</v>
      </c>
      <c r="D18" s="9">
        <f>SUM(D10:D17)</f>
        <v>178.09570831505829</v>
      </c>
      <c r="E18" s="43"/>
      <c r="F18" s="22"/>
      <c r="G18" s="35" t="s">
        <v>36</v>
      </c>
      <c r="H18" s="40">
        <v>0</v>
      </c>
      <c r="I18" s="40">
        <v>0</v>
      </c>
      <c r="J18" s="36">
        <v>0</v>
      </c>
      <c r="L18" s="22"/>
      <c r="M18" s="35" t="s">
        <v>72</v>
      </c>
      <c r="N18" s="36">
        <f>I22-H22</f>
        <v>84.247275711314273</v>
      </c>
      <c r="O18" s="40">
        <v>0</v>
      </c>
      <c r="V18" s="56"/>
      <c r="W18" s="52"/>
      <c r="Y18" s="52"/>
      <c r="Z18" s="52"/>
      <c r="AA18" s="52"/>
      <c r="AB18" s="52"/>
      <c r="AL18" s="56"/>
      <c r="AM18" s="55"/>
      <c r="AO18" s="52"/>
      <c r="AP18" s="52"/>
      <c r="AQ18" s="52"/>
      <c r="AR18" s="52"/>
      <c r="AS18" s="37"/>
    </row>
    <row r="19" spans="2:45" x14ac:dyDescent="0.25">
      <c r="B19" s="5" t="s">
        <v>5</v>
      </c>
      <c r="C19" s="6">
        <f>-C18*$W$3</f>
        <v>-50</v>
      </c>
      <c r="D19" s="6">
        <f>-D18*$W$3</f>
        <v>-44.523927078764572</v>
      </c>
      <c r="F19" s="22"/>
      <c r="G19" s="46" t="s">
        <v>37</v>
      </c>
      <c r="H19" s="47">
        <f>SUM(H18:H18)</f>
        <v>0</v>
      </c>
      <c r="I19" s="47">
        <f>SUM(I18:I18)</f>
        <v>0</v>
      </c>
      <c r="J19" s="47">
        <f>SUM(J18:J18)</f>
        <v>0</v>
      </c>
      <c r="L19" s="22"/>
      <c r="M19" s="35" t="s">
        <v>73</v>
      </c>
      <c r="N19" s="36">
        <f>-W15</f>
        <v>0</v>
      </c>
      <c r="O19" s="40">
        <f>J22-I22</f>
        <v>-14.945163457321144</v>
      </c>
      <c r="W19" s="37"/>
      <c r="X19" s="37"/>
      <c r="Y19" s="37"/>
      <c r="Z19" s="37"/>
      <c r="AA19" s="37"/>
      <c r="AB19" s="37"/>
      <c r="AN19" s="37"/>
      <c r="AO19" s="37"/>
      <c r="AP19" s="37"/>
      <c r="AQ19" s="37"/>
      <c r="AR19" s="37"/>
      <c r="AS19" s="37"/>
    </row>
    <row r="20" spans="2:45" ht="16.3" thickBot="1" x14ac:dyDescent="0.3">
      <c r="B20" s="10" t="s">
        <v>6</v>
      </c>
      <c r="C20" s="11">
        <f>SUM(C18:C19)</f>
        <v>150</v>
      </c>
      <c r="D20" s="11">
        <f>SUM(D18:D19)</f>
        <v>133.5717812362937</v>
      </c>
      <c r="F20" s="22"/>
      <c r="G20" s="56"/>
      <c r="H20" s="33"/>
      <c r="I20" s="34"/>
      <c r="J20" s="34"/>
      <c r="L20" s="22"/>
      <c r="M20" s="46" t="s">
        <v>51</v>
      </c>
      <c r="N20" s="47">
        <f>SUM(N18:N19)</f>
        <v>84.247275711314273</v>
      </c>
      <c r="O20" s="47">
        <f>SUM(O18:O19)</f>
        <v>-14.945163457321144</v>
      </c>
      <c r="V20" s="22" t="s">
        <v>65</v>
      </c>
      <c r="W20" s="37"/>
      <c r="X20" s="37">
        <f>X17*(1-$W$3)</f>
        <v>-16.428218763706283</v>
      </c>
      <c r="Y20" s="37">
        <f t="shared" ref="Y20:AB20" si="17">Y17*(1-$W$3)</f>
        <v>-15.755686408126831</v>
      </c>
      <c r="Z20" s="37">
        <f t="shared" si="17"/>
        <v>-15.042802111212612</v>
      </c>
      <c r="AA20" s="37">
        <f t="shared" si="17"/>
        <v>-14.287144756483542</v>
      </c>
      <c r="AB20" s="37">
        <f t="shared" si="17"/>
        <v>-13.486147960470724</v>
      </c>
      <c r="AL20" s="22" t="s">
        <v>65</v>
      </c>
      <c r="AN20" s="37">
        <f>AN17*(1-$W$3)</f>
        <v>-15</v>
      </c>
      <c r="AO20" s="37">
        <f t="shared" ref="AO20:AR20" si="18">AO17*(1-$W$3)</f>
        <v>-15</v>
      </c>
      <c r="AP20" s="37">
        <f t="shared" si="18"/>
        <v>-15</v>
      </c>
      <c r="AQ20" s="37">
        <f t="shared" si="18"/>
        <v>-15</v>
      </c>
      <c r="AR20" s="37">
        <f t="shared" si="18"/>
        <v>-15</v>
      </c>
      <c r="AS20" s="37"/>
    </row>
    <row r="21" spans="2:45" x14ac:dyDescent="0.25">
      <c r="F21" s="22"/>
      <c r="G21" s="24" t="s">
        <v>38</v>
      </c>
      <c r="H21" s="37"/>
      <c r="I21" s="37"/>
      <c r="J21" s="37"/>
      <c r="M21" s="22"/>
      <c r="N21" s="36"/>
      <c r="O21" s="36"/>
      <c r="V21" s="22" t="s">
        <v>66</v>
      </c>
      <c r="W21" s="37"/>
      <c r="X21" s="37">
        <f>X14</f>
        <v>16.849455142262855</v>
      </c>
      <c r="Y21" s="37">
        <f t="shared" ref="Y21:AB21" si="19">Y14</f>
        <v>16.849455142262855</v>
      </c>
      <c r="Z21" s="37">
        <f t="shared" si="19"/>
        <v>16.849455142262855</v>
      </c>
      <c r="AA21" s="37">
        <f t="shared" si="19"/>
        <v>16.849455142262855</v>
      </c>
      <c r="AB21" s="37">
        <f t="shared" si="19"/>
        <v>16.849455142262855</v>
      </c>
      <c r="AL21" s="22" t="s">
        <v>80</v>
      </c>
      <c r="AN21" s="37">
        <f>AN10</f>
        <v>14.945163457321144</v>
      </c>
      <c r="AO21" s="37">
        <f t="shared" ref="AO21:AR21" si="20">AO10</f>
        <v>15.841873264760412</v>
      </c>
      <c r="AP21" s="37">
        <f t="shared" si="20"/>
        <v>16.792385660646037</v>
      </c>
      <c r="AQ21" s="37">
        <f t="shared" si="20"/>
        <v>17.7999288002848</v>
      </c>
      <c r="AR21" s="37">
        <f t="shared" si="20"/>
        <v>18.867924528301888</v>
      </c>
      <c r="AS21" s="37"/>
    </row>
    <row r="22" spans="2:45" x14ac:dyDescent="0.25">
      <c r="D22" s="37">
        <f>C20-D20</f>
        <v>16.428218763706298</v>
      </c>
      <c r="F22" s="22"/>
      <c r="G22" s="35" t="s">
        <v>39</v>
      </c>
      <c r="H22" s="40">
        <v>0</v>
      </c>
      <c r="I22" s="40">
        <f>W11</f>
        <v>84.247275711314273</v>
      </c>
      <c r="J22" s="36">
        <f>I22-X15</f>
        <v>69.30211225399313</v>
      </c>
      <c r="M22" s="24" t="s">
        <v>52</v>
      </c>
      <c r="N22" s="33">
        <f>N10+N15+N20</f>
        <v>150</v>
      </c>
      <c r="O22" s="33">
        <f>O10+O15+O20</f>
        <v>135.47607292123541</v>
      </c>
      <c r="W22" s="37"/>
      <c r="X22" s="37"/>
      <c r="Y22" s="37"/>
      <c r="Z22" s="37"/>
      <c r="AA22" s="37"/>
      <c r="AB22" s="37"/>
      <c r="AL22" s="22" t="s">
        <v>81</v>
      </c>
      <c r="AN22" s="37">
        <f>-AN15</f>
        <v>-14.945163457321144</v>
      </c>
      <c r="AO22" s="37">
        <f t="shared" ref="AO22:AR22" si="21">-AO15</f>
        <v>-15.841873264760412</v>
      </c>
      <c r="AP22" s="37">
        <f t="shared" si="21"/>
        <v>-16.792385660646037</v>
      </c>
      <c r="AQ22" s="37">
        <f t="shared" si="21"/>
        <v>-17.7999288002848</v>
      </c>
      <c r="AR22" s="37">
        <f t="shared" si="21"/>
        <v>-18.867924528301888</v>
      </c>
      <c r="AS22" s="37"/>
    </row>
    <row r="23" spans="2:45" x14ac:dyDescent="0.25">
      <c r="F23" s="22"/>
      <c r="G23" s="41" t="s">
        <v>40</v>
      </c>
      <c r="H23" s="42">
        <f>SUM(H22)</f>
        <v>0</v>
      </c>
      <c r="I23" s="42">
        <f t="shared" ref="I23:J23" si="22">SUM(I22)</f>
        <v>84.247275711314273</v>
      </c>
      <c r="J23" s="42">
        <f t="shared" si="22"/>
        <v>69.30211225399313</v>
      </c>
      <c r="V23" s="24" t="s">
        <v>67</v>
      </c>
      <c r="W23" s="33"/>
      <c r="X23" s="33">
        <f t="shared" ref="X23:AB23" si="23">SUM(X20:X22)</f>
        <v>0.42123637855657137</v>
      </c>
      <c r="Y23" s="33">
        <f t="shared" si="23"/>
        <v>1.0937687341360238</v>
      </c>
      <c r="Z23" s="33">
        <f t="shared" si="23"/>
        <v>1.8066530310502422</v>
      </c>
      <c r="AA23" s="33">
        <f t="shared" si="23"/>
        <v>2.5623103857793126</v>
      </c>
      <c r="AB23" s="33">
        <f t="shared" si="23"/>
        <v>3.3633071817921305</v>
      </c>
      <c r="AL23" s="24" t="s">
        <v>67</v>
      </c>
      <c r="AM23" s="24"/>
      <c r="AN23" s="33">
        <f t="shared" ref="AN23" si="24">SUM(AN20:AN22)</f>
        <v>-15</v>
      </c>
      <c r="AO23" s="33">
        <f t="shared" ref="AO23" si="25">SUM(AO20:AO22)</f>
        <v>-15</v>
      </c>
      <c r="AP23" s="33">
        <f t="shared" ref="AP23" si="26">SUM(AP20:AP22)</f>
        <v>-15</v>
      </c>
      <c r="AQ23" s="33">
        <f t="shared" ref="AQ23" si="27">SUM(AQ20:AQ22)</f>
        <v>-15</v>
      </c>
      <c r="AR23" s="33">
        <f t="shared" ref="AR23" si="28">SUM(AR20:AR22)</f>
        <v>-15</v>
      </c>
      <c r="AS23" s="33">
        <f>SUM(AN23:AR23)</f>
        <v>-75</v>
      </c>
    </row>
    <row r="24" spans="2:45" x14ac:dyDescent="0.25">
      <c r="F24" s="22"/>
      <c r="G24" s="22"/>
      <c r="H24" s="37"/>
      <c r="I24" s="37"/>
      <c r="J24" s="37"/>
      <c r="W24" s="37"/>
      <c r="X24" s="37"/>
      <c r="Y24" s="37"/>
      <c r="Z24" s="37"/>
      <c r="AA24" s="37"/>
      <c r="AB24" s="37"/>
      <c r="AN24" s="37"/>
      <c r="AO24" s="37"/>
      <c r="AP24" s="37"/>
      <c r="AQ24" s="37"/>
      <c r="AR24" s="37"/>
      <c r="AS24" s="37"/>
    </row>
    <row r="25" spans="2:45" x14ac:dyDescent="0.25">
      <c r="F25" s="22"/>
      <c r="G25" s="24" t="s">
        <v>41</v>
      </c>
      <c r="H25" s="34">
        <v>1000</v>
      </c>
      <c r="I25" s="34">
        <f>H25+N4</f>
        <v>1150</v>
      </c>
      <c r="J25" s="34">
        <f>I25+O4</f>
        <v>1283.5717812362936</v>
      </c>
      <c r="V25" s="22" t="s">
        <v>63</v>
      </c>
      <c r="W25" s="37"/>
      <c r="X25" s="37">
        <f>-X15</f>
        <v>-14.945163457321144</v>
      </c>
      <c r="Y25" s="37">
        <f t="shared" ref="Y25:AB25" si="29">-Y15</f>
        <v>-15.841873264760412</v>
      </c>
      <c r="Z25" s="37">
        <f t="shared" si="29"/>
        <v>-16.792385660646037</v>
      </c>
      <c r="AA25" s="37">
        <f t="shared" si="29"/>
        <v>-17.7999288002848</v>
      </c>
      <c r="AB25" s="37">
        <f t="shared" si="29"/>
        <v>-18.867924528301888</v>
      </c>
      <c r="AL25" s="24"/>
      <c r="AM25" s="24"/>
      <c r="AO25" s="33"/>
      <c r="AP25" s="33"/>
      <c r="AQ25" s="33"/>
      <c r="AR25" s="33"/>
      <c r="AS25" s="37"/>
    </row>
    <row r="26" spans="2:45" x14ac:dyDescent="0.25">
      <c r="F26" s="22"/>
      <c r="G26" s="22"/>
      <c r="H26" s="37"/>
      <c r="I26" s="37"/>
      <c r="J26" s="37"/>
      <c r="K26" s="43"/>
      <c r="W26" s="37"/>
      <c r="X26" s="37"/>
      <c r="Y26" s="37"/>
      <c r="Z26" s="37"/>
      <c r="AA26" s="37"/>
      <c r="AB26" s="37"/>
      <c r="AN26" s="37"/>
      <c r="AO26" s="37"/>
      <c r="AP26" s="37"/>
      <c r="AQ26" s="37"/>
      <c r="AR26" s="37"/>
      <c r="AS26" s="37"/>
    </row>
    <row r="27" spans="2:45" x14ac:dyDescent="0.25">
      <c r="F27" s="22"/>
      <c r="G27" s="24" t="s">
        <v>42</v>
      </c>
      <c r="H27" s="33">
        <f>H19+H23+H25</f>
        <v>1000</v>
      </c>
      <c r="I27" s="33">
        <f>I19+I23+I25</f>
        <v>1234.2472757113142</v>
      </c>
      <c r="J27" s="33">
        <f>J19+J23+J25</f>
        <v>1352.8738934902867</v>
      </c>
      <c r="V27" s="24" t="s">
        <v>68</v>
      </c>
      <c r="W27" s="33"/>
      <c r="X27" s="33">
        <f>X23+X25</f>
        <v>-14.523927078764572</v>
      </c>
      <c r="Y27" s="33">
        <f t="shared" ref="Y27:AB27" si="30">Y23+Y25</f>
        <v>-14.748104530624389</v>
      </c>
      <c r="Z27" s="33">
        <f t="shared" si="30"/>
        <v>-14.985732629595795</v>
      </c>
      <c r="AA27" s="33">
        <f t="shared" si="30"/>
        <v>-15.237618414505487</v>
      </c>
      <c r="AB27" s="33">
        <f t="shared" si="30"/>
        <v>-15.504617346509757</v>
      </c>
      <c r="AC27" s="33">
        <f>SUM(X27:AB27)</f>
        <v>-75</v>
      </c>
    </row>
    <row r="28" spans="2:45" x14ac:dyDescent="0.25">
      <c r="F28" s="22"/>
      <c r="G28" s="22"/>
      <c r="H28" s="22"/>
      <c r="I28" s="22"/>
      <c r="J28" s="22"/>
      <c r="V28" s="24"/>
      <c r="W28" s="33"/>
      <c r="Y28" s="33"/>
      <c r="Z28" s="33"/>
      <c r="AA28" s="33"/>
      <c r="AB28" s="33"/>
    </row>
    <row r="29" spans="2:45" x14ac:dyDescent="0.25">
      <c r="F29" s="22"/>
      <c r="G29" s="24"/>
      <c r="H29" s="57"/>
      <c r="I29" s="57"/>
      <c r="J29" s="57"/>
    </row>
    <row r="30" spans="2:45" x14ac:dyDescent="0.25">
      <c r="F30" s="22"/>
    </row>
    <row r="31" spans="2:45" x14ac:dyDescent="0.25">
      <c r="F31" s="22"/>
    </row>
    <row r="33" spans="5:14" x14ac:dyDescent="0.25">
      <c r="L33" s="22"/>
    </row>
    <row r="36" spans="5:14" x14ac:dyDescent="0.25">
      <c r="G36" s="22"/>
      <c r="H36" s="22"/>
      <c r="I36" s="22"/>
      <c r="J36" s="22"/>
    </row>
    <row r="38" spans="5:14" x14ac:dyDescent="0.25">
      <c r="F38" s="22"/>
    </row>
    <row r="39" spans="5:14" x14ac:dyDescent="0.25">
      <c r="E39" s="22"/>
      <c r="K39" s="22"/>
    </row>
    <row r="41" spans="5:14" x14ac:dyDescent="0.25">
      <c r="M41" s="22"/>
      <c r="N41" s="22"/>
    </row>
  </sheetData>
  <pageMargins left="0.7" right="0.7" top="0.75" bottom="0.75" header="0.3" footer="0.3"/>
  <ignoredErrors>
    <ignoredError sqref="C6:D6 N10:O10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7349-3BD4-44E3-B111-A698BB53A9A5}">
  <dimension ref="B1:AA41"/>
  <sheetViews>
    <sheetView showGridLines="0" zoomScaleNormal="100" workbookViewId="0">
      <selection activeCell="E12" sqref="E12"/>
    </sheetView>
  </sheetViews>
  <sheetFormatPr defaultRowHeight="15.65" x14ac:dyDescent="0.25"/>
  <cols>
    <col min="1" max="1" width="2.875" style="22" customWidth="1"/>
    <col min="2" max="2" width="27.375" style="22" customWidth="1"/>
    <col min="3" max="4" width="13.875" style="22" customWidth="1"/>
    <col min="5" max="5" width="7.625" style="23" customWidth="1"/>
    <col min="6" max="6" width="2.75" style="23" customWidth="1"/>
    <col min="7" max="7" width="44.375" style="23" bestFit="1" customWidth="1"/>
    <col min="8" max="10" width="8.875" style="23" bestFit="1" customWidth="1"/>
    <col min="11" max="11" width="9" style="23"/>
    <col min="12" max="12" width="2.125" style="23" customWidth="1"/>
    <col min="13" max="13" width="40.375" style="23" bestFit="1" customWidth="1"/>
    <col min="14" max="15" width="9.75" style="23" bestFit="1" customWidth="1"/>
    <col min="16" max="19" width="9" style="22"/>
    <col min="20" max="20" width="27.375" style="22" bestFit="1" customWidth="1"/>
    <col min="21" max="21" width="9" style="22"/>
    <col min="22" max="26" width="10.625" style="22" customWidth="1"/>
    <col min="27" max="16384" width="9" style="22"/>
  </cols>
  <sheetData>
    <row r="1" spans="2:27" x14ac:dyDescent="0.25">
      <c r="T1" s="24" t="s">
        <v>58</v>
      </c>
      <c r="U1" s="25">
        <v>20</v>
      </c>
      <c r="X1" s="26" t="s">
        <v>78</v>
      </c>
    </row>
    <row r="2" spans="2:27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L2" s="27" t="s">
        <v>75</v>
      </c>
      <c r="M2" s="28"/>
      <c r="N2" s="28"/>
      <c r="O2" s="28"/>
      <c r="P2" s="28"/>
      <c r="T2" s="24" t="s">
        <v>53</v>
      </c>
      <c r="U2" s="29">
        <v>0.06</v>
      </c>
      <c r="V2" s="23"/>
      <c r="W2" s="23"/>
      <c r="X2" s="23"/>
      <c r="Y2" s="23"/>
      <c r="Z2" s="23"/>
    </row>
    <row r="3" spans="2:27" x14ac:dyDescent="0.25">
      <c r="B3" s="30"/>
      <c r="C3" s="31">
        <v>1</v>
      </c>
      <c r="D3" s="31">
        <v>2</v>
      </c>
      <c r="F3" s="25" t="s">
        <v>25</v>
      </c>
      <c r="G3" s="32"/>
      <c r="H3" s="31">
        <v>0</v>
      </c>
      <c r="I3" s="31">
        <v>1</v>
      </c>
      <c r="J3" s="31">
        <v>2</v>
      </c>
      <c r="L3" s="25" t="s">
        <v>43</v>
      </c>
      <c r="M3" s="25"/>
      <c r="N3" s="31">
        <v>0</v>
      </c>
      <c r="O3" s="31">
        <v>1</v>
      </c>
      <c r="P3" s="31">
        <v>2</v>
      </c>
      <c r="T3" s="24" t="s">
        <v>54</v>
      </c>
      <c r="U3" s="29">
        <v>0.25</v>
      </c>
      <c r="V3" s="23"/>
      <c r="W3" s="23"/>
      <c r="X3" s="23"/>
      <c r="Y3" s="23"/>
      <c r="Z3" s="23"/>
    </row>
    <row r="4" spans="2:27" x14ac:dyDescent="0.25">
      <c r="B4" s="5" t="s">
        <v>23</v>
      </c>
      <c r="C4" s="6">
        <v>1000</v>
      </c>
      <c r="D4" s="6">
        <v>1000</v>
      </c>
      <c r="F4" s="22"/>
      <c r="G4" s="24" t="s">
        <v>26</v>
      </c>
      <c r="H4" s="22"/>
      <c r="I4" s="22"/>
      <c r="J4" s="22"/>
      <c r="L4" s="22"/>
      <c r="M4" s="24" t="s">
        <v>44</v>
      </c>
      <c r="N4" s="24"/>
      <c r="O4" s="33">
        <f>C21</f>
        <v>126</v>
      </c>
      <c r="P4" s="34">
        <f>D21</f>
        <v>126</v>
      </c>
      <c r="T4" s="24" t="s">
        <v>55</v>
      </c>
      <c r="U4" s="25">
        <v>5</v>
      </c>
      <c r="V4" s="23"/>
      <c r="W4" s="23"/>
      <c r="X4" s="23"/>
      <c r="Y4" s="23"/>
      <c r="Z4" s="23"/>
    </row>
    <row r="5" spans="2:27" x14ac:dyDescent="0.25">
      <c r="B5" s="5" t="s">
        <v>24</v>
      </c>
      <c r="C5" s="6">
        <v>-700</v>
      </c>
      <c r="D5" s="6">
        <v>-700</v>
      </c>
      <c r="F5" s="22"/>
      <c r="G5" s="35" t="s">
        <v>27</v>
      </c>
      <c r="H5" s="36">
        <f>H27-H12</f>
        <v>999.99999999999989</v>
      </c>
      <c r="I5" s="36">
        <f>H5+O24</f>
        <v>1126</v>
      </c>
      <c r="J5" s="36">
        <f>I5+P24</f>
        <v>1252</v>
      </c>
      <c r="L5" s="22"/>
      <c r="M5" s="24" t="s">
        <v>45</v>
      </c>
      <c r="N5" s="24"/>
      <c r="O5" s="37"/>
      <c r="P5" s="37"/>
      <c r="U5" s="39"/>
      <c r="V5" s="23"/>
      <c r="W5" s="23"/>
      <c r="X5" s="23"/>
      <c r="Y5" s="23"/>
      <c r="Z5" s="23"/>
    </row>
    <row r="6" spans="2:27" x14ac:dyDescent="0.25">
      <c r="B6" s="7" t="s">
        <v>1</v>
      </c>
      <c r="C6" s="8">
        <f>SUM(C4:C5)</f>
        <v>300</v>
      </c>
      <c r="D6" s="8">
        <f>SUM(D4:D5)</f>
        <v>300</v>
      </c>
      <c r="F6" s="22"/>
      <c r="G6" s="35" t="s">
        <v>28</v>
      </c>
      <c r="H6" s="40">
        <v>0</v>
      </c>
      <c r="I6" s="40">
        <v>0</v>
      </c>
      <c r="J6" s="36">
        <v>0</v>
      </c>
      <c r="L6" s="22"/>
      <c r="M6" s="35" t="s">
        <v>46</v>
      </c>
      <c r="N6" s="118"/>
      <c r="O6" s="118"/>
      <c r="P6" s="118"/>
      <c r="V6" s="23"/>
      <c r="W6" s="23"/>
      <c r="X6" s="23"/>
      <c r="Y6" s="23"/>
      <c r="Z6" s="23"/>
    </row>
    <row r="7" spans="2:27" x14ac:dyDescent="0.25">
      <c r="B7" s="15" t="s">
        <v>10</v>
      </c>
      <c r="C7" s="20">
        <f>C6/C4</f>
        <v>0.3</v>
      </c>
      <c r="D7" s="20">
        <f>D6/D4</f>
        <v>0.3</v>
      </c>
      <c r="F7" s="22"/>
      <c r="G7" s="41" t="s">
        <v>29</v>
      </c>
      <c r="H7" s="42">
        <f>SUM(H5:H6)</f>
        <v>999.99999999999989</v>
      </c>
      <c r="I7" s="42">
        <f>SUM(I5:I6)</f>
        <v>1126</v>
      </c>
      <c r="J7" s="42">
        <f>SUM(J5:J6)</f>
        <v>1252</v>
      </c>
      <c r="L7" s="22"/>
      <c r="M7" s="35" t="s">
        <v>175</v>
      </c>
      <c r="N7" s="118">
        <f>-H11</f>
        <v>-84.247275711314273</v>
      </c>
      <c r="O7" s="118">
        <f>H11-I11</f>
        <v>14.945163457321144</v>
      </c>
      <c r="P7" s="118">
        <f>I11-J11</f>
        <v>15.841873264760409</v>
      </c>
      <c r="U7" s="24"/>
      <c r="V7" s="31">
        <v>1</v>
      </c>
      <c r="W7" s="31">
        <f>V7+1</f>
        <v>2</v>
      </c>
      <c r="X7" s="31">
        <f t="shared" ref="X7:Z7" si="0">W7+1</f>
        <v>3</v>
      </c>
      <c r="Y7" s="31">
        <f t="shared" si="0"/>
        <v>4</v>
      </c>
      <c r="Z7" s="31">
        <f t="shared" si="0"/>
        <v>5</v>
      </c>
    </row>
    <row r="8" spans="2:27" x14ac:dyDescent="0.25">
      <c r="B8" s="12"/>
      <c r="C8" s="14"/>
      <c r="D8" s="14"/>
      <c r="F8" s="22"/>
      <c r="G8" s="35"/>
      <c r="H8" s="40"/>
      <c r="I8" s="40"/>
      <c r="J8" s="36"/>
      <c r="L8" s="22"/>
      <c r="M8" s="35" t="s">
        <v>176</v>
      </c>
      <c r="N8" s="118">
        <f>-H22</f>
        <v>-84.247275711314273</v>
      </c>
      <c r="O8" s="118">
        <f>I22-H22</f>
        <v>-14.945163457321144</v>
      </c>
      <c r="P8" s="118">
        <f>J22-I22</f>
        <v>-15.841873264760409</v>
      </c>
      <c r="T8" s="22" t="s">
        <v>57</v>
      </c>
      <c r="V8" s="43">
        <f>U1</f>
        <v>20</v>
      </c>
      <c r="W8" s="43">
        <f t="shared" ref="W8:Z8" si="1">V8</f>
        <v>20</v>
      </c>
      <c r="X8" s="43">
        <f t="shared" si="1"/>
        <v>20</v>
      </c>
      <c r="Y8" s="43">
        <f t="shared" si="1"/>
        <v>20</v>
      </c>
      <c r="Z8" s="43">
        <f t="shared" si="1"/>
        <v>20</v>
      </c>
      <c r="AA8" s="37"/>
    </row>
    <row r="9" spans="2:27" x14ac:dyDescent="0.25">
      <c r="B9" s="5" t="s">
        <v>2</v>
      </c>
      <c r="C9" s="6">
        <v>-100</v>
      </c>
      <c r="D9" s="6">
        <v>-100</v>
      </c>
      <c r="F9" s="22"/>
      <c r="G9" s="24" t="s">
        <v>30</v>
      </c>
      <c r="H9" s="37"/>
      <c r="I9" s="37"/>
      <c r="J9" s="37"/>
      <c r="L9" s="22"/>
      <c r="M9" s="24" t="s">
        <v>47</v>
      </c>
      <c r="N9" s="24"/>
      <c r="O9" s="37"/>
      <c r="P9" s="37"/>
      <c r="T9" s="44" t="s">
        <v>79</v>
      </c>
      <c r="U9" s="44"/>
      <c r="V9" s="45">
        <f>-$U$13*$U$2</f>
        <v>-5.0548365426788564</v>
      </c>
      <c r="W9" s="45">
        <f t="shared" ref="W9:Z9" si="2">-V13*$U$2</f>
        <v>-4.1581267352395876</v>
      </c>
      <c r="X9" s="45">
        <f t="shared" si="2"/>
        <v>-3.2076143393539631</v>
      </c>
      <c r="Y9" s="45">
        <f t="shared" si="2"/>
        <v>-2.2000711997152012</v>
      </c>
      <c r="Z9" s="45">
        <f t="shared" si="2"/>
        <v>-1.1320754716981132</v>
      </c>
      <c r="AA9" s="37"/>
    </row>
    <row r="10" spans="2:27" x14ac:dyDescent="0.25">
      <c r="B10" s="5" t="s">
        <v>177</v>
      </c>
      <c r="C10" s="127">
        <f>-V8</f>
        <v>-20</v>
      </c>
      <c r="D10" s="127">
        <f>-W8</f>
        <v>-20</v>
      </c>
      <c r="F10" s="22"/>
      <c r="G10" s="35" t="s">
        <v>31</v>
      </c>
      <c r="H10" s="40">
        <v>0</v>
      </c>
      <c r="I10" s="40">
        <f>Z13</f>
        <v>0</v>
      </c>
      <c r="J10" s="40">
        <v>0</v>
      </c>
      <c r="L10" s="22"/>
      <c r="M10" s="35" t="s">
        <v>28</v>
      </c>
      <c r="N10" s="35"/>
      <c r="O10" s="37">
        <v>0</v>
      </c>
      <c r="P10" s="37">
        <v>0</v>
      </c>
      <c r="T10" s="22" t="s">
        <v>62</v>
      </c>
      <c r="V10" s="43">
        <f t="shared" ref="V10:Z10" si="3">V8+V9</f>
        <v>14.945163457321144</v>
      </c>
      <c r="W10" s="43">
        <f t="shared" si="3"/>
        <v>15.841873264760412</v>
      </c>
      <c r="X10" s="43">
        <f t="shared" si="3"/>
        <v>16.792385660646037</v>
      </c>
      <c r="Y10" s="43">
        <f t="shared" si="3"/>
        <v>17.7999288002848</v>
      </c>
      <c r="Z10" s="43">
        <f t="shared" si="3"/>
        <v>18.867924528301888</v>
      </c>
      <c r="AA10" s="37"/>
    </row>
    <row r="11" spans="2:27" x14ac:dyDescent="0.25">
      <c r="B11" s="7" t="s">
        <v>7</v>
      </c>
      <c r="C11" s="8">
        <f>C6+C9+C10</f>
        <v>180</v>
      </c>
      <c r="D11" s="8">
        <f>D6+D9+D10</f>
        <v>180</v>
      </c>
      <c r="F11" s="22"/>
      <c r="G11" s="35" t="s">
        <v>76</v>
      </c>
      <c r="H11" s="127">
        <f t="shared" ref="H11:J11" si="4">U12</f>
        <v>84.247275711314273</v>
      </c>
      <c r="I11" s="127">
        <f t="shared" si="4"/>
        <v>69.30211225399313</v>
      </c>
      <c r="J11" s="127">
        <f t="shared" si="4"/>
        <v>53.460238989232721</v>
      </c>
      <c r="L11" s="22"/>
      <c r="M11" s="35" t="s">
        <v>36</v>
      </c>
      <c r="N11" s="35"/>
      <c r="O11" s="37">
        <v>0</v>
      </c>
      <c r="P11" s="37">
        <v>0</v>
      </c>
      <c r="V11" s="37"/>
      <c r="W11" s="37"/>
      <c r="X11" s="37"/>
      <c r="Y11" s="37"/>
      <c r="Z11" s="37"/>
      <c r="AA11" s="37"/>
    </row>
    <row r="12" spans="2:27" x14ac:dyDescent="0.25">
      <c r="B12" s="15" t="s">
        <v>8</v>
      </c>
      <c r="C12" s="14"/>
      <c r="D12" s="14"/>
      <c r="F12" s="22"/>
      <c r="G12" s="41" t="s">
        <v>32</v>
      </c>
      <c r="H12" s="42">
        <f>SUM(H11)</f>
        <v>84.247275711314273</v>
      </c>
      <c r="I12" s="42">
        <f t="shared" ref="I12:J12" si="5">SUM(I11)</f>
        <v>69.30211225399313</v>
      </c>
      <c r="J12" s="42">
        <f t="shared" si="5"/>
        <v>53.460238989232721</v>
      </c>
      <c r="M12" s="46" t="s">
        <v>48</v>
      </c>
      <c r="N12" s="46"/>
      <c r="O12" s="47">
        <f>SUM(O4:O11)</f>
        <v>126</v>
      </c>
      <c r="P12" s="47">
        <f>SUM(P4:P11)</f>
        <v>126</v>
      </c>
      <c r="T12" s="22" t="s">
        <v>59</v>
      </c>
      <c r="U12" s="51">
        <f>NPV(U2,V8:Z8)</f>
        <v>84.247275711314273</v>
      </c>
      <c r="V12" s="37">
        <f t="shared" ref="V12:Z12" si="6">U12-V10</f>
        <v>69.30211225399313</v>
      </c>
      <c r="W12" s="37">
        <f t="shared" si="6"/>
        <v>53.460238989232721</v>
      </c>
      <c r="X12" s="37">
        <f t="shared" si="6"/>
        <v>36.667853328586688</v>
      </c>
      <c r="Y12" s="37">
        <f t="shared" si="6"/>
        <v>18.867924528301888</v>
      </c>
      <c r="Z12" s="37">
        <f t="shared" si="6"/>
        <v>0</v>
      </c>
      <c r="AA12" s="37"/>
    </row>
    <row r="13" spans="2:27" x14ac:dyDescent="0.25">
      <c r="B13" s="12"/>
      <c r="C13" s="13"/>
      <c r="D13" s="13"/>
      <c r="F13" s="22"/>
      <c r="G13" s="22"/>
      <c r="H13" s="37"/>
      <c r="I13" s="37"/>
      <c r="J13" s="37"/>
      <c r="L13" s="22"/>
      <c r="M13" s="35"/>
      <c r="N13" s="35"/>
      <c r="O13" s="36"/>
      <c r="P13" s="36"/>
      <c r="T13" s="22" t="s">
        <v>60</v>
      </c>
      <c r="U13" s="51">
        <f>U12</f>
        <v>84.247275711314273</v>
      </c>
      <c r="V13" s="37">
        <f t="shared" ref="V13:Z13" si="7">U13-V10</f>
        <v>69.30211225399313</v>
      </c>
      <c r="W13" s="37">
        <f t="shared" si="7"/>
        <v>53.460238989232721</v>
      </c>
      <c r="X13" s="37">
        <f t="shared" si="7"/>
        <v>36.667853328586688</v>
      </c>
      <c r="Y13" s="37">
        <f t="shared" si="7"/>
        <v>18.867924528301888</v>
      </c>
      <c r="Z13" s="37">
        <f t="shared" si="7"/>
        <v>0</v>
      </c>
      <c r="AA13" s="37"/>
    </row>
    <row r="14" spans="2:27" x14ac:dyDescent="0.25">
      <c r="B14" s="5" t="s">
        <v>62</v>
      </c>
      <c r="C14" s="13">
        <v>0</v>
      </c>
      <c r="D14" s="13">
        <v>0</v>
      </c>
      <c r="F14" s="22"/>
      <c r="G14" s="24" t="s">
        <v>33</v>
      </c>
      <c r="H14" s="52">
        <f>+H12+H7</f>
        <v>1084.2472757113142</v>
      </c>
      <c r="I14" s="52">
        <f>+I12+I7</f>
        <v>1195.3021122539931</v>
      </c>
      <c r="J14" s="52">
        <f>+J12+J7</f>
        <v>1305.4602389892327</v>
      </c>
      <c r="L14" s="49" t="s">
        <v>49</v>
      </c>
      <c r="M14" s="49"/>
      <c r="N14" s="49"/>
      <c r="O14" s="50"/>
      <c r="P14" s="50"/>
      <c r="V14" s="37"/>
      <c r="W14" s="37"/>
      <c r="X14" s="37"/>
      <c r="Y14" s="37"/>
      <c r="Z14" s="37"/>
      <c r="AA14" s="37"/>
    </row>
    <row r="15" spans="2:27" x14ac:dyDescent="0.25">
      <c r="B15" s="5" t="s">
        <v>69</v>
      </c>
      <c r="C15" s="13">
        <v>0</v>
      </c>
      <c r="D15" s="13">
        <v>0</v>
      </c>
      <c r="F15" s="22"/>
      <c r="G15" s="22"/>
      <c r="H15" s="37"/>
      <c r="I15" s="37"/>
      <c r="J15" s="37"/>
      <c r="L15" s="22"/>
      <c r="M15" s="35" t="s">
        <v>50</v>
      </c>
      <c r="N15" s="36">
        <v>0</v>
      </c>
      <c r="O15" s="36">
        <v>0</v>
      </c>
      <c r="P15" s="40">
        <v>0</v>
      </c>
      <c r="T15" s="22" t="s">
        <v>63</v>
      </c>
      <c r="V15" s="37">
        <f t="shared" ref="V15:Z15" si="8">V10</f>
        <v>14.945163457321144</v>
      </c>
      <c r="W15" s="37">
        <f t="shared" si="8"/>
        <v>15.841873264760412</v>
      </c>
      <c r="X15" s="37">
        <f t="shared" si="8"/>
        <v>16.792385660646037</v>
      </c>
      <c r="Y15" s="37">
        <f t="shared" si="8"/>
        <v>17.7999288002848</v>
      </c>
      <c r="Z15" s="37">
        <f t="shared" si="8"/>
        <v>18.867924528301888</v>
      </c>
      <c r="AA15" s="37"/>
    </row>
    <row r="16" spans="2:27" s="23" customFormat="1" x14ac:dyDescent="0.25">
      <c r="B16" s="12"/>
      <c r="C16" s="13"/>
      <c r="D16" s="13"/>
      <c r="F16" s="49" t="s">
        <v>34</v>
      </c>
      <c r="G16" s="53"/>
      <c r="H16" s="54"/>
      <c r="I16" s="54"/>
      <c r="J16" s="54"/>
      <c r="L16" s="22"/>
      <c r="M16" s="35" t="s">
        <v>70</v>
      </c>
      <c r="N16" s="36">
        <v>0</v>
      </c>
      <c r="O16" s="36">
        <v>0</v>
      </c>
      <c r="P16" s="40">
        <v>0</v>
      </c>
      <c r="T16" s="22"/>
      <c r="U16" s="22"/>
      <c r="V16" s="37"/>
      <c r="W16" s="37"/>
      <c r="X16" s="37"/>
      <c r="Y16" s="37"/>
      <c r="Z16" s="37"/>
      <c r="AA16" s="43"/>
    </row>
    <row r="17" spans="2:27" s="23" customFormat="1" x14ac:dyDescent="0.25">
      <c r="B17" s="5" t="s">
        <v>3</v>
      </c>
      <c r="C17" s="13">
        <v>0</v>
      </c>
      <c r="D17" s="13">
        <v>0</v>
      </c>
      <c r="F17" s="24"/>
      <c r="G17" s="24" t="s">
        <v>35</v>
      </c>
      <c r="H17" s="37"/>
      <c r="I17" s="37"/>
      <c r="J17" s="37"/>
      <c r="M17" s="46" t="s">
        <v>51</v>
      </c>
      <c r="N17" s="47">
        <f>SUM(N15:N16)</f>
        <v>0</v>
      </c>
      <c r="O17" s="47">
        <f>SUM(O15:O16)</f>
        <v>0</v>
      </c>
      <c r="P17" s="47">
        <f>SUM(P15:P16)</f>
        <v>0</v>
      </c>
      <c r="T17" s="55" t="s">
        <v>64</v>
      </c>
      <c r="U17" s="55"/>
      <c r="V17" s="52">
        <f t="shared" ref="V17:Z17" si="9">V9-V10</f>
        <v>-20</v>
      </c>
      <c r="W17" s="52">
        <f t="shared" si="9"/>
        <v>-20</v>
      </c>
      <c r="X17" s="52">
        <f t="shared" si="9"/>
        <v>-20</v>
      </c>
      <c r="Y17" s="52">
        <f t="shared" si="9"/>
        <v>-20</v>
      </c>
      <c r="Z17" s="52">
        <f t="shared" si="9"/>
        <v>-20</v>
      </c>
      <c r="AA17" s="52">
        <f>SUM(V17:Z17)</f>
        <v>-100</v>
      </c>
    </row>
    <row r="18" spans="2:27" x14ac:dyDescent="0.25">
      <c r="B18" s="5" t="s">
        <v>4</v>
      </c>
      <c r="C18" s="6">
        <v>0</v>
      </c>
      <c r="D18" s="6">
        <v>0</v>
      </c>
      <c r="E18" s="43"/>
      <c r="F18" s="22"/>
      <c r="G18" s="35" t="s">
        <v>36</v>
      </c>
      <c r="H18" s="40">
        <v>0</v>
      </c>
      <c r="I18" s="40">
        <v>0</v>
      </c>
      <c r="J18" s="36">
        <v>0</v>
      </c>
      <c r="L18" s="22"/>
      <c r="M18" s="22"/>
      <c r="N18" s="22"/>
      <c r="O18" s="36"/>
      <c r="P18" s="36"/>
      <c r="T18" s="56"/>
      <c r="U18" s="55"/>
      <c r="W18" s="52"/>
      <c r="X18" s="52"/>
      <c r="Y18" s="52"/>
      <c r="Z18" s="52"/>
      <c r="AA18" s="37"/>
    </row>
    <row r="19" spans="2:27" x14ac:dyDescent="0.25">
      <c r="B19" s="7" t="s">
        <v>9</v>
      </c>
      <c r="C19" s="9">
        <f>SUM(C11:C18)</f>
        <v>180</v>
      </c>
      <c r="D19" s="9">
        <f>SUM(D11:D18)</f>
        <v>180</v>
      </c>
      <c r="F19" s="22"/>
      <c r="G19" s="46" t="s">
        <v>37</v>
      </c>
      <c r="H19" s="47">
        <f>SUM(H18:H18)</f>
        <v>0</v>
      </c>
      <c r="I19" s="47">
        <f>SUM(I18:I18)</f>
        <v>0</v>
      </c>
      <c r="J19" s="47">
        <f>SUM(J18:J18)</f>
        <v>0</v>
      </c>
      <c r="L19" s="49" t="s">
        <v>71</v>
      </c>
      <c r="M19" s="49"/>
      <c r="N19" s="49"/>
      <c r="O19" s="50"/>
      <c r="P19" s="50"/>
      <c r="V19" s="37"/>
      <c r="W19" s="37"/>
      <c r="X19" s="37"/>
      <c r="Y19" s="37"/>
      <c r="Z19" s="37"/>
      <c r="AA19" s="37"/>
    </row>
    <row r="20" spans="2:27" x14ac:dyDescent="0.25">
      <c r="B20" s="5" t="s">
        <v>5</v>
      </c>
      <c r="C20" s="6">
        <f t="shared" ref="C20:D20" si="10">C19*-30%</f>
        <v>-54</v>
      </c>
      <c r="D20" s="6">
        <f t="shared" si="10"/>
        <v>-54</v>
      </c>
      <c r="F20" s="22"/>
      <c r="G20" s="56"/>
      <c r="H20" s="33"/>
      <c r="I20" s="34"/>
      <c r="J20" s="34"/>
      <c r="L20" s="22"/>
      <c r="M20" s="35" t="s">
        <v>72</v>
      </c>
      <c r="N20" s="36">
        <v>0</v>
      </c>
      <c r="O20" s="36">
        <v>0</v>
      </c>
      <c r="P20" s="40">
        <v>0</v>
      </c>
      <c r="T20" s="22" t="s">
        <v>65</v>
      </c>
      <c r="V20" s="37">
        <f>V17*(1-$U$3)</f>
        <v>-15</v>
      </c>
      <c r="W20" s="37">
        <f t="shared" ref="W20:Z20" si="11">W17*(1-$U$3)</f>
        <v>-15</v>
      </c>
      <c r="X20" s="37">
        <f t="shared" si="11"/>
        <v>-15</v>
      </c>
      <c r="Y20" s="37">
        <f t="shared" si="11"/>
        <v>-15</v>
      </c>
      <c r="Z20" s="37">
        <f t="shared" si="11"/>
        <v>-15</v>
      </c>
      <c r="AA20" s="37"/>
    </row>
    <row r="21" spans="2:27" ht="16.3" thickBot="1" x14ac:dyDescent="0.3">
      <c r="B21" s="10" t="s">
        <v>6</v>
      </c>
      <c r="C21" s="11">
        <f>SUM(C19:C20)</f>
        <v>126</v>
      </c>
      <c r="D21" s="11">
        <f>SUM(D19:D20)</f>
        <v>126</v>
      </c>
      <c r="F21" s="22"/>
      <c r="G21" s="24" t="s">
        <v>38</v>
      </c>
      <c r="H21" s="37"/>
      <c r="I21" s="37"/>
      <c r="J21" s="37"/>
      <c r="M21" s="35" t="s">
        <v>73</v>
      </c>
      <c r="N21" s="36">
        <v>0</v>
      </c>
      <c r="O21" s="36">
        <v>0</v>
      </c>
      <c r="P21" s="40">
        <v>0</v>
      </c>
      <c r="T21" s="22" t="s">
        <v>80</v>
      </c>
      <c r="V21" s="37">
        <f>V10</f>
        <v>14.945163457321144</v>
      </c>
      <c r="W21" s="37">
        <f t="shared" ref="W21:Z21" si="12">W10</f>
        <v>15.841873264760412</v>
      </c>
      <c r="X21" s="37">
        <f t="shared" si="12"/>
        <v>16.792385660646037</v>
      </c>
      <c r="Y21" s="37">
        <f t="shared" si="12"/>
        <v>17.7999288002848</v>
      </c>
      <c r="Z21" s="37">
        <f t="shared" si="12"/>
        <v>18.867924528301888</v>
      </c>
      <c r="AA21" s="37"/>
    </row>
    <row r="22" spans="2:27" x14ac:dyDescent="0.25">
      <c r="F22" s="22"/>
      <c r="G22" s="35" t="s">
        <v>39</v>
      </c>
      <c r="H22" s="127">
        <f t="shared" ref="H22:J22" si="13">U13</f>
        <v>84.247275711314273</v>
      </c>
      <c r="I22" s="127">
        <f t="shared" si="13"/>
        <v>69.30211225399313</v>
      </c>
      <c r="J22" s="127">
        <f t="shared" si="13"/>
        <v>53.460238989232721</v>
      </c>
      <c r="M22" s="46" t="s">
        <v>51</v>
      </c>
      <c r="N22" s="47">
        <f>SUM(N20:N21)</f>
        <v>0</v>
      </c>
      <c r="O22" s="47">
        <f>SUM(O20:O21)</f>
        <v>0</v>
      </c>
      <c r="P22" s="47">
        <f>SUM(P20:P21)</f>
        <v>0</v>
      </c>
      <c r="T22" s="22" t="s">
        <v>81</v>
      </c>
      <c r="V22" s="37">
        <f>-V15</f>
        <v>-14.945163457321144</v>
      </c>
      <c r="W22" s="37">
        <f t="shared" ref="W22:Z22" si="14">-W15</f>
        <v>-15.841873264760412</v>
      </c>
      <c r="X22" s="37">
        <f t="shared" si="14"/>
        <v>-16.792385660646037</v>
      </c>
      <c r="Y22" s="37">
        <f t="shared" si="14"/>
        <v>-17.7999288002848</v>
      </c>
      <c r="Z22" s="37">
        <f t="shared" si="14"/>
        <v>-18.867924528301888</v>
      </c>
      <c r="AA22" s="37"/>
    </row>
    <row r="23" spans="2:27" x14ac:dyDescent="0.25">
      <c r="D23" s="37">
        <f>C21-D21</f>
        <v>0</v>
      </c>
      <c r="F23" s="22"/>
      <c r="G23" s="41" t="s">
        <v>40</v>
      </c>
      <c r="H23" s="42">
        <f>SUM(H22)</f>
        <v>84.247275711314273</v>
      </c>
      <c r="I23" s="42">
        <f t="shared" ref="I23:J23" si="15">SUM(I22)</f>
        <v>69.30211225399313</v>
      </c>
      <c r="J23" s="42">
        <f t="shared" si="15"/>
        <v>53.460238989232721</v>
      </c>
      <c r="M23" s="22"/>
      <c r="N23" s="22"/>
      <c r="O23" s="36"/>
      <c r="P23" s="36"/>
      <c r="T23" s="24" t="s">
        <v>67</v>
      </c>
      <c r="U23" s="24"/>
      <c r="V23" s="33">
        <f t="shared" ref="V23:Z23" si="16">SUM(V20:V22)</f>
        <v>-15</v>
      </c>
      <c r="W23" s="33">
        <f t="shared" si="16"/>
        <v>-15</v>
      </c>
      <c r="X23" s="33">
        <f t="shared" si="16"/>
        <v>-15</v>
      </c>
      <c r="Y23" s="33">
        <f t="shared" si="16"/>
        <v>-15</v>
      </c>
      <c r="Z23" s="33">
        <f t="shared" si="16"/>
        <v>-15</v>
      </c>
      <c r="AA23" s="33">
        <f>SUM(V23:Z23)</f>
        <v>-75</v>
      </c>
    </row>
    <row r="24" spans="2:27" x14ac:dyDescent="0.25">
      <c r="F24" s="22"/>
      <c r="G24" s="22"/>
      <c r="H24" s="37"/>
      <c r="I24" s="37"/>
      <c r="J24" s="37"/>
      <c r="M24" s="24" t="s">
        <v>52</v>
      </c>
      <c r="N24" s="33">
        <f>N12+N17+N22</f>
        <v>0</v>
      </c>
      <c r="O24" s="33">
        <f>O12+O17+O22</f>
        <v>126</v>
      </c>
      <c r="P24" s="33">
        <f>P12+P17+P22</f>
        <v>126</v>
      </c>
      <c r="V24" s="37"/>
      <c r="W24" s="37"/>
      <c r="X24" s="37"/>
      <c r="Y24" s="37"/>
      <c r="Z24" s="37"/>
      <c r="AA24" s="37"/>
    </row>
    <row r="25" spans="2:27" x14ac:dyDescent="0.25">
      <c r="F25" s="22"/>
      <c r="G25" s="24" t="s">
        <v>41</v>
      </c>
      <c r="H25" s="34">
        <v>1000</v>
      </c>
      <c r="I25" s="34">
        <f>H25+O4</f>
        <v>1126</v>
      </c>
      <c r="J25" s="34">
        <f>I25+P4</f>
        <v>1252</v>
      </c>
      <c r="P25" s="23"/>
      <c r="T25" s="24"/>
      <c r="U25" s="24"/>
      <c r="W25" s="33"/>
      <c r="X25" s="33"/>
      <c r="Y25" s="33"/>
      <c r="Z25" s="33"/>
      <c r="AA25" s="37"/>
    </row>
    <row r="26" spans="2:27" x14ac:dyDescent="0.25">
      <c r="F26" s="22"/>
      <c r="G26" s="22"/>
      <c r="H26" s="37"/>
      <c r="I26" s="37"/>
      <c r="J26" s="37"/>
      <c r="K26" s="43"/>
      <c r="P26" s="23"/>
      <c r="V26" s="37"/>
      <c r="W26" s="37"/>
      <c r="X26" s="37"/>
      <c r="Y26" s="37"/>
      <c r="Z26" s="37"/>
      <c r="AA26" s="37"/>
    </row>
    <row r="27" spans="2:27" x14ac:dyDescent="0.25">
      <c r="F27" s="22"/>
      <c r="G27" s="24" t="s">
        <v>42</v>
      </c>
      <c r="H27" s="33">
        <f>H19+H23+H25</f>
        <v>1084.2472757113142</v>
      </c>
      <c r="I27" s="33">
        <f>I19+I23+I25</f>
        <v>1195.3021122539931</v>
      </c>
      <c r="J27" s="33">
        <f>J19+J23+J25</f>
        <v>1305.4602389892327</v>
      </c>
      <c r="P27" s="23"/>
    </row>
    <row r="28" spans="2:27" x14ac:dyDescent="0.25">
      <c r="F28" s="22"/>
      <c r="G28" s="22"/>
      <c r="H28" s="22"/>
      <c r="I28" s="22"/>
      <c r="J28" s="22"/>
      <c r="P28" s="23"/>
    </row>
    <row r="29" spans="2:27" x14ac:dyDescent="0.25">
      <c r="F29" s="22"/>
      <c r="G29" s="72" t="s">
        <v>98</v>
      </c>
      <c r="H29" s="71" t="str">
        <f>IF(H14&lt;&gt;H27,"Error","Tallied")</f>
        <v>Tallied</v>
      </c>
      <c r="I29" s="71" t="str">
        <f t="shared" ref="I29:J29" si="17">IF(I14&lt;&gt;I27,"Error","Tallied")</f>
        <v>Tallied</v>
      </c>
      <c r="J29" s="71" t="str">
        <f t="shared" si="17"/>
        <v>Tallied</v>
      </c>
      <c r="P29" s="23"/>
    </row>
    <row r="30" spans="2:27" x14ac:dyDescent="0.25">
      <c r="F30" s="22"/>
    </row>
    <row r="31" spans="2:27" x14ac:dyDescent="0.25">
      <c r="F31" s="22"/>
    </row>
    <row r="33" spans="5:14" x14ac:dyDescent="0.25">
      <c r="L33" s="22"/>
    </row>
    <row r="36" spans="5:14" x14ac:dyDescent="0.25">
      <c r="G36" s="22"/>
      <c r="H36" s="22"/>
      <c r="I36" s="22"/>
      <c r="J36" s="22"/>
    </row>
    <row r="38" spans="5:14" x14ac:dyDescent="0.25">
      <c r="F38" s="22"/>
    </row>
    <row r="39" spans="5:14" x14ac:dyDescent="0.25">
      <c r="E39" s="22"/>
      <c r="K39" s="22"/>
    </row>
    <row r="41" spans="5:14" x14ac:dyDescent="0.25">
      <c r="M41" s="22"/>
      <c r="N41" s="22"/>
    </row>
  </sheetData>
  <pageMargins left="0.7" right="0.7" top="0.75" bottom="0.75" header="0.3" footer="0.3"/>
  <ignoredErrors>
    <ignoredError sqref="C6:D6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57B0-0C37-4072-93F4-90DCA51E753C}">
  <dimension ref="A1:O36"/>
  <sheetViews>
    <sheetView showGridLines="0" topLeftCell="A16" zoomScale="115" zoomScaleNormal="115" workbookViewId="0">
      <selection activeCell="B27" sqref="B27:D27"/>
    </sheetView>
  </sheetViews>
  <sheetFormatPr defaultRowHeight="15.65" x14ac:dyDescent="0.25"/>
  <cols>
    <col min="1" max="1" width="1.5" style="22" customWidth="1"/>
    <col min="2" max="2" width="26.1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9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2035</v>
      </c>
      <c r="J5" s="79">
        <f>+I5+D20</f>
        <v>2074.1999999999998</v>
      </c>
      <c r="K5" s="59"/>
      <c r="M5" s="24" t="s">
        <v>44</v>
      </c>
      <c r="N5" s="34">
        <f t="shared" ref="N5:O5" si="2">C20</f>
        <v>35</v>
      </c>
      <c r="O5" s="34">
        <f t="shared" si="2"/>
        <v>39.200000000000003</v>
      </c>
    </row>
    <row r="6" spans="2:15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160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4"/>
      <c r="O7" s="34"/>
    </row>
    <row r="8" spans="2:15" x14ac:dyDescent="0.25">
      <c r="B8" s="15" t="s">
        <v>10</v>
      </c>
      <c r="C8" s="20">
        <f>C7/C5</f>
        <v>0.3</v>
      </c>
      <c r="D8" s="20">
        <f>D7/D5</f>
        <v>0.3</v>
      </c>
      <c r="F8" s="58"/>
      <c r="G8" s="58"/>
      <c r="H8" s="58"/>
      <c r="I8" s="79"/>
      <c r="J8" s="79"/>
      <c r="K8" s="62"/>
      <c r="M8" s="35"/>
      <c r="N8" s="34"/>
      <c r="O8" s="34"/>
    </row>
    <row r="9" spans="2:15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3">H27-I27</f>
        <v>0</v>
      </c>
      <c r="O9" s="37">
        <f t="shared" si="3"/>
        <v>0</v>
      </c>
    </row>
    <row r="10" spans="2:15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4">I10</f>
        <v>0</v>
      </c>
      <c r="J11" s="94">
        <f t="shared" si="4"/>
        <v>0</v>
      </c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5">I14-H14</f>
        <v>0</v>
      </c>
      <c r="O12" s="36">
        <f t="shared" si="5"/>
        <v>0</v>
      </c>
    </row>
    <row r="13" spans="2:15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35</v>
      </c>
      <c r="O15" s="34">
        <f>SUM(O5:O14)</f>
        <v>39.200000000000003</v>
      </c>
    </row>
    <row r="16" spans="2:15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 s="5" t="s">
        <v>4</v>
      </c>
      <c r="C17" s="86">
        <v>0</v>
      </c>
      <c r="D17" s="86">
        <f>D29</f>
        <v>6</v>
      </c>
      <c r="F17" s="41" t="s">
        <v>37</v>
      </c>
      <c r="G17" s="95"/>
      <c r="H17" s="94">
        <f>SUM(H14:H16)</f>
        <v>0</v>
      </c>
      <c r="I17" s="94">
        <f t="shared" ref="I17:J17" si="6">SUM(I14:I16)</f>
        <v>0</v>
      </c>
      <c r="J17" s="94">
        <f t="shared" si="6"/>
        <v>0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50</v>
      </c>
      <c r="D18" s="9">
        <f>SUM(D14:D17,D11)</f>
        <v>56</v>
      </c>
      <c r="K18" s="67"/>
      <c r="L18"/>
      <c r="M18" s="35" t="s">
        <v>50</v>
      </c>
      <c r="N18" s="36">
        <v>0</v>
      </c>
      <c r="O18" s="36">
        <v>0</v>
      </c>
    </row>
    <row r="19" spans="1:15" ht="16.3" thickBot="1" x14ac:dyDescent="0.3">
      <c r="B19" s="5" t="s">
        <v>5</v>
      </c>
      <c r="C19" s="6">
        <f>-C18*30%</f>
        <v>-15</v>
      </c>
      <c r="D19" s="6">
        <f>-D18*30%</f>
        <v>-16.8</v>
      </c>
      <c r="F19" s="64"/>
      <c r="G19" s="65" t="s">
        <v>91</v>
      </c>
      <c r="H19" s="66">
        <f t="shared" ref="H19:J19" si="7">H17+H11+H5+H7</f>
        <v>2000</v>
      </c>
      <c r="I19" s="66">
        <f t="shared" si="7"/>
        <v>2035</v>
      </c>
      <c r="J19" s="66">
        <f t="shared" si="7"/>
        <v>2074.1999999999998</v>
      </c>
      <c r="K19" s="59"/>
      <c r="L19"/>
      <c r="M19" s="35" t="s">
        <v>181</v>
      </c>
      <c r="N19" s="118">
        <f>-C27</f>
        <v>-100</v>
      </c>
      <c r="O19" s="118">
        <v>0</v>
      </c>
    </row>
    <row r="20" spans="1:15" ht="16.3" thickBot="1" x14ac:dyDescent="0.3">
      <c r="B20" s="10" t="s">
        <v>6</v>
      </c>
      <c r="C20" s="11">
        <f>SUM(C18:C19)</f>
        <v>35</v>
      </c>
      <c r="D20" s="11">
        <f>SUM(D18:D19)</f>
        <v>39.200000000000003</v>
      </c>
      <c r="F20" s="59"/>
      <c r="G20" s="59"/>
      <c r="H20" s="59"/>
      <c r="I20" s="59"/>
      <c r="J20" s="59"/>
      <c r="K20" s="63"/>
      <c r="L20"/>
      <c r="M20" s="35" t="s">
        <v>182</v>
      </c>
      <c r="N20" s="118">
        <v>0</v>
      </c>
      <c r="O20" s="118">
        <f>-D27</f>
        <v>50</v>
      </c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3.9200000000000006E-2</v>
      </c>
      <c r="F21" s="58" t="s">
        <v>93</v>
      </c>
      <c r="G21" s="59"/>
      <c r="H21" s="88"/>
      <c r="I21" s="88"/>
      <c r="J21" s="88"/>
      <c r="K21" s="63"/>
      <c r="M21" s="35" t="s">
        <v>183</v>
      </c>
      <c r="N21" s="36">
        <v>0</v>
      </c>
      <c r="O21" s="36">
        <v>0</v>
      </c>
    </row>
    <row r="22" spans="1:15" x14ac:dyDescent="0.25">
      <c r="A22"/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46" t="s">
        <v>51</v>
      </c>
      <c r="N22" s="85">
        <f>SUM(N19:N21)</f>
        <v>-100</v>
      </c>
      <c r="O22" s="85">
        <f>SUM(O19:O21)</f>
        <v>50</v>
      </c>
    </row>
    <row r="23" spans="1:15" x14ac:dyDescent="0.25">
      <c r="A23"/>
      <c r="B23"/>
      <c r="C23"/>
      <c r="D23"/>
      <c r="F23" s="58"/>
      <c r="G23" s="59" t="s">
        <v>178</v>
      </c>
      <c r="H23" s="114">
        <v>0</v>
      </c>
      <c r="I23" s="114">
        <f>+H23+C27</f>
        <v>100</v>
      </c>
      <c r="J23" s="114">
        <f>+I23+D27</f>
        <v>50</v>
      </c>
      <c r="K23" s="71"/>
      <c r="M23" s="56"/>
      <c r="N23" s="91"/>
      <c r="O23" s="91"/>
    </row>
    <row r="24" spans="1:15" x14ac:dyDescent="0.25">
      <c r="A24"/>
      <c r="B24"/>
      <c r="C24"/>
      <c r="D24"/>
      <c r="F24" s="87"/>
      <c r="G24" s="87" t="s">
        <v>180</v>
      </c>
      <c r="H24" s="90">
        <f>H22+H23</f>
        <v>0</v>
      </c>
      <c r="I24" s="90">
        <f t="shared" ref="I24:J24" si="8">I22+I23</f>
        <v>100</v>
      </c>
      <c r="J24" s="90">
        <f t="shared" si="8"/>
        <v>50</v>
      </c>
      <c r="L24" s="49" t="s">
        <v>71</v>
      </c>
      <c r="M24" s="49"/>
      <c r="N24" s="49"/>
      <c r="O24" s="49"/>
    </row>
    <row r="25" spans="1:15" x14ac:dyDescent="0.25">
      <c r="A25"/>
      <c r="B25"/>
      <c r="C25"/>
      <c r="D25"/>
      <c r="F25" s="59"/>
      <c r="G25" s="59"/>
      <c r="H25" s="59"/>
      <c r="I25" s="59"/>
      <c r="J25" s="59"/>
      <c r="L25" s="92"/>
      <c r="M25" s="35" t="s">
        <v>132</v>
      </c>
      <c r="N25" s="36">
        <f>I10-H10</f>
        <v>0</v>
      </c>
      <c r="O25" s="36">
        <f>J10-I10</f>
        <v>0</v>
      </c>
    </row>
    <row r="26" spans="1:15" x14ac:dyDescent="0.25">
      <c r="A26"/>
      <c r="F26" s="58" t="s">
        <v>95</v>
      </c>
      <c r="G26" s="59"/>
      <c r="H26" s="88"/>
      <c r="I26" s="88"/>
      <c r="J26" s="88"/>
      <c r="L26" s="92"/>
      <c r="M26" s="35" t="s">
        <v>165</v>
      </c>
      <c r="N26" s="36">
        <v>0</v>
      </c>
      <c r="O26" s="36">
        <v>0</v>
      </c>
    </row>
    <row r="27" spans="1:15" x14ac:dyDescent="0.25">
      <c r="A27"/>
      <c r="B27" s="5" t="s">
        <v>178</v>
      </c>
      <c r="C27" s="86">
        <v>100</v>
      </c>
      <c r="D27" s="86">
        <v>-50</v>
      </c>
      <c r="F27" s="58"/>
      <c r="G27" s="59" t="s">
        <v>121</v>
      </c>
      <c r="H27" s="88">
        <v>0</v>
      </c>
      <c r="I27" s="88">
        <f>C30</f>
        <v>0</v>
      </c>
      <c r="J27" s="88">
        <f>D30</f>
        <v>0</v>
      </c>
      <c r="L27" s="92"/>
      <c r="M27" s="35" t="s">
        <v>157</v>
      </c>
      <c r="N27" s="36">
        <f>C29</f>
        <v>0</v>
      </c>
      <c r="O27" s="36">
        <v>0</v>
      </c>
    </row>
    <row r="28" spans="1:15" x14ac:dyDescent="0.25">
      <c r="A28"/>
      <c r="B28" s="5"/>
      <c r="C28" s="6"/>
      <c r="D28" s="6"/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35" t="s">
        <v>161</v>
      </c>
      <c r="N28" s="36">
        <f>C30</f>
        <v>0</v>
      </c>
      <c r="O28" s="36">
        <v>0</v>
      </c>
    </row>
    <row r="29" spans="1:15" x14ac:dyDescent="0.25">
      <c r="B29" s="5" t="s">
        <v>179</v>
      </c>
      <c r="C29" s="86">
        <v>0</v>
      </c>
      <c r="D29" s="86">
        <f>C27*6%</f>
        <v>6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  <c r="M29" s="46" t="s">
        <v>131</v>
      </c>
      <c r="N29" s="47">
        <f>SUM(N25:N28)</f>
        <v>0</v>
      </c>
      <c r="O29" s="47">
        <f>SUM(O25:O28)</f>
        <v>0</v>
      </c>
    </row>
    <row r="30" spans="1:15" x14ac:dyDescent="0.25">
      <c r="B30" s="5"/>
      <c r="C30" s="6"/>
      <c r="D30" s="6"/>
      <c r="F30" s="59"/>
      <c r="G30" s="68" t="s">
        <v>99</v>
      </c>
      <c r="H30" s="88">
        <v>2000</v>
      </c>
      <c r="I30" s="88">
        <f>+H30+N31</f>
        <v>1935</v>
      </c>
      <c r="J30" s="88">
        <f>+I30+O31</f>
        <v>2024.2</v>
      </c>
      <c r="L30" s="92"/>
    </row>
    <row r="31" spans="1:15" x14ac:dyDescent="0.25">
      <c r="B31" s="5"/>
      <c r="C31" s="6"/>
      <c r="D31" s="6"/>
      <c r="F31" s="87"/>
      <c r="G31" s="87" t="s">
        <v>130</v>
      </c>
      <c r="H31" s="90">
        <f>SUM(H27:H30)</f>
        <v>2000</v>
      </c>
      <c r="I31" s="90">
        <f t="shared" ref="I31:J31" si="9">SUM(I27:I30)</f>
        <v>1935</v>
      </c>
      <c r="J31" s="90">
        <f t="shared" si="9"/>
        <v>2024.2</v>
      </c>
      <c r="M31" s="24" t="s">
        <v>52</v>
      </c>
      <c r="N31" s="34">
        <f>N22+N15+N29</f>
        <v>-65</v>
      </c>
      <c r="O31" s="34">
        <f>O22+O15+O29</f>
        <v>89.2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3" thickBot="1" x14ac:dyDescent="0.3">
      <c r="B33" s="5"/>
      <c r="C33" s="6"/>
      <c r="D33" s="6"/>
      <c r="F33" s="64"/>
      <c r="G33" s="65" t="s">
        <v>91</v>
      </c>
      <c r="H33" s="66">
        <f>+H31+H24</f>
        <v>2000</v>
      </c>
      <c r="I33" s="66">
        <f>+I31+I24</f>
        <v>2035</v>
      </c>
      <c r="J33" s="66">
        <f>+J31+J24</f>
        <v>2074.1999999999998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DF01-679B-4DEA-B9D5-A60B616EA75F}">
  <dimension ref="A1:O41"/>
  <sheetViews>
    <sheetView showGridLines="0" topLeftCell="A5" zoomScale="115" zoomScaleNormal="115" workbookViewId="0">
      <selection activeCell="K24" sqref="K24"/>
    </sheetView>
  </sheetViews>
  <sheetFormatPr defaultRowHeight="15.65" x14ac:dyDescent="0.25"/>
  <cols>
    <col min="1" max="1" width="1.5" style="22" customWidth="1"/>
    <col min="2" max="2" width="30.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9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v>1150</v>
      </c>
      <c r="F5" s="58" t="s">
        <v>110</v>
      </c>
      <c r="G5" s="58"/>
      <c r="H5" s="58">
        <v>2000</v>
      </c>
      <c r="I5" s="79">
        <f>+H5+C20</f>
        <v>1925</v>
      </c>
      <c r="J5" s="79">
        <f>+I5+D20</f>
        <v>2075</v>
      </c>
      <c r="K5" s="59"/>
      <c r="M5" s="24" t="s">
        <v>44</v>
      </c>
      <c r="N5" s="34">
        <f t="shared" ref="N5:O5" si="2">C20</f>
        <v>-75</v>
      </c>
      <c r="O5" s="34">
        <f t="shared" si="2"/>
        <v>150</v>
      </c>
    </row>
    <row r="6" spans="2:15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450</v>
      </c>
      <c r="F7" s="58" t="s">
        <v>160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4"/>
      <c r="O7" s="34"/>
    </row>
    <row r="8" spans="2:15" x14ac:dyDescent="0.25">
      <c r="B8" s="15" t="s">
        <v>10</v>
      </c>
      <c r="C8" s="20">
        <f>C7/C5</f>
        <v>0.3</v>
      </c>
      <c r="D8" s="20">
        <f>D7/D5</f>
        <v>0.39130434782608697</v>
      </c>
      <c r="F8" s="58"/>
      <c r="G8" s="58"/>
      <c r="H8" s="58"/>
      <c r="I8" s="79"/>
      <c r="J8" s="79"/>
      <c r="K8" s="62"/>
      <c r="M8" s="35" t="s">
        <v>171</v>
      </c>
      <c r="N8" s="115">
        <f t="shared" ref="N8:O8" si="3">-C39</f>
        <v>-25</v>
      </c>
      <c r="O8" s="115">
        <f t="shared" si="3"/>
        <v>25</v>
      </c>
    </row>
    <row r="9" spans="2:15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4">H28-I28</f>
        <v>0</v>
      </c>
      <c r="O9" s="37">
        <f t="shared" si="4"/>
        <v>0</v>
      </c>
    </row>
    <row r="10" spans="2:15" x14ac:dyDescent="0.25">
      <c r="B10" s="5" t="s">
        <v>2</v>
      </c>
      <c r="C10" s="6">
        <v>-250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x14ac:dyDescent="0.25">
      <c r="B11" s="7" t="s">
        <v>7</v>
      </c>
      <c r="C11" s="8">
        <f>C7+C10</f>
        <v>50</v>
      </c>
      <c r="D11" s="8">
        <f>D7+D10</f>
        <v>350</v>
      </c>
      <c r="F11" s="41" t="s">
        <v>40</v>
      </c>
      <c r="G11" s="95"/>
      <c r="H11" s="94">
        <f>H10</f>
        <v>0</v>
      </c>
      <c r="I11" s="94">
        <f t="shared" ref="I11:J11" si="5">I10</f>
        <v>0</v>
      </c>
      <c r="J11" s="94">
        <f t="shared" si="5"/>
        <v>0</v>
      </c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x14ac:dyDescent="0.25">
      <c r="B12" s="15" t="s">
        <v>8</v>
      </c>
      <c r="C12" s="20">
        <f>C11/C5</f>
        <v>0.05</v>
      </c>
      <c r="D12" s="20">
        <f>D11/D5</f>
        <v>0.30434782608695654</v>
      </c>
      <c r="K12" s="63"/>
      <c r="M12" s="35" t="s">
        <v>115</v>
      </c>
      <c r="N12" s="36">
        <f t="shared" ref="N12:O14" si="6">I14-H14</f>
        <v>0</v>
      </c>
      <c r="O12" s="36">
        <f t="shared" si="6"/>
        <v>0</v>
      </c>
    </row>
    <row r="13" spans="2:15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6"/>
        <v>0</v>
      </c>
      <c r="O13" s="36">
        <f t="shared" si="6"/>
        <v>0</v>
      </c>
    </row>
    <row r="14" spans="2:15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6"/>
        <v>0</v>
      </c>
      <c r="O14" s="80">
        <f t="shared" si="6"/>
        <v>0</v>
      </c>
    </row>
    <row r="15" spans="2:15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-100</v>
      </c>
      <c r="O15" s="34">
        <f>SUM(O5:O14)</f>
        <v>175</v>
      </c>
    </row>
    <row r="16" spans="2:15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 s="5" t="s">
        <v>4</v>
      </c>
      <c r="C17" s="96">
        <v>0</v>
      </c>
      <c r="D17" s="96">
        <v>0</v>
      </c>
      <c r="F17" s="41" t="s">
        <v>37</v>
      </c>
      <c r="G17" s="95"/>
      <c r="H17" s="94">
        <f>SUM(H14:H16)</f>
        <v>0</v>
      </c>
      <c r="I17" s="94">
        <f t="shared" ref="I17:J17" si="7">SUM(I14:I16)</f>
        <v>0</v>
      </c>
      <c r="J17" s="94">
        <f t="shared" si="7"/>
        <v>0</v>
      </c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-100</v>
      </c>
      <c r="D18" s="9">
        <f>SUM(D14:D17,D11)</f>
        <v>200</v>
      </c>
      <c r="K18" s="67"/>
      <c r="L18"/>
      <c r="M18" s="35" t="s">
        <v>50</v>
      </c>
      <c r="N18" s="36">
        <v>0</v>
      </c>
      <c r="O18" s="36">
        <v>0</v>
      </c>
    </row>
    <row r="19" spans="1:15" ht="16.3" thickBot="1" x14ac:dyDescent="0.3">
      <c r="B19" s="5" t="s">
        <v>196</v>
      </c>
      <c r="C19" s="6">
        <f t="shared" ref="C19:D19" si="8">-C18*25%</f>
        <v>25</v>
      </c>
      <c r="D19" s="6">
        <f t="shared" si="8"/>
        <v>-50</v>
      </c>
      <c r="F19" s="64"/>
      <c r="G19" s="65" t="s">
        <v>91</v>
      </c>
      <c r="H19" s="66">
        <f t="shared" ref="H19:J19" si="9">H17+H11+H5+H7</f>
        <v>2000</v>
      </c>
      <c r="I19" s="66">
        <f t="shared" si="9"/>
        <v>1925</v>
      </c>
      <c r="J19" s="66">
        <f t="shared" si="9"/>
        <v>2075</v>
      </c>
      <c r="K19" s="59"/>
      <c r="L19"/>
      <c r="M19" s="35" t="s">
        <v>181</v>
      </c>
      <c r="N19" s="36">
        <v>0</v>
      </c>
      <c r="O19" s="36">
        <v>0</v>
      </c>
    </row>
    <row r="20" spans="1:15" ht="16.3" thickBot="1" x14ac:dyDescent="0.3">
      <c r="B20" s="10" t="s">
        <v>6</v>
      </c>
      <c r="C20" s="11">
        <f>SUM(C18:C19)</f>
        <v>-75</v>
      </c>
      <c r="D20" s="11">
        <f>SUM(D18:D19)</f>
        <v>150</v>
      </c>
      <c r="F20" s="59"/>
      <c r="G20" s="59"/>
      <c r="H20" s="59"/>
      <c r="I20" s="59"/>
      <c r="J20" s="59"/>
      <c r="K20" s="63"/>
      <c r="L20"/>
      <c r="M20" s="35" t="s">
        <v>182</v>
      </c>
      <c r="N20" s="36">
        <v>0</v>
      </c>
      <c r="O20" s="36">
        <v>0</v>
      </c>
    </row>
    <row r="21" spans="1:15" x14ac:dyDescent="0.25">
      <c r="A21"/>
      <c r="B21" s="15" t="s">
        <v>82</v>
      </c>
      <c r="C21" s="20">
        <f>C20/C5</f>
        <v>-7.4999999999999997E-2</v>
      </c>
      <c r="D21" s="20">
        <f>D20/D5</f>
        <v>0.13043478260869565</v>
      </c>
      <c r="F21" s="58" t="s">
        <v>93</v>
      </c>
      <c r="G21" s="59"/>
      <c r="H21" s="88"/>
      <c r="I21" s="88"/>
      <c r="J21" s="88"/>
      <c r="K21" s="63"/>
      <c r="M21" s="35" t="s">
        <v>183</v>
      </c>
      <c r="N21" s="36">
        <v>0</v>
      </c>
      <c r="O21" s="36">
        <v>0</v>
      </c>
    </row>
    <row r="22" spans="1:15" x14ac:dyDescent="0.25">
      <c r="A22"/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46" t="s">
        <v>51</v>
      </c>
      <c r="N22" s="85">
        <f>SUM(N18:N21)</f>
        <v>0</v>
      </c>
      <c r="O22" s="85">
        <f>SUM(O18:O21)</f>
        <v>0</v>
      </c>
    </row>
    <row r="23" spans="1:15" x14ac:dyDescent="0.25">
      <c r="A23"/>
      <c r="B23"/>
      <c r="C23"/>
      <c r="D23"/>
      <c r="F23" s="58"/>
      <c r="G23" s="59" t="s">
        <v>178</v>
      </c>
      <c r="H23" s="89">
        <v>0</v>
      </c>
      <c r="I23" s="89">
        <v>0</v>
      </c>
      <c r="J23" s="89">
        <v>0</v>
      </c>
      <c r="K23" s="71"/>
      <c r="M23" s="56"/>
      <c r="N23" s="91"/>
      <c r="O23" s="91"/>
    </row>
    <row r="24" spans="1:15" x14ac:dyDescent="0.25">
      <c r="B24" s="129" t="s">
        <v>169</v>
      </c>
      <c r="C24" s="75">
        <f t="shared" ref="C24:D24" si="10">C3</f>
        <v>1</v>
      </c>
      <c r="D24" s="75">
        <f t="shared" si="10"/>
        <v>2</v>
      </c>
      <c r="F24" s="58"/>
      <c r="G24" s="59" t="s">
        <v>195</v>
      </c>
      <c r="H24" s="89">
        <v>0</v>
      </c>
      <c r="I24" s="131">
        <f t="shared" ref="I24:J24" si="11">C41</f>
        <v>25</v>
      </c>
      <c r="J24" s="131">
        <f t="shared" si="11"/>
        <v>0</v>
      </c>
      <c r="L24" s="49" t="s">
        <v>71</v>
      </c>
      <c r="M24" s="49"/>
      <c r="N24" s="49"/>
      <c r="O24" s="49"/>
    </row>
    <row r="25" spans="1:15" x14ac:dyDescent="0.25">
      <c r="B25" s="24" t="s">
        <v>185</v>
      </c>
      <c r="C25" s="34">
        <f t="shared" ref="C25:D25" si="12">C18</f>
        <v>-100</v>
      </c>
      <c r="D25" s="34">
        <f t="shared" si="12"/>
        <v>200</v>
      </c>
      <c r="F25" s="87"/>
      <c r="G25" s="87" t="s">
        <v>180</v>
      </c>
      <c r="H25" s="90">
        <f>SUM(H22:H24)</f>
        <v>0</v>
      </c>
      <c r="I25" s="90">
        <f>SUM(I22:I24)</f>
        <v>25</v>
      </c>
      <c r="J25" s="90">
        <f>SUM(J22:J24)</f>
        <v>0</v>
      </c>
      <c r="L25" s="92"/>
      <c r="M25" s="35" t="s">
        <v>132</v>
      </c>
      <c r="N25" s="36">
        <f>I10-H10</f>
        <v>0</v>
      </c>
      <c r="O25" s="36">
        <f>J10-I10</f>
        <v>0</v>
      </c>
    </row>
    <row r="26" spans="1:15" x14ac:dyDescent="0.25">
      <c r="B26" s="35" t="s">
        <v>186</v>
      </c>
      <c r="C26" s="36">
        <v>0</v>
      </c>
      <c r="D26" s="36">
        <v>0</v>
      </c>
      <c r="F26" s="59"/>
      <c r="G26" s="59"/>
      <c r="H26" s="59"/>
      <c r="I26" s="59"/>
      <c r="J26" s="59"/>
      <c r="L26" s="92"/>
      <c r="M26" s="35" t="s">
        <v>165</v>
      </c>
      <c r="N26" s="36">
        <v>0</v>
      </c>
      <c r="O26" s="36">
        <v>0</v>
      </c>
    </row>
    <row r="27" spans="1:15" x14ac:dyDescent="0.25">
      <c r="B27" s="128" t="s">
        <v>187</v>
      </c>
      <c r="C27" s="40">
        <v>0</v>
      </c>
      <c r="D27" s="36">
        <v>0</v>
      </c>
      <c r="F27" s="58" t="s">
        <v>95</v>
      </c>
      <c r="G27" s="59"/>
      <c r="H27" s="88"/>
      <c r="I27" s="88"/>
      <c r="J27" s="88"/>
      <c r="L27" s="92"/>
      <c r="M27" s="35" t="s">
        <v>157</v>
      </c>
      <c r="N27" s="36">
        <v>0</v>
      </c>
      <c r="O27" s="36">
        <v>0</v>
      </c>
    </row>
    <row r="28" spans="1:15" x14ac:dyDescent="0.25">
      <c r="B28" s="24" t="s">
        <v>188</v>
      </c>
      <c r="C28" s="42">
        <f>C25+C26+C27</f>
        <v>-100</v>
      </c>
      <c r="D28" s="42">
        <f>D25+D26+D27</f>
        <v>200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161</v>
      </c>
      <c r="N28" s="36">
        <v>0</v>
      </c>
      <c r="O28" s="36">
        <v>0</v>
      </c>
    </row>
    <row r="29" spans="1:15" x14ac:dyDescent="0.25">
      <c r="B29" s="35"/>
      <c r="C29" s="37"/>
      <c r="D29" s="37"/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46" t="s">
        <v>131</v>
      </c>
      <c r="N29" s="47">
        <f>SUM(N25:N28)</f>
        <v>0</v>
      </c>
      <c r="O29" s="47">
        <f>SUM(O25:O28)</f>
        <v>0</v>
      </c>
    </row>
    <row r="30" spans="1:15" x14ac:dyDescent="0.25">
      <c r="B30" s="24" t="s">
        <v>189</v>
      </c>
      <c r="C30" s="130">
        <v>0</v>
      </c>
      <c r="D30" s="33">
        <f>C33</f>
        <v>100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</row>
    <row r="31" spans="1:15" x14ac:dyDescent="0.25">
      <c r="B31" s="35" t="s">
        <v>190</v>
      </c>
      <c r="C31" s="36">
        <f>MAX(-C28,0)</f>
        <v>100</v>
      </c>
      <c r="D31" s="36">
        <f>MAX(-D28,0)</f>
        <v>0</v>
      </c>
      <c r="F31" s="59"/>
      <c r="G31" s="68" t="s">
        <v>99</v>
      </c>
      <c r="H31" s="88">
        <v>2000</v>
      </c>
      <c r="I31" s="88">
        <f>+H31+N31</f>
        <v>1900</v>
      </c>
      <c r="J31" s="88">
        <f>+I31+O31</f>
        <v>2075</v>
      </c>
      <c r="M31" s="24" t="s">
        <v>52</v>
      </c>
      <c r="N31" s="34">
        <f>N22+N15+N29</f>
        <v>-100</v>
      </c>
      <c r="O31" s="34">
        <f>O22+O15+O29</f>
        <v>175</v>
      </c>
    </row>
    <row r="32" spans="1:15" x14ac:dyDescent="0.25">
      <c r="B32" s="35" t="s">
        <v>191</v>
      </c>
      <c r="C32" s="36">
        <f>-MIN(C30+C31,MAX(C28,0))</f>
        <v>0</v>
      </c>
      <c r="D32" s="36">
        <f>-MIN(D30+D31,MAX(D28,0))</f>
        <v>-100</v>
      </c>
      <c r="F32" s="87"/>
      <c r="G32" s="87" t="s">
        <v>130</v>
      </c>
      <c r="H32" s="90">
        <f>SUM(H28:H31)</f>
        <v>2000</v>
      </c>
      <c r="I32" s="90">
        <f>SUM(I28:I31)</f>
        <v>1900</v>
      </c>
      <c r="J32" s="90">
        <f t="shared" ref="J32" si="13">SUM(J28:J31)</f>
        <v>2075</v>
      </c>
    </row>
    <row r="33" spans="2:10" x14ac:dyDescent="0.25">
      <c r="B33" s="41" t="s">
        <v>192</v>
      </c>
      <c r="C33" s="47">
        <f>C30+C31+C32</f>
        <v>100</v>
      </c>
      <c r="D33" s="47">
        <f>D30+D31+D32</f>
        <v>0</v>
      </c>
      <c r="F33" s="59"/>
      <c r="G33" s="68"/>
      <c r="H33" s="88"/>
      <c r="I33" s="88"/>
      <c r="J33" s="88"/>
    </row>
    <row r="34" spans="2:10" ht="16.3" thickBot="1" x14ac:dyDescent="0.3">
      <c r="C34" s="37"/>
      <c r="D34" s="37"/>
      <c r="F34" s="64"/>
      <c r="G34" s="65" t="s">
        <v>91</v>
      </c>
      <c r="H34" s="66">
        <f>+H32+H25</f>
        <v>2000</v>
      </c>
      <c r="I34" s="66">
        <f>+I32+I25</f>
        <v>1925</v>
      </c>
      <c r="J34" s="66">
        <f>+J32+J25</f>
        <v>2075</v>
      </c>
    </row>
    <row r="35" spans="2:10" x14ac:dyDescent="0.25">
      <c r="B35" s="22" t="s">
        <v>193</v>
      </c>
      <c r="C35" s="37">
        <f>C28+C32</f>
        <v>-100</v>
      </c>
      <c r="D35" s="37">
        <f>D28+D32</f>
        <v>100</v>
      </c>
    </row>
    <row r="36" spans="2:10" x14ac:dyDescent="0.25">
      <c r="C36" s="37"/>
      <c r="D36" s="37"/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Tallied</v>
      </c>
    </row>
    <row r="37" spans="2:10" x14ac:dyDescent="0.25">
      <c r="B37" s="22" t="s">
        <v>194</v>
      </c>
      <c r="C37" s="36">
        <f>-MAX(C35*25%,0)</f>
        <v>0</v>
      </c>
      <c r="D37" s="36">
        <f>-MAX(D35*25%,0)</f>
        <v>-25</v>
      </c>
      <c r="H37" s="73"/>
      <c r="I37" s="73"/>
    </row>
    <row r="38" spans="2:10" x14ac:dyDescent="0.25">
      <c r="C38" s="37"/>
      <c r="D38" s="37"/>
    </row>
    <row r="39" spans="2:10" x14ac:dyDescent="0.25">
      <c r="B39" s="24" t="s">
        <v>197</v>
      </c>
      <c r="C39" s="33">
        <f>(C31+C32)*25%</f>
        <v>25</v>
      </c>
      <c r="D39" s="33">
        <f>(D31+D32)*25%</f>
        <v>-25</v>
      </c>
    </row>
    <row r="40" spans="2:10" x14ac:dyDescent="0.25">
      <c r="C40" s="37"/>
      <c r="D40" s="37"/>
    </row>
    <row r="41" spans="2:10" x14ac:dyDescent="0.25">
      <c r="B41" s="121" t="s">
        <v>198</v>
      </c>
      <c r="C41" s="122">
        <f>C39</f>
        <v>25</v>
      </c>
      <c r="D41" s="122">
        <f>C41+D39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CF2B-FC7D-436A-AA32-645605F5F396}">
  <dimension ref="A1:O39"/>
  <sheetViews>
    <sheetView showGridLines="0" zoomScale="115" zoomScaleNormal="115" workbookViewId="0">
      <selection activeCell="I18" sqref="I18"/>
    </sheetView>
  </sheetViews>
  <sheetFormatPr defaultRowHeight="15.65" x14ac:dyDescent="0.25"/>
  <cols>
    <col min="1" max="1" width="1.5" style="22" customWidth="1"/>
    <col min="2" max="2" width="30.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9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 t="s">
        <v>97</v>
      </c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+H5+C18</f>
        <v>2105</v>
      </c>
      <c r="J5" s="79">
        <f>+I5+D18</f>
        <v>2224</v>
      </c>
      <c r="K5" s="59"/>
      <c r="M5" s="24" t="s">
        <v>44</v>
      </c>
      <c r="N5" s="34">
        <f>C18</f>
        <v>105</v>
      </c>
      <c r="O5" s="34">
        <f>D18</f>
        <v>119</v>
      </c>
    </row>
    <row r="6" spans="2:15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205</v>
      </c>
      <c r="N7" s="34">
        <f t="shared" ref="N7:O7" si="2">-C9</f>
        <v>50</v>
      </c>
      <c r="O7" s="34">
        <f t="shared" si="2"/>
        <v>50</v>
      </c>
    </row>
    <row r="8" spans="2:15" x14ac:dyDescent="0.25">
      <c r="B8" s="15"/>
      <c r="C8" s="20"/>
      <c r="D8" s="20"/>
      <c r="F8" s="35"/>
      <c r="G8" s="93" t="s">
        <v>109</v>
      </c>
      <c r="H8" s="93">
        <v>0</v>
      </c>
      <c r="I8" s="93">
        <v>0</v>
      </c>
      <c r="J8" s="93">
        <v>0</v>
      </c>
      <c r="K8" s="62"/>
      <c r="M8" s="35" t="s">
        <v>204</v>
      </c>
      <c r="N8" s="115">
        <f>-C25</f>
        <v>0</v>
      </c>
      <c r="O8" s="115">
        <f>-D25</f>
        <v>-20</v>
      </c>
    </row>
    <row r="9" spans="2:15" x14ac:dyDescent="0.25">
      <c r="B9" s="5" t="s">
        <v>62</v>
      </c>
      <c r="C9" s="96">
        <v>-50</v>
      </c>
      <c r="D9" s="96">
        <v>-50</v>
      </c>
      <c r="F9" s="41" t="s">
        <v>40</v>
      </c>
      <c r="G9" s="95"/>
      <c r="H9" s="94">
        <f>H8</f>
        <v>0</v>
      </c>
      <c r="I9" s="94">
        <f t="shared" ref="I9:J9" si="3">I8</f>
        <v>0</v>
      </c>
      <c r="J9" s="94">
        <f t="shared" si="3"/>
        <v>0</v>
      </c>
      <c r="K9" s="62"/>
      <c r="M9" s="35" t="s">
        <v>171</v>
      </c>
      <c r="N9" s="37">
        <v>0</v>
      </c>
      <c r="O9" s="37">
        <v>0</v>
      </c>
    </row>
    <row r="10" spans="2:15" x14ac:dyDescent="0.25">
      <c r="B10" s="5" t="s">
        <v>2</v>
      </c>
      <c r="C10" s="6">
        <v>-100</v>
      </c>
      <c r="D10" s="6">
        <v>-100</v>
      </c>
      <c r="K10" s="62"/>
      <c r="M10" s="35" t="s">
        <v>122</v>
      </c>
      <c r="N10" s="37">
        <v>0</v>
      </c>
      <c r="O10" s="37">
        <v>0</v>
      </c>
    </row>
    <row r="11" spans="2:15" x14ac:dyDescent="0.25">
      <c r="B11" s="7" t="s">
        <v>7</v>
      </c>
      <c r="C11" s="8">
        <f>C7+C10+C9</f>
        <v>150</v>
      </c>
      <c r="D11" s="8">
        <f>D7+D10+D9</f>
        <v>150</v>
      </c>
      <c r="F11" s="58" t="s">
        <v>89</v>
      </c>
      <c r="G11" s="59"/>
      <c r="H11" s="62"/>
      <c r="I11" s="61"/>
      <c r="J11" s="61"/>
      <c r="K11" s="62"/>
      <c r="M11" s="35" t="s">
        <v>107</v>
      </c>
      <c r="N11" s="37">
        <v>0</v>
      </c>
      <c r="O11" s="37">
        <v>0</v>
      </c>
    </row>
    <row r="12" spans="2:15" x14ac:dyDescent="0.25">
      <c r="B12" s="12"/>
      <c r="C12" s="13"/>
      <c r="D12" s="13"/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120</v>
      </c>
      <c r="N12" s="74">
        <v>0</v>
      </c>
      <c r="O12" s="74">
        <v>0</v>
      </c>
    </row>
    <row r="13" spans="2:15" x14ac:dyDescent="0.25">
      <c r="B13" s="5" t="s">
        <v>206</v>
      </c>
      <c r="C13" s="132">
        <v>0</v>
      </c>
      <c r="D13" s="132">
        <f>D25</f>
        <v>20</v>
      </c>
      <c r="F13" s="41" t="s">
        <v>37</v>
      </c>
      <c r="G13" s="95"/>
      <c r="H13" s="94">
        <f>SUM(H12:H12)</f>
        <v>0</v>
      </c>
      <c r="I13" s="94">
        <f>SUM(I12:I12)</f>
        <v>0</v>
      </c>
      <c r="J13" s="94">
        <f>SUM(J12:J12)</f>
        <v>0</v>
      </c>
      <c r="K13" s="63"/>
      <c r="M13" s="46" t="s">
        <v>48</v>
      </c>
      <c r="N13" s="34">
        <f>SUM(N5:N12)</f>
        <v>155</v>
      </c>
      <c r="O13" s="34">
        <f>SUM(O5:O12)</f>
        <v>149</v>
      </c>
    </row>
    <row r="14" spans="2:15" x14ac:dyDescent="0.25">
      <c r="B14" s="5" t="s">
        <v>3</v>
      </c>
      <c r="C14" s="6">
        <v>0</v>
      </c>
      <c r="D14" s="6">
        <v>0</v>
      </c>
      <c r="K14" s="63"/>
      <c r="M14" s="35"/>
      <c r="N14" s="36"/>
      <c r="O14" s="36"/>
    </row>
    <row r="15" spans="2:15" ht="16.3" thickBot="1" x14ac:dyDescent="0.3">
      <c r="B15" s="5" t="s">
        <v>4</v>
      </c>
      <c r="C15" s="96">
        <v>0</v>
      </c>
      <c r="D15" s="96">
        <v>0</v>
      </c>
      <c r="F15" s="64"/>
      <c r="G15" s="65" t="s">
        <v>91</v>
      </c>
      <c r="H15" s="66">
        <f>H13+H9+H5</f>
        <v>2000</v>
      </c>
      <c r="I15" s="66">
        <f t="shared" ref="I15:J15" si="4">I13+I9+I5</f>
        <v>2105</v>
      </c>
      <c r="J15" s="66">
        <f t="shared" si="4"/>
        <v>2224</v>
      </c>
      <c r="K15" s="78"/>
      <c r="L15" s="49" t="s">
        <v>49</v>
      </c>
      <c r="M15" s="49"/>
      <c r="N15" s="49"/>
      <c r="O15" s="49"/>
    </row>
    <row r="16" spans="2:15" x14ac:dyDescent="0.25">
      <c r="B16" s="7" t="s">
        <v>9</v>
      </c>
      <c r="C16" s="9">
        <f>SUM(C9:C15,C11)</f>
        <v>150</v>
      </c>
      <c r="D16" s="9">
        <f>SUM(D9:D15,D11)</f>
        <v>170</v>
      </c>
      <c r="F16" s="59"/>
      <c r="G16" s="59"/>
      <c r="H16" s="59"/>
      <c r="I16" s="59"/>
      <c r="J16" s="59"/>
      <c r="K16" s="59"/>
      <c r="L16"/>
      <c r="M16" s="35" t="s">
        <v>202</v>
      </c>
      <c r="N16" s="118">
        <f>-C21</f>
        <v>-400</v>
      </c>
      <c r="O16" s="118">
        <v>0</v>
      </c>
    </row>
    <row r="17" spans="1:15" x14ac:dyDescent="0.25">
      <c r="B17" s="5" t="s">
        <v>207</v>
      </c>
      <c r="C17" s="6">
        <f>-C16*30%</f>
        <v>-45</v>
      </c>
      <c r="D17" s="6">
        <f>-D16*30%</f>
        <v>-51</v>
      </c>
      <c r="F17" s="58" t="s">
        <v>93</v>
      </c>
      <c r="G17" s="59"/>
      <c r="H17" s="88"/>
      <c r="I17" s="88"/>
      <c r="J17" s="88"/>
      <c r="K17" s="67"/>
      <c r="L17"/>
      <c r="M17" s="35" t="s">
        <v>201</v>
      </c>
      <c r="N17" s="118">
        <v>0</v>
      </c>
      <c r="O17" s="118">
        <f>D23+D25</f>
        <v>120</v>
      </c>
    </row>
    <row r="18" spans="1:15" ht="16.3" thickBot="1" x14ac:dyDescent="0.3">
      <c r="B18" s="10" t="s">
        <v>6</v>
      </c>
      <c r="C18" s="11">
        <f>SUM(C16:C17)</f>
        <v>105</v>
      </c>
      <c r="D18" s="11">
        <f>SUM(D16:D17)</f>
        <v>119</v>
      </c>
      <c r="F18" s="58"/>
      <c r="G18" s="59" t="s">
        <v>128</v>
      </c>
      <c r="H18" s="89">
        <v>0</v>
      </c>
      <c r="I18" s="89">
        <f>H18-N7-N8-N16-N17</f>
        <v>350</v>
      </c>
      <c r="J18" s="89">
        <f>I18-O7-O8-O16-O17</f>
        <v>200</v>
      </c>
      <c r="K18" s="67"/>
      <c r="M18" s="35" t="s">
        <v>203</v>
      </c>
      <c r="N18" s="36">
        <v>0</v>
      </c>
      <c r="O18" s="36">
        <v>0</v>
      </c>
    </row>
    <row r="19" spans="1:15" x14ac:dyDescent="0.25">
      <c r="B19" s="15"/>
      <c r="C19" s="20"/>
      <c r="D19" s="20"/>
      <c r="F19" s="87"/>
      <c r="G19" s="87" t="s">
        <v>180</v>
      </c>
      <c r="H19" s="90">
        <f>SUM(H18:H18)</f>
        <v>0</v>
      </c>
      <c r="I19" s="90">
        <f>SUM(I18:I18)</f>
        <v>350</v>
      </c>
      <c r="J19" s="90">
        <f>SUM(J18:J18)</f>
        <v>200</v>
      </c>
      <c r="K19" s="59"/>
      <c r="M19" s="46" t="s">
        <v>51</v>
      </c>
      <c r="N19" s="85">
        <f>SUM(N16:N18)</f>
        <v>-400</v>
      </c>
      <c r="O19" s="85">
        <f>SUM(O16:O18)</f>
        <v>120</v>
      </c>
    </row>
    <row r="20" spans="1:15" x14ac:dyDescent="0.25"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68" t="s">
        <v>139</v>
      </c>
      <c r="C21" s="109">
        <v>400</v>
      </c>
      <c r="D21" s="109">
        <v>0</v>
      </c>
      <c r="F21" s="58" t="s">
        <v>95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B22" s="68"/>
      <c r="C22" s="37"/>
      <c r="D22" s="37"/>
      <c r="F22" s="58"/>
      <c r="G22" s="59" t="s">
        <v>121</v>
      </c>
      <c r="H22" s="88">
        <v>0</v>
      </c>
      <c r="I22" s="88">
        <v>0</v>
      </c>
      <c r="J22" s="88">
        <v>0</v>
      </c>
      <c r="K22" s="62"/>
      <c r="L22" s="92"/>
      <c r="M22" s="35" t="s">
        <v>132</v>
      </c>
      <c r="N22" s="36">
        <f>I8-H8</f>
        <v>0</v>
      </c>
      <c r="O22" s="36">
        <f>J8-I8</f>
        <v>0</v>
      </c>
    </row>
    <row r="23" spans="1:15" x14ac:dyDescent="0.25">
      <c r="A23"/>
      <c r="B23" s="68" t="s">
        <v>199</v>
      </c>
      <c r="C23" s="109">
        <v>0</v>
      </c>
      <c r="D23" s="109">
        <v>100</v>
      </c>
      <c r="F23" s="59"/>
      <c r="G23" s="68" t="s">
        <v>99</v>
      </c>
      <c r="H23" s="88">
        <v>2000</v>
      </c>
      <c r="I23" s="88">
        <f>+H23+N28</f>
        <v>1755</v>
      </c>
      <c r="J23" s="88">
        <f>+I23+O28</f>
        <v>2024</v>
      </c>
      <c r="K23" s="71"/>
      <c r="L23" s="92"/>
      <c r="M23" s="35" t="s">
        <v>165</v>
      </c>
      <c r="N23" s="36">
        <v>0</v>
      </c>
      <c r="O23" s="36">
        <v>0</v>
      </c>
    </row>
    <row r="24" spans="1:15" x14ac:dyDescent="0.25">
      <c r="B24"/>
      <c r="C24" s="37"/>
      <c r="D24" s="37"/>
      <c r="F24" s="87"/>
      <c r="G24" s="87" t="s">
        <v>130</v>
      </c>
      <c r="H24" s="90">
        <f>SUM(H22:H23)</f>
        <v>2000</v>
      </c>
      <c r="I24" s="90">
        <f>SUM(I22:I23)</f>
        <v>1755</v>
      </c>
      <c r="J24" s="90">
        <f>SUM(J22:J23)</f>
        <v>2024</v>
      </c>
      <c r="L24" s="92"/>
      <c r="M24" s="35" t="s">
        <v>157</v>
      </c>
      <c r="N24" s="36">
        <v>0</v>
      </c>
      <c r="O24" s="36">
        <v>0</v>
      </c>
    </row>
    <row r="25" spans="1:15" x14ac:dyDescent="0.25">
      <c r="B25" s="68" t="s">
        <v>200</v>
      </c>
      <c r="C25" s="109">
        <v>0</v>
      </c>
      <c r="D25" s="109">
        <v>20</v>
      </c>
      <c r="F25" s="59"/>
      <c r="G25" s="68"/>
      <c r="H25" s="88"/>
      <c r="I25" s="88"/>
      <c r="J25" s="88"/>
      <c r="L25" s="92"/>
      <c r="M25" s="35" t="s">
        <v>161</v>
      </c>
      <c r="N25" s="36">
        <v>0</v>
      </c>
      <c r="O25" s="36">
        <v>0</v>
      </c>
    </row>
    <row r="26" spans="1:15" ht="16.3" thickBot="1" x14ac:dyDescent="0.3">
      <c r="B26"/>
      <c r="C26"/>
      <c r="D26"/>
      <c r="F26" s="64"/>
      <c r="G26" s="65" t="s">
        <v>91</v>
      </c>
      <c r="H26" s="66">
        <f>+H24+H19</f>
        <v>2000</v>
      </c>
      <c r="I26" s="66">
        <f>+I24+I19</f>
        <v>2105</v>
      </c>
      <c r="J26" s="66">
        <f>+J24+J19</f>
        <v>2224</v>
      </c>
      <c r="L26" s="92"/>
      <c r="M26" s="46" t="s">
        <v>131</v>
      </c>
      <c r="N26" s="47">
        <f>SUM(N22:N25)</f>
        <v>0</v>
      </c>
      <c r="O26" s="47">
        <f>SUM(O22:O25)</f>
        <v>0</v>
      </c>
    </row>
    <row r="27" spans="1:15" x14ac:dyDescent="0.25">
      <c r="B27"/>
      <c r="C27"/>
      <c r="D27"/>
      <c r="L27" s="92"/>
    </row>
    <row r="28" spans="1:15" x14ac:dyDescent="0.25">
      <c r="B28"/>
      <c r="C28"/>
      <c r="D28"/>
      <c r="G28" s="72" t="s">
        <v>98</v>
      </c>
      <c r="H28" s="71" t="str">
        <f>IF(H15&lt;&gt;H26,"Error","Tallied")</f>
        <v>Tallied</v>
      </c>
      <c r="I28" s="71" t="str">
        <f>IF(I15&lt;&gt;I26,"Error","Tallied")</f>
        <v>Tallied</v>
      </c>
      <c r="J28" s="71" t="str">
        <f>IF(J15&lt;&gt;J26,"Error","Tallied")</f>
        <v>Tallied</v>
      </c>
      <c r="M28" s="24" t="s">
        <v>52</v>
      </c>
      <c r="N28" s="34">
        <f>N19+N13+N26</f>
        <v>-245</v>
      </c>
      <c r="O28" s="34">
        <f>O19+O13+O26</f>
        <v>269</v>
      </c>
    </row>
    <row r="29" spans="1:15" x14ac:dyDescent="0.25">
      <c r="B29"/>
      <c r="C29"/>
      <c r="D29"/>
      <c r="H29" s="73"/>
      <c r="I29" s="73"/>
    </row>
    <row r="30" spans="1:15" x14ac:dyDescent="0.25">
      <c r="B30"/>
      <c r="C30"/>
      <c r="D30"/>
    </row>
    <row r="31" spans="1:15" x14ac:dyDescent="0.25">
      <c r="B31"/>
      <c r="C31"/>
      <c r="D31"/>
    </row>
    <row r="32" spans="1:15" x14ac:dyDescent="0.25">
      <c r="B32"/>
      <c r="C32"/>
      <c r="D32"/>
    </row>
    <row r="33" spans="2:7" x14ac:dyDescent="0.25">
      <c r="B33"/>
      <c r="C33"/>
      <c r="D33"/>
    </row>
    <row r="34" spans="2:7" x14ac:dyDescent="0.25">
      <c r="B34"/>
      <c r="C34"/>
      <c r="D34"/>
    </row>
    <row r="35" spans="2:7" x14ac:dyDescent="0.25">
      <c r="B35"/>
      <c r="C35"/>
      <c r="D35"/>
    </row>
    <row r="36" spans="2:7" x14ac:dyDescent="0.25">
      <c r="B36"/>
      <c r="C36"/>
      <c r="D36"/>
    </row>
    <row r="37" spans="2:7" x14ac:dyDescent="0.25">
      <c r="B37"/>
      <c r="C37"/>
      <c r="D37"/>
    </row>
    <row r="38" spans="2:7" x14ac:dyDescent="0.25">
      <c r="B38"/>
      <c r="C38"/>
      <c r="D38"/>
    </row>
    <row r="39" spans="2:7" x14ac:dyDescent="0.25">
      <c r="B39"/>
      <c r="C39"/>
      <c r="D39"/>
      <c r="G39" s="13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CFB0-A52D-4D10-8136-E4230DA9CECD}">
  <dimension ref="A1:O38"/>
  <sheetViews>
    <sheetView showGridLines="0" zoomScale="115" zoomScaleNormal="115" workbookViewId="0">
      <selection activeCell="A22" sqref="A22"/>
    </sheetView>
  </sheetViews>
  <sheetFormatPr defaultRowHeight="15.65" x14ac:dyDescent="0.25"/>
  <cols>
    <col min="1" max="1" width="1.5" style="22" customWidth="1"/>
    <col min="2" max="2" width="30.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9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/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/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+H5+C16</f>
        <v>2150</v>
      </c>
      <c r="J5" s="79">
        <f>+I5+D16</f>
        <v>2195</v>
      </c>
      <c r="K5" s="59"/>
      <c r="M5" s="24" t="s">
        <v>44</v>
      </c>
      <c r="N5" s="34">
        <f>C16</f>
        <v>150</v>
      </c>
      <c r="O5" s="34">
        <f>D16</f>
        <v>45</v>
      </c>
    </row>
    <row r="6" spans="2:15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160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115">
        <f>-C9</f>
        <v>0</v>
      </c>
      <c r="O7" s="115">
        <f>-D9</f>
        <v>40</v>
      </c>
    </row>
    <row r="8" spans="2:15" x14ac:dyDescent="0.25">
      <c r="B8" s="5" t="s">
        <v>2</v>
      </c>
      <c r="C8" s="6">
        <v>-100</v>
      </c>
      <c r="D8" s="6">
        <v>-100</v>
      </c>
      <c r="F8" s="58"/>
      <c r="G8" s="58"/>
      <c r="H8" s="58"/>
      <c r="I8" s="79"/>
      <c r="J8" s="79"/>
      <c r="K8" s="62"/>
      <c r="M8" s="35" t="s">
        <v>171</v>
      </c>
      <c r="N8" s="115">
        <f t="shared" ref="N8:O8" si="2">-I24</f>
        <v>0</v>
      </c>
      <c r="O8" s="115">
        <f t="shared" si="2"/>
        <v>-25</v>
      </c>
    </row>
    <row r="9" spans="2:15" x14ac:dyDescent="0.25">
      <c r="B9" s="5" t="s">
        <v>62</v>
      </c>
      <c r="C9" s="6">
        <v>0</v>
      </c>
      <c r="D9" s="6">
        <v>-40</v>
      </c>
      <c r="F9" s="24" t="s">
        <v>38</v>
      </c>
      <c r="G9" s="92"/>
      <c r="H9" s="92"/>
      <c r="I9" s="92"/>
      <c r="J9" s="79"/>
      <c r="K9" s="62"/>
      <c r="M9" s="35" t="s">
        <v>211</v>
      </c>
      <c r="N9" s="37">
        <f>+C12</f>
        <v>0</v>
      </c>
      <c r="O9" s="37">
        <f>+D12</f>
        <v>0</v>
      </c>
    </row>
    <row r="10" spans="2:15" x14ac:dyDescent="0.25">
      <c r="B10" s="7" t="s">
        <v>7</v>
      </c>
      <c r="C10" s="8">
        <f>C7+C8+C9</f>
        <v>200</v>
      </c>
      <c r="D10" s="8">
        <f>D7+D8+D9</f>
        <v>160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212</v>
      </c>
      <c r="N10" s="48">
        <f>-C13</f>
        <v>0</v>
      </c>
      <c r="O10" s="48">
        <f>-D13</f>
        <v>100</v>
      </c>
    </row>
    <row r="11" spans="2:15" x14ac:dyDescent="0.25">
      <c r="B11" s="12"/>
      <c r="C11" s="13"/>
      <c r="D11" s="13"/>
      <c r="F11" s="41" t="s">
        <v>40</v>
      </c>
      <c r="G11" s="95"/>
      <c r="H11" s="94">
        <f>H10</f>
        <v>0</v>
      </c>
      <c r="I11" s="94">
        <f t="shared" ref="I11:J11" si="3">I10</f>
        <v>0</v>
      </c>
      <c r="J11" s="94">
        <f t="shared" si="3"/>
        <v>0</v>
      </c>
      <c r="K11" s="62"/>
    </row>
    <row r="12" spans="2:15" x14ac:dyDescent="0.25">
      <c r="B12" s="135" t="s">
        <v>213</v>
      </c>
      <c r="C12" s="96">
        <v>0</v>
      </c>
      <c r="D12" s="96">
        <v>0</v>
      </c>
      <c r="K12" s="63"/>
      <c r="M12" s="35" t="s">
        <v>107</v>
      </c>
      <c r="N12" s="37">
        <f>H29-I29</f>
        <v>0</v>
      </c>
      <c r="O12" s="37">
        <f>I29-J29</f>
        <v>0</v>
      </c>
    </row>
    <row r="13" spans="2:15" x14ac:dyDescent="0.25">
      <c r="B13" s="135" t="s">
        <v>214</v>
      </c>
      <c r="C13" s="132">
        <v>0</v>
      </c>
      <c r="D13" s="132">
        <f>-D38</f>
        <v>-100</v>
      </c>
      <c r="F13" s="58" t="s">
        <v>89</v>
      </c>
      <c r="G13" s="59"/>
      <c r="H13" s="62"/>
      <c r="I13" s="61"/>
      <c r="J13" s="61"/>
      <c r="K13" s="63"/>
      <c r="M13" s="35" t="s">
        <v>118</v>
      </c>
      <c r="N13" s="37">
        <f>H30-I30</f>
        <v>0</v>
      </c>
      <c r="O13" s="37">
        <f>I30-J30</f>
        <v>0</v>
      </c>
    </row>
    <row r="14" spans="2:15" x14ac:dyDescent="0.25">
      <c r="B14" s="7" t="s">
        <v>9</v>
      </c>
      <c r="C14" s="9">
        <f>SUM(C12:C13,C10)</f>
        <v>200</v>
      </c>
      <c r="D14" s="9">
        <f>SUM(D12:D13,D10)</f>
        <v>60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115</v>
      </c>
      <c r="N14" s="80">
        <f>I14-H14</f>
        <v>0</v>
      </c>
      <c r="O14" s="80">
        <f>J14-I14</f>
        <v>0</v>
      </c>
    </row>
    <row r="15" spans="2:15" x14ac:dyDescent="0.25">
      <c r="B15" s="5" t="s">
        <v>196</v>
      </c>
      <c r="C15" s="6">
        <f t="shared" ref="C15:D15" si="4">-C14*25%</f>
        <v>-50</v>
      </c>
      <c r="D15" s="6">
        <f t="shared" si="4"/>
        <v>-15</v>
      </c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150</v>
      </c>
      <c r="O15" s="34">
        <f>SUM(O5:O14)</f>
        <v>160</v>
      </c>
    </row>
    <row r="16" spans="2:15" ht="16.3" thickBot="1" x14ac:dyDescent="0.3">
      <c r="B16" s="10" t="s">
        <v>6</v>
      </c>
      <c r="C16" s="11">
        <f>SUM(C14:C15)</f>
        <v>150</v>
      </c>
      <c r="D16" s="11">
        <f>SUM(D14:D15)</f>
        <v>45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/>
      <c r="C17"/>
      <c r="D17"/>
      <c r="F17" s="41" t="s">
        <v>37</v>
      </c>
      <c r="G17" s="95"/>
      <c r="H17" s="94">
        <f>SUM(H14:H16)</f>
        <v>0</v>
      </c>
      <c r="I17" s="94">
        <f t="shared" ref="I17:J17" si="5">SUM(I14:I16)</f>
        <v>0</v>
      </c>
      <c r="J17" s="94">
        <f t="shared" si="5"/>
        <v>0</v>
      </c>
      <c r="K17" s="67"/>
      <c r="L17" s="49" t="s">
        <v>49</v>
      </c>
      <c r="M17" s="49"/>
      <c r="N17" s="49"/>
      <c r="O17" s="49"/>
    </row>
    <row r="18" spans="1:15" x14ac:dyDescent="0.25">
      <c r="B18" s="129" t="s">
        <v>169</v>
      </c>
      <c r="C18" s="75">
        <f>C3</f>
        <v>1</v>
      </c>
      <c r="D18" s="75">
        <f>D3</f>
        <v>2</v>
      </c>
      <c r="K18" s="67"/>
      <c r="L18"/>
      <c r="M18" s="35" t="s">
        <v>50</v>
      </c>
      <c r="N18" s="36">
        <f>-I22</f>
        <v>-400</v>
      </c>
      <c r="O18" s="36">
        <v>0</v>
      </c>
    </row>
    <row r="19" spans="1:15" ht="16.3" thickBot="1" x14ac:dyDescent="0.3">
      <c r="B19" s="24" t="s">
        <v>185</v>
      </c>
      <c r="C19" s="34">
        <f>C14</f>
        <v>200</v>
      </c>
      <c r="D19" s="34">
        <f>D14</f>
        <v>60</v>
      </c>
      <c r="F19" s="64"/>
      <c r="G19" s="65" t="s">
        <v>91</v>
      </c>
      <c r="H19" s="66">
        <f t="shared" ref="H19:J19" si="6">H17+H11+H5+H7</f>
        <v>2000</v>
      </c>
      <c r="I19" s="66">
        <f t="shared" si="6"/>
        <v>2150</v>
      </c>
      <c r="J19" s="66">
        <f t="shared" si="6"/>
        <v>2195</v>
      </c>
      <c r="K19" s="59"/>
      <c r="L19"/>
      <c r="M19" s="35" t="s">
        <v>210</v>
      </c>
      <c r="N19" s="36">
        <v>0</v>
      </c>
      <c r="O19" s="36">
        <v>0</v>
      </c>
    </row>
    <row r="20" spans="1:15" x14ac:dyDescent="0.25">
      <c r="B20" s="35" t="s">
        <v>186</v>
      </c>
      <c r="C20" s="36">
        <v>0</v>
      </c>
      <c r="D20" s="36">
        <v>0</v>
      </c>
      <c r="F20" s="59"/>
      <c r="G20" s="59"/>
      <c r="H20" s="59"/>
      <c r="I20" s="59"/>
      <c r="J20" s="59"/>
      <c r="K20" s="63"/>
      <c r="L20"/>
      <c r="M20" s="35" t="s">
        <v>181</v>
      </c>
      <c r="N20" s="36">
        <v>0</v>
      </c>
      <c r="O20" s="36">
        <v>0</v>
      </c>
    </row>
    <row r="21" spans="1:15" x14ac:dyDescent="0.25">
      <c r="A21"/>
      <c r="B21" s="35" t="s">
        <v>187</v>
      </c>
      <c r="C21" s="36">
        <v>0</v>
      </c>
      <c r="D21" s="36">
        <v>0</v>
      </c>
      <c r="F21" s="58" t="s">
        <v>93</v>
      </c>
      <c r="G21" s="59"/>
      <c r="H21" s="88"/>
      <c r="I21" s="88"/>
      <c r="J21" s="88"/>
      <c r="K21" s="63"/>
      <c r="L21"/>
      <c r="M21" s="35" t="s">
        <v>182</v>
      </c>
      <c r="N21" s="36">
        <v>0</v>
      </c>
      <c r="O21" s="36">
        <v>0</v>
      </c>
    </row>
    <row r="22" spans="1:15" x14ac:dyDescent="0.25">
      <c r="A22"/>
      <c r="B22" s="128" t="s">
        <v>208</v>
      </c>
      <c r="C22" s="118">
        <v>0</v>
      </c>
      <c r="D22" s="118">
        <v>100</v>
      </c>
      <c r="F22" s="58"/>
      <c r="G22" s="59" t="s">
        <v>128</v>
      </c>
      <c r="H22" s="89">
        <v>0</v>
      </c>
      <c r="I22" s="131">
        <v>400</v>
      </c>
      <c r="J22" s="131">
        <f>I22-O7-O9-O10-O18-O19</f>
        <v>260</v>
      </c>
      <c r="K22" s="62"/>
      <c r="M22" s="35" t="s">
        <v>183</v>
      </c>
      <c r="N22" s="36">
        <v>0</v>
      </c>
      <c r="O22" s="36">
        <v>0</v>
      </c>
    </row>
    <row r="23" spans="1:15" x14ac:dyDescent="0.25">
      <c r="A23"/>
      <c r="B23" s="24" t="s">
        <v>209</v>
      </c>
      <c r="C23" s="47">
        <f>SUM(C19:C22)</f>
        <v>200</v>
      </c>
      <c r="D23" s="47">
        <f>SUM(D19:D22)</f>
        <v>160</v>
      </c>
      <c r="F23" s="58"/>
      <c r="G23" s="59" t="s">
        <v>178</v>
      </c>
      <c r="H23" s="89">
        <v>0</v>
      </c>
      <c r="I23" s="89">
        <v>0</v>
      </c>
      <c r="J23" s="89">
        <v>0</v>
      </c>
      <c r="K23" s="71"/>
      <c r="M23" s="46" t="s">
        <v>51</v>
      </c>
      <c r="N23" s="85">
        <f>SUM(N18:N22)</f>
        <v>-400</v>
      </c>
      <c r="O23" s="85">
        <f>SUM(O18:O22)</f>
        <v>0</v>
      </c>
    </row>
    <row r="24" spans="1:15" x14ac:dyDescent="0.25">
      <c r="B24" s="35"/>
      <c r="C24" s="36"/>
      <c r="D24" s="36"/>
      <c r="F24" s="58"/>
      <c r="G24" s="59" t="s">
        <v>195</v>
      </c>
      <c r="H24" s="89">
        <v>0</v>
      </c>
      <c r="I24" s="131">
        <f>C36</f>
        <v>0</v>
      </c>
      <c r="J24" s="131">
        <f>D36</f>
        <v>25</v>
      </c>
      <c r="M24" s="56"/>
      <c r="N24" s="91"/>
      <c r="O24" s="91"/>
    </row>
    <row r="25" spans="1:15" x14ac:dyDescent="0.25">
      <c r="B25" s="24" t="s">
        <v>189</v>
      </c>
      <c r="C25" s="34">
        <v>0</v>
      </c>
      <c r="D25" s="34">
        <f>C28</f>
        <v>0</v>
      </c>
      <c r="F25" s="87"/>
      <c r="G25" s="87" t="s">
        <v>180</v>
      </c>
      <c r="H25" s="90">
        <f>SUM(H22:H24)</f>
        <v>0</v>
      </c>
      <c r="I25" s="90">
        <f>SUM(I22:I24)</f>
        <v>400</v>
      </c>
      <c r="J25" s="90">
        <f>SUM(J22:J24)</f>
        <v>285</v>
      </c>
      <c r="L25" s="49" t="s">
        <v>71</v>
      </c>
      <c r="M25" s="49"/>
      <c r="N25" s="49"/>
      <c r="O25" s="49"/>
    </row>
    <row r="26" spans="1:15" x14ac:dyDescent="0.25">
      <c r="B26" s="35" t="s">
        <v>190</v>
      </c>
      <c r="C26" s="36">
        <f>MAX(-C23,0)</f>
        <v>0</v>
      </c>
      <c r="D26" s="36">
        <f>MAX(-D23,0)</f>
        <v>0</v>
      </c>
      <c r="F26" s="59"/>
      <c r="G26" s="59"/>
      <c r="H26" s="59"/>
      <c r="I26" s="59"/>
      <c r="J26" s="59"/>
      <c r="L26" s="92"/>
      <c r="M26" s="35" t="s">
        <v>132</v>
      </c>
      <c r="N26" s="36">
        <f>I10-H10</f>
        <v>0</v>
      </c>
      <c r="O26" s="36">
        <f>J10-I10</f>
        <v>0</v>
      </c>
    </row>
    <row r="27" spans="1:15" x14ac:dyDescent="0.25">
      <c r="B27" s="35" t="s">
        <v>191</v>
      </c>
      <c r="C27" s="36">
        <f>-MIN(C25+C26,MAX(C23,0))</f>
        <v>0</v>
      </c>
      <c r="D27" s="36">
        <f>-MIN(D25+D26,MAX(D23,0))</f>
        <v>0</v>
      </c>
      <c r="F27" s="58" t="s">
        <v>95</v>
      </c>
      <c r="G27" s="59"/>
      <c r="H27" s="88"/>
      <c r="I27" s="88"/>
      <c r="J27" s="88"/>
      <c r="L27" s="92"/>
      <c r="M27" s="35" t="s">
        <v>165</v>
      </c>
      <c r="N27" s="36">
        <v>0</v>
      </c>
      <c r="O27" s="36">
        <v>0</v>
      </c>
    </row>
    <row r="28" spans="1:15" x14ac:dyDescent="0.25">
      <c r="B28" s="41" t="s">
        <v>192</v>
      </c>
      <c r="C28" s="47">
        <f>C25+C26+C27</f>
        <v>0</v>
      </c>
      <c r="D28" s="47">
        <f>D25+D26+D27</f>
        <v>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157</v>
      </c>
      <c r="N28" s="36">
        <v>0</v>
      </c>
      <c r="O28" s="36">
        <v>0</v>
      </c>
    </row>
    <row r="29" spans="1:15" x14ac:dyDescent="0.25">
      <c r="C29" s="36"/>
      <c r="D29" s="36"/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35" t="s">
        <v>161</v>
      </c>
      <c r="N29" s="36">
        <v>0</v>
      </c>
      <c r="O29" s="36">
        <v>0</v>
      </c>
    </row>
    <row r="30" spans="1:15" x14ac:dyDescent="0.25">
      <c r="B30" s="22" t="s">
        <v>193</v>
      </c>
      <c r="C30" s="36">
        <f>C23+C27</f>
        <v>200</v>
      </c>
      <c r="D30" s="36">
        <f>D23+D27</f>
        <v>160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  <c r="M30" s="46" t="s">
        <v>131</v>
      </c>
      <c r="N30" s="47">
        <f>SUM(N26:N29)</f>
        <v>0</v>
      </c>
      <c r="O30" s="47">
        <f>SUM(O26:O29)</f>
        <v>0</v>
      </c>
    </row>
    <row r="31" spans="1:15" x14ac:dyDescent="0.25">
      <c r="C31" s="36"/>
      <c r="D31" s="36"/>
      <c r="F31" s="59"/>
      <c r="G31" s="68" t="s">
        <v>99</v>
      </c>
      <c r="H31" s="88">
        <v>2000</v>
      </c>
      <c r="I31" s="88">
        <f>+H31+N32</f>
        <v>1750</v>
      </c>
      <c r="J31" s="88">
        <f>+I31+O32</f>
        <v>1910</v>
      </c>
      <c r="L31" s="92"/>
    </row>
    <row r="32" spans="1:15" x14ac:dyDescent="0.25">
      <c r="B32" s="22" t="s">
        <v>194</v>
      </c>
      <c r="C32" s="36">
        <f>-MAX(C30*25%,0)</f>
        <v>-50</v>
      </c>
      <c r="D32" s="36">
        <f>-MAX(D30*25%,0)</f>
        <v>-40</v>
      </c>
      <c r="F32" s="87"/>
      <c r="G32" s="87" t="s">
        <v>130</v>
      </c>
      <c r="H32" s="90">
        <f>SUM(H28:H31)</f>
        <v>2000</v>
      </c>
      <c r="I32" s="90">
        <f>SUM(I28:I31)</f>
        <v>1750</v>
      </c>
      <c r="J32" s="90">
        <f t="shared" ref="J32" si="7">SUM(J28:J31)</f>
        <v>1910</v>
      </c>
      <c r="M32" s="24" t="s">
        <v>52</v>
      </c>
      <c r="N32" s="34">
        <f>N23+N15+N30</f>
        <v>-250</v>
      </c>
      <c r="O32" s="34">
        <f>O23+O15+O30</f>
        <v>160</v>
      </c>
    </row>
    <row r="33" spans="2:10" x14ac:dyDescent="0.25">
      <c r="C33" s="36"/>
      <c r="D33" s="36"/>
      <c r="F33" s="59"/>
      <c r="G33" s="68"/>
      <c r="H33" s="88"/>
      <c r="I33" s="88"/>
      <c r="J33" s="88"/>
    </row>
    <row r="34" spans="2:10" ht="16.3" thickBot="1" x14ac:dyDescent="0.3">
      <c r="B34" s="24" t="s">
        <v>197</v>
      </c>
      <c r="C34" s="34">
        <f>C15-C32</f>
        <v>0</v>
      </c>
      <c r="D34" s="34">
        <f>D15-D32</f>
        <v>25</v>
      </c>
      <c r="F34" s="64"/>
      <c r="G34" s="65" t="s">
        <v>91</v>
      </c>
      <c r="H34" s="66">
        <f>+H32+H25</f>
        <v>2000</v>
      </c>
      <c r="I34" s="66">
        <f>+I32+I25</f>
        <v>2150</v>
      </c>
      <c r="J34" s="66">
        <f>+J32+J25</f>
        <v>2195</v>
      </c>
    </row>
    <row r="35" spans="2:10" x14ac:dyDescent="0.25">
      <c r="C35" s="36"/>
      <c r="D35" s="36"/>
    </row>
    <row r="36" spans="2:10" x14ac:dyDescent="0.25">
      <c r="B36" s="121" t="s">
        <v>198</v>
      </c>
      <c r="C36" s="134">
        <f>C34</f>
        <v>0</v>
      </c>
      <c r="D36" s="134">
        <f>+C36+D34</f>
        <v>25</v>
      </c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Tallied</v>
      </c>
    </row>
    <row r="37" spans="2:10" x14ac:dyDescent="0.25">
      <c r="H37" s="73"/>
      <c r="I37" s="73"/>
    </row>
    <row r="38" spans="2:10" x14ac:dyDescent="0.25">
      <c r="B38" s="5" t="s">
        <v>215</v>
      </c>
      <c r="C38" s="132"/>
      <c r="D38" s="132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08EC-1D6C-4958-8EF4-850E7304C223}">
  <dimension ref="A1:O45"/>
  <sheetViews>
    <sheetView showGridLines="0" zoomScale="115" zoomScaleNormal="115" workbookViewId="0">
      <selection activeCell="H3" sqref="H3:J3"/>
    </sheetView>
  </sheetViews>
  <sheetFormatPr defaultRowHeight="15.65" x14ac:dyDescent="0.25"/>
  <cols>
    <col min="1" max="1" width="1.5" style="22" customWidth="1"/>
    <col min="2" max="2" width="30.625" style="22" customWidth="1"/>
    <col min="3" max="4" width="8.875" style="22" customWidth="1"/>
    <col min="5" max="5" width="6.25" style="23" customWidth="1"/>
    <col min="6" max="6" width="3.25" style="23" customWidth="1"/>
    <col min="7" max="7" width="32.125" style="23" customWidth="1"/>
    <col min="8" max="8" width="9.125" style="23" customWidth="1"/>
    <col min="9" max="10" width="9.125" style="22" customWidth="1"/>
    <col min="11" max="11" width="6.5" style="22" customWidth="1"/>
    <col min="12" max="12" width="2" style="22" customWidth="1"/>
    <col min="13" max="13" width="39" style="22" customWidth="1"/>
    <col min="14" max="14" width="10" style="22" customWidth="1"/>
    <col min="15" max="15" width="8.625" style="22" customWidth="1"/>
    <col min="16" max="16384" width="9" style="22"/>
  </cols>
  <sheetData>
    <row r="1" spans="2:15" x14ac:dyDescent="0.25">
      <c r="J1" s="70"/>
      <c r="K1" s="59"/>
      <c r="O1" s="70" t="s">
        <v>97</v>
      </c>
    </row>
    <row r="2" spans="2:15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x14ac:dyDescent="0.25">
      <c r="B3" s="30"/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+H5+C17+C40</f>
        <v>2150</v>
      </c>
      <c r="J5" s="79">
        <f>+I5+D17+D40</f>
        <v>2325</v>
      </c>
      <c r="K5" s="59"/>
      <c r="M5" s="24" t="s">
        <v>44</v>
      </c>
      <c r="N5" s="34">
        <f>C17</f>
        <v>150</v>
      </c>
      <c r="O5" s="34">
        <f>D17</f>
        <v>75</v>
      </c>
    </row>
    <row r="6" spans="2:15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160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7">
        <f>-C9</f>
        <v>0</v>
      </c>
      <c r="O7" s="37">
        <f>-D9</f>
        <v>0</v>
      </c>
    </row>
    <row r="8" spans="2:15" x14ac:dyDescent="0.25">
      <c r="B8" s="5" t="s">
        <v>2</v>
      </c>
      <c r="C8" s="6">
        <v>-100</v>
      </c>
      <c r="D8" s="6">
        <v>-100</v>
      </c>
      <c r="F8" s="58"/>
      <c r="G8" s="58"/>
      <c r="H8" s="58"/>
      <c r="I8" s="79"/>
      <c r="J8" s="79"/>
      <c r="K8" s="62"/>
      <c r="M8" s="35" t="s">
        <v>171</v>
      </c>
      <c r="N8" s="115">
        <f t="shared" ref="N8:O8" si="2">-I24</f>
        <v>0</v>
      </c>
      <c r="O8" s="115">
        <f t="shared" si="2"/>
        <v>-25</v>
      </c>
    </row>
    <row r="9" spans="2:15" x14ac:dyDescent="0.25">
      <c r="B9" s="5" t="s">
        <v>62</v>
      </c>
      <c r="C9" s="6">
        <v>0</v>
      </c>
      <c r="D9" s="6">
        <v>0</v>
      </c>
      <c r="F9" s="24" t="s">
        <v>38</v>
      </c>
      <c r="G9" s="92"/>
      <c r="H9" s="92"/>
      <c r="I9" s="92"/>
      <c r="J9" s="79"/>
      <c r="K9" s="62"/>
      <c r="M9" s="35" t="s">
        <v>218</v>
      </c>
      <c r="N9" s="48">
        <f t="shared" ref="N9:O9" si="3">+C40</f>
        <v>0</v>
      </c>
      <c r="O9" s="48">
        <f t="shared" si="3"/>
        <v>100</v>
      </c>
    </row>
    <row r="10" spans="2:15" x14ac:dyDescent="0.25">
      <c r="B10" s="7" t="s">
        <v>7</v>
      </c>
      <c r="C10" s="8">
        <f>C7+C8+C9</f>
        <v>200</v>
      </c>
      <c r="D10" s="8">
        <f>D7+D8+D9</f>
        <v>200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211</v>
      </c>
      <c r="N10" s="37">
        <v>0</v>
      </c>
      <c r="O10" s="37">
        <v>0</v>
      </c>
    </row>
    <row r="11" spans="2:15" x14ac:dyDescent="0.25">
      <c r="B11" s="12"/>
      <c r="C11" s="13"/>
      <c r="D11" s="13"/>
      <c r="F11" s="41" t="s">
        <v>40</v>
      </c>
      <c r="G11" s="95"/>
      <c r="H11" s="94">
        <f>H10</f>
        <v>0</v>
      </c>
      <c r="I11" s="94">
        <f t="shared" ref="I11:J11" si="4">I10</f>
        <v>0</v>
      </c>
      <c r="J11" s="94">
        <f t="shared" si="4"/>
        <v>0</v>
      </c>
      <c r="K11" s="62"/>
      <c r="M11" s="35" t="s">
        <v>212</v>
      </c>
      <c r="N11" s="37">
        <v>0</v>
      </c>
      <c r="O11" s="37">
        <v>0</v>
      </c>
    </row>
    <row r="12" spans="2:15" x14ac:dyDescent="0.25">
      <c r="B12" s="135" t="s">
        <v>216</v>
      </c>
      <c r="C12" s="132">
        <v>0</v>
      </c>
      <c r="D12" s="132">
        <f>-D40</f>
        <v>-100</v>
      </c>
      <c r="K12" s="63"/>
      <c r="M12" s="35" t="s">
        <v>107</v>
      </c>
      <c r="N12" s="37">
        <f>H29-I29</f>
        <v>0</v>
      </c>
      <c r="O12" s="37">
        <f>I29-J29</f>
        <v>0</v>
      </c>
    </row>
    <row r="13" spans="2:15" x14ac:dyDescent="0.25">
      <c r="B13" s="135" t="s">
        <v>213</v>
      </c>
      <c r="C13" s="96">
        <v>0</v>
      </c>
      <c r="D13" s="96">
        <v>0</v>
      </c>
      <c r="F13" s="58" t="s">
        <v>89</v>
      </c>
      <c r="G13" s="59"/>
      <c r="H13" s="62"/>
      <c r="I13" s="61"/>
      <c r="J13" s="61"/>
      <c r="K13" s="63"/>
      <c r="M13" s="35" t="s">
        <v>118</v>
      </c>
      <c r="N13" s="37">
        <f>H30-I30</f>
        <v>0</v>
      </c>
      <c r="O13" s="37">
        <f>I30-J30</f>
        <v>0</v>
      </c>
    </row>
    <row r="14" spans="2:15" x14ac:dyDescent="0.25">
      <c r="B14" s="135" t="s">
        <v>214</v>
      </c>
      <c r="C14" s="96">
        <v>0</v>
      </c>
      <c r="D14" s="96">
        <v>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115</v>
      </c>
      <c r="N14" s="80">
        <f>I14-H14</f>
        <v>0</v>
      </c>
      <c r="O14" s="80">
        <f>J14-I14</f>
        <v>0</v>
      </c>
    </row>
    <row r="15" spans="2:15" x14ac:dyDescent="0.25">
      <c r="B15" s="7" t="s">
        <v>9</v>
      </c>
      <c r="C15" s="9">
        <f>SUM(C12:C14,C10)</f>
        <v>200</v>
      </c>
      <c r="D15" s="9">
        <f>SUM(D12:D14,D10)</f>
        <v>100</v>
      </c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150</v>
      </c>
      <c r="O15" s="34">
        <f>SUM(O5:O14)</f>
        <v>150</v>
      </c>
    </row>
    <row r="16" spans="2:15" x14ac:dyDescent="0.25">
      <c r="B16" s="5" t="s">
        <v>196</v>
      </c>
      <c r="C16" s="6">
        <f t="shared" ref="C16:D16" si="5">-C15*25%</f>
        <v>-50</v>
      </c>
      <c r="D16" s="6">
        <f t="shared" si="5"/>
        <v>-25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6.3" thickBot="1" x14ac:dyDescent="0.3">
      <c r="B17" s="10" t="s">
        <v>6</v>
      </c>
      <c r="C17" s="11">
        <f>SUM(C15:C16)</f>
        <v>150</v>
      </c>
      <c r="D17" s="11">
        <f>SUM(D15:D16)</f>
        <v>75</v>
      </c>
      <c r="F17" s="41" t="s">
        <v>37</v>
      </c>
      <c r="G17" s="95"/>
      <c r="H17" s="94">
        <f>SUM(H14:H16)</f>
        <v>0</v>
      </c>
      <c r="I17" s="94">
        <f t="shared" ref="I17:J17" si="6">SUM(I14:I16)</f>
        <v>0</v>
      </c>
      <c r="J17" s="94">
        <f t="shared" si="6"/>
        <v>0</v>
      </c>
      <c r="K17" s="67"/>
      <c r="L17" s="49" t="s">
        <v>49</v>
      </c>
      <c r="M17" s="49"/>
      <c r="N17" s="49"/>
      <c r="O17" s="49"/>
    </row>
    <row r="18" spans="1:15" x14ac:dyDescent="0.25">
      <c r="B18"/>
      <c r="C18"/>
      <c r="D18"/>
      <c r="K18" s="67"/>
      <c r="L18"/>
      <c r="M18" s="35" t="s">
        <v>50</v>
      </c>
      <c r="N18" s="36">
        <f>-I22</f>
        <v>0</v>
      </c>
      <c r="O18" s="36">
        <v>0</v>
      </c>
    </row>
    <row r="19" spans="1:15" ht="16.3" thickBot="1" x14ac:dyDescent="0.3">
      <c r="B19" s="129" t="s">
        <v>169</v>
      </c>
      <c r="C19" s="75">
        <f>C3</f>
        <v>1</v>
      </c>
      <c r="D19" s="75">
        <f>D3</f>
        <v>2</v>
      </c>
      <c r="F19" s="64"/>
      <c r="G19" s="65" t="s">
        <v>91</v>
      </c>
      <c r="H19" s="66">
        <f t="shared" ref="H19:J19" si="7">H17+H11+H5+H7</f>
        <v>2000</v>
      </c>
      <c r="I19" s="66">
        <f t="shared" si="7"/>
        <v>2150</v>
      </c>
      <c r="J19" s="66">
        <f t="shared" si="7"/>
        <v>2325</v>
      </c>
      <c r="K19" s="59"/>
      <c r="L19"/>
      <c r="M19" s="35" t="s">
        <v>210</v>
      </c>
      <c r="N19" s="36">
        <v>0</v>
      </c>
      <c r="O19" s="36">
        <v>0</v>
      </c>
    </row>
    <row r="20" spans="1:15" x14ac:dyDescent="0.25">
      <c r="B20" s="24" t="s">
        <v>185</v>
      </c>
      <c r="C20" s="34">
        <f>C15</f>
        <v>200</v>
      </c>
      <c r="D20" s="34">
        <f>D15</f>
        <v>100</v>
      </c>
      <c r="F20" s="59"/>
      <c r="G20" s="59"/>
      <c r="H20" s="59"/>
      <c r="I20" s="59"/>
      <c r="J20" s="59"/>
      <c r="K20" s="63"/>
      <c r="L20"/>
      <c r="M20" s="35" t="s">
        <v>181</v>
      </c>
      <c r="N20" s="36">
        <v>0</v>
      </c>
      <c r="O20" s="36">
        <v>0</v>
      </c>
    </row>
    <row r="21" spans="1:15" x14ac:dyDescent="0.25">
      <c r="A21"/>
      <c r="B21" s="35" t="s">
        <v>186</v>
      </c>
      <c r="C21" s="36">
        <v>0</v>
      </c>
      <c r="D21" s="36">
        <v>0</v>
      </c>
      <c r="F21" s="58" t="s">
        <v>93</v>
      </c>
      <c r="G21" s="59"/>
      <c r="H21" s="88"/>
      <c r="I21" s="88"/>
      <c r="J21" s="88"/>
      <c r="K21" s="63"/>
      <c r="L21"/>
      <c r="M21" s="35" t="s">
        <v>182</v>
      </c>
      <c r="N21" s="36">
        <v>0</v>
      </c>
      <c r="O21" s="36">
        <v>0</v>
      </c>
    </row>
    <row r="22" spans="1:15" x14ac:dyDescent="0.25">
      <c r="A22"/>
      <c r="B22" s="35" t="s">
        <v>187</v>
      </c>
      <c r="C22" s="36">
        <v>0</v>
      </c>
      <c r="D22" s="36">
        <v>0</v>
      </c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35" t="s">
        <v>183</v>
      </c>
      <c r="N22" s="36">
        <v>0</v>
      </c>
      <c r="O22" s="36">
        <v>0</v>
      </c>
    </row>
    <row r="23" spans="1:15" x14ac:dyDescent="0.25">
      <c r="A23"/>
      <c r="B23" s="35" t="s">
        <v>208</v>
      </c>
      <c r="C23" s="36">
        <v>0</v>
      </c>
      <c r="D23" s="36">
        <v>0</v>
      </c>
      <c r="F23" s="58"/>
      <c r="G23" s="59" t="s">
        <v>178</v>
      </c>
      <c r="H23" s="89">
        <v>0</v>
      </c>
      <c r="I23" s="89">
        <v>0</v>
      </c>
      <c r="J23" s="89">
        <v>0</v>
      </c>
      <c r="K23" s="71"/>
      <c r="M23" s="46" t="s">
        <v>51</v>
      </c>
      <c r="N23" s="85">
        <f>SUM(N18:N22)</f>
        <v>0</v>
      </c>
      <c r="O23" s="85">
        <f>SUM(O18:O22)</f>
        <v>0</v>
      </c>
    </row>
    <row r="24" spans="1:15" x14ac:dyDescent="0.25">
      <c r="B24" s="128" t="s">
        <v>217</v>
      </c>
      <c r="C24" s="115">
        <f>-C12</f>
        <v>0</v>
      </c>
      <c r="D24" s="115">
        <f>-D12</f>
        <v>100</v>
      </c>
      <c r="F24" s="58"/>
      <c r="G24" s="59" t="s">
        <v>195</v>
      </c>
      <c r="H24" s="89">
        <v>0</v>
      </c>
      <c r="I24" s="131">
        <f>C38</f>
        <v>0</v>
      </c>
      <c r="J24" s="131">
        <f>D38</f>
        <v>25</v>
      </c>
      <c r="M24" s="56"/>
      <c r="N24" s="91"/>
      <c r="O24" s="91"/>
    </row>
    <row r="25" spans="1:15" x14ac:dyDescent="0.25">
      <c r="B25" s="24" t="s">
        <v>209</v>
      </c>
      <c r="C25" s="47">
        <f>SUM(C20:C24)</f>
        <v>200</v>
      </c>
      <c r="D25" s="47">
        <f>SUM(D20:D24)</f>
        <v>200</v>
      </c>
      <c r="F25" s="87"/>
      <c r="G25" s="87" t="s">
        <v>180</v>
      </c>
      <c r="H25" s="90">
        <f>SUM(H22:H24)</f>
        <v>0</v>
      </c>
      <c r="I25" s="90">
        <f>SUM(I22:I24)</f>
        <v>0</v>
      </c>
      <c r="J25" s="90">
        <f>SUM(J22:J24)</f>
        <v>25</v>
      </c>
      <c r="L25" s="49" t="s">
        <v>71</v>
      </c>
      <c r="M25" s="49"/>
      <c r="N25" s="49"/>
      <c r="O25" s="49"/>
    </row>
    <row r="26" spans="1:15" x14ac:dyDescent="0.25">
      <c r="B26" s="35"/>
      <c r="C26" s="36"/>
      <c r="D26" s="36"/>
      <c r="F26" s="59"/>
      <c r="G26" s="59"/>
      <c r="H26" s="59"/>
      <c r="I26" s="59"/>
      <c r="J26" s="59"/>
      <c r="L26" s="92"/>
      <c r="M26" s="35" t="s">
        <v>132</v>
      </c>
      <c r="N26" s="36">
        <f>I10-H10</f>
        <v>0</v>
      </c>
      <c r="O26" s="36">
        <f>J10-I10</f>
        <v>0</v>
      </c>
    </row>
    <row r="27" spans="1:15" x14ac:dyDescent="0.25">
      <c r="B27" s="24" t="s">
        <v>189</v>
      </c>
      <c r="C27" s="34">
        <v>0</v>
      </c>
      <c r="D27" s="34">
        <f>C30</f>
        <v>0</v>
      </c>
      <c r="F27" s="58" t="s">
        <v>95</v>
      </c>
      <c r="G27" s="59"/>
      <c r="H27" s="88"/>
      <c r="I27" s="88"/>
      <c r="J27" s="88"/>
      <c r="L27" s="92"/>
      <c r="M27" s="35" t="s">
        <v>165</v>
      </c>
      <c r="N27" s="36">
        <v>0</v>
      </c>
      <c r="O27" s="36">
        <v>0</v>
      </c>
    </row>
    <row r="28" spans="1:15" x14ac:dyDescent="0.25">
      <c r="B28" s="35" t="s">
        <v>190</v>
      </c>
      <c r="C28" s="36">
        <f>MAX(-C25,0)</f>
        <v>0</v>
      </c>
      <c r="D28" s="36">
        <f>MAX(-D25,0)</f>
        <v>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157</v>
      </c>
      <c r="N28" s="36">
        <v>0</v>
      </c>
      <c r="O28" s="36">
        <v>0</v>
      </c>
    </row>
    <row r="29" spans="1:15" x14ac:dyDescent="0.25">
      <c r="B29" s="35" t="s">
        <v>191</v>
      </c>
      <c r="C29" s="36">
        <f>-MIN(C27+C28,MAX(C25,0))</f>
        <v>0</v>
      </c>
      <c r="D29" s="36">
        <f>-MIN(D27+D28,MAX(D25,0))</f>
        <v>0</v>
      </c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35" t="s">
        <v>161</v>
      </c>
      <c r="N29" s="36">
        <v>0</v>
      </c>
      <c r="O29" s="36">
        <v>0</v>
      </c>
    </row>
    <row r="30" spans="1:15" x14ac:dyDescent="0.25">
      <c r="B30" s="41" t="s">
        <v>192</v>
      </c>
      <c r="C30" s="47">
        <f>C27+C28+C29</f>
        <v>0</v>
      </c>
      <c r="D30" s="47">
        <f>D27+D28+D29</f>
        <v>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  <c r="M30" s="46" t="s">
        <v>131</v>
      </c>
      <c r="N30" s="47">
        <f>SUM(N26:N29)</f>
        <v>0</v>
      </c>
      <c r="O30" s="47">
        <f>SUM(O26:O29)</f>
        <v>0</v>
      </c>
    </row>
    <row r="31" spans="1:15" x14ac:dyDescent="0.25">
      <c r="C31" s="36"/>
      <c r="D31" s="36"/>
      <c r="F31" s="59"/>
      <c r="G31" s="68" t="s">
        <v>99</v>
      </c>
      <c r="H31" s="88">
        <v>2000</v>
      </c>
      <c r="I31" s="88">
        <f>+H31+N32</f>
        <v>2150</v>
      </c>
      <c r="J31" s="88">
        <f>+I31+O32</f>
        <v>2300</v>
      </c>
      <c r="L31" s="92"/>
    </row>
    <row r="32" spans="1:15" x14ac:dyDescent="0.25">
      <c r="B32" s="22" t="s">
        <v>193</v>
      </c>
      <c r="C32" s="36">
        <f>C25+C29</f>
        <v>200</v>
      </c>
      <c r="D32" s="36">
        <f>D25+D29</f>
        <v>200</v>
      </c>
      <c r="F32" s="87"/>
      <c r="G32" s="87" t="s">
        <v>130</v>
      </c>
      <c r="H32" s="90">
        <f>SUM(H28:H31)</f>
        <v>2000</v>
      </c>
      <c r="I32" s="90">
        <f>SUM(I28:I31)</f>
        <v>2150</v>
      </c>
      <c r="J32" s="90">
        <f t="shared" ref="J32" si="8">SUM(J28:J31)</f>
        <v>2300</v>
      </c>
      <c r="M32" s="24" t="s">
        <v>52</v>
      </c>
      <c r="N32" s="34">
        <f>N23+N15+N30</f>
        <v>150</v>
      </c>
      <c r="O32" s="34">
        <f>O23+O15+O30</f>
        <v>150</v>
      </c>
    </row>
    <row r="33" spans="2:10" x14ac:dyDescent="0.25">
      <c r="C33" s="36"/>
      <c r="D33" s="36"/>
      <c r="F33" s="59"/>
      <c r="G33" s="68"/>
      <c r="H33" s="88"/>
      <c r="I33" s="88"/>
      <c r="J33" s="88"/>
    </row>
    <row r="34" spans="2:10" ht="16.3" thickBot="1" x14ac:dyDescent="0.3">
      <c r="B34" s="22" t="s">
        <v>194</v>
      </c>
      <c r="C34" s="36">
        <f>-MAX(C32*25%,0)</f>
        <v>-50</v>
      </c>
      <c r="D34" s="36">
        <f>-MAX(D32*25%,0)</f>
        <v>-50</v>
      </c>
      <c r="F34" s="64"/>
      <c r="G34" s="65" t="s">
        <v>91</v>
      </c>
      <c r="H34" s="66">
        <f>+H32+H25</f>
        <v>2000</v>
      </c>
      <c r="I34" s="66">
        <f>+I32+I25</f>
        <v>2150</v>
      </c>
      <c r="J34" s="66">
        <f>+J32+J25</f>
        <v>2325</v>
      </c>
    </row>
    <row r="35" spans="2:10" x14ac:dyDescent="0.25">
      <c r="C35" s="36"/>
      <c r="D35" s="36"/>
    </row>
    <row r="36" spans="2:10" x14ac:dyDescent="0.25">
      <c r="B36" s="24" t="s">
        <v>197</v>
      </c>
      <c r="C36" s="34">
        <f>C16-C34</f>
        <v>0</v>
      </c>
      <c r="D36" s="34">
        <f>D16-D34</f>
        <v>25</v>
      </c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Tallied</v>
      </c>
    </row>
    <row r="37" spans="2:10" x14ac:dyDescent="0.25">
      <c r="C37" s="36"/>
      <c r="D37" s="36"/>
      <c r="H37" s="73"/>
      <c r="I37" s="73"/>
    </row>
    <row r="38" spans="2:10" x14ac:dyDescent="0.25">
      <c r="B38" s="121" t="s">
        <v>198</v>
      </c>
      <c r="C38" s="134">
        <f>C36</f>
        <v>0</v>
      </c>
      <c r="D38" s="134">
        <f>+C38+D36</f>
        <v>25</v>
      </c>
    </row>
    <row r="40" spans="2:10" x14ac:dyDescent="0.25">
      <c r="B40" s="5" t="s">
        <v>216</v>
      </c>
      <c r="C40" s="132"/>
      <c r="D40" s="132">
        <v>100</v>
      </c>
    </row>
    <row r="42" spans="2:10" x14ac:dyDescent="0.25">
      <c r="H42" s="22"/>
    </row>
    <row r="43" spans="2:10" x14ac:dyDescent="0.25">
      <c r="H43" s="22"/>
    </row>
    <row r="44" spans="2:10" x14ac:dyDescent="0.25">
      <c r="H44" s="22"/>
    </row>
    <row r="45" spans="2:10" x14ac:dyDescent="0.25">
      <c r="J45" s="13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F6A0-A947-4E79-BD74-E8D806B46934}">
  <dimension ref="A2:P63"/>
  <sheetViews>
    <sheetView showGridLines="0" workbookViewId="0">
      <selection activeCell="G1" sqref="G1"/>
    </sheetView>
  </sheetViews>
  <sheetFormatPr defaultRowHeight="15.65" x14ac:dyDescent="0.25"/>
  <cols>
    <col min="1" max="1" width="1.75" style="22" customWidth="1"/>
    <col min="2" max="2" width="42.125" style="22" customWidth="1"/>
    <col min="3" max="6" width="12.25" style="22" customWidth="1"/>
    <col min="7" max="7" width="2.625" style="22" customWidth="1"/>
    <col min="8" max="8" width="3.25" style="156" customWidth="1"/>
    <col min="9" max="9" width="9" style="22"/>
    <col min="10" max="10" width="24.875" style="22" customWidth="1"/>
    <col min="11" max="13" width="9.625" style="22" bestFit="1" customWidth="1"/>
    <col min="14" max="14" width="9.125" style="22" bestFit="1" customWidth="1"/>
    <col min="15" max="15" width="4.25" style="22" customWidth="1"/>
    <col min="16" max="16384" width="9" style="22"/>
  </cols>
  <sheetData>
    <row r="2" spans="1:16" x14ac:dyDescent="0.25">
      <c r="A2" s="139"/>
      <c r="B2" s="139"/>
      <c r="C2" s="59"/>
      <c r="D2" s="59"/>
      <c r="E2" s="61"/>
      <c r="F2" s="140" t="s">
        <v>274</v>
      </c>
    </row>
    <row r="3" spans="1:16" x14ac:dyDescent="0.25">
      <c r="A3" s="59"/>
      <c r="B3" s="161" t="s">
        <v>309</v>
      </c>
      <c r="C3" s="161">
        <v>2020</v>
      </c>
      <c r="D3" s="161">
        <f t="shared" ref="D3:F3" si="0">C3+1</f>
        <v>2021</v>
      </c>
      <c r="E3" s="161">
        <f t="shared" si="0"/>
        <v>2022</v>
      </c>
      <c r="F3" s="161">
        <f t="shared" si="0"/>
        <v>2023</v>
      </c>
      <c r="I3" s="161" t="s">
        <v>311</v>
      </c>
      <c r="J3" s="161"/>
      <c r="K3" s="161">
        <f t="shared" ref="K3:N3" si="1">C3</f>
        <v>2020</v>
      </c>
      <c r="L3" s="161">
        <f t="shared" si="1"/>
        <v>2021</v>
      </c>
      <c r="M3" s="161">
        <f t="shared" si="1"/>
        <v>2022</v>
      </c>
      <c r="N3" s="161">
        <f t="shared" si="1"/>
        <v>2023</v>
      </c>
    </row>
    <row r="4" spans="1:16" x14ac:dyDescent="0.25">
      <c r="A4" s="143"/>
      <c r="B4" s="58" t="s">
        <v>276</v>
      </c>
      <c r="C4" s="59"/>
      <c r="D4" s="59"/>
      <c r="E4" s="61"/>
      <c r="F4" s="144"/>
    </row>
    <row r="5" spans="1:16" x14ac:dyDescent="0.25">
      <c r="A5" s="145"/>
      <c r="B5" s="59" t="s">
        <v>291</v>
      </c>
      <c r="C5" s="146">
        <v>575890</v>
      </c>
      <c r="D5" s="146">
        <v>680850</v>
      </c>
      <c r="E5" s="146">
        <f>820411-22317</f>
        <v>798094</v>
      </c>
      <c r="F5" s="146">
        <v>860685</v>
      </c>
      <c r="I5" s="25" t="s">
        <v>221</v>
      </c>
      <c r="J5" s="69"/>
      <c r="K5" s="69"/>
      <c r="L5" s="137"/>
      <c r="M5" s="137"/>
      <c r="N5" s="137"/>
      <c r="P5" s="159"/>
    </row>
    <row r="6" spans="1:16" ht="16.3" thickBot="1" x14ac:dyDescent="0.3">
      <c r="A6" s="58"/>
      <c r="B6" s="64" t="s">
        <v>91</v>
      </c>
      <c r="C6" s="147">
        <f t="shared" ref="C6:F6" si="2">C5</f>
        <v>575890</v>
      </c>
      <c r="D6" s="147">
        <f t="shared" si="2"/>
        <v>680850</v>
      </c>
      <c r="E6" s="147">
        <f t="shared" si="2"/>
        <v>798094</v>
      </c>
      <c r="F6" s="147">
        <f t="shared" si="2"/>
        <v>860685</v>
      </c>
      <c r="G6" s="157"/>
      <c r="I6" s="22" t="s">
        <v>222</v>
      </c>
      <c r="J6" s="158"/>
      <c r="K6" s="138">
        <f>(C6-SUM(C8:C10))/C6</f>
        <v>0.3278924794665648</v>
      </c>
      <c r="L6" s="138">
        <f>(D6-SUM(D8:D10))/D6</f>
        <v>0.31347286480135123</v>
      </c>
      <c r="M6" s="138">
        <f>(E6-SUM(E8:E10))/E6</f>
        <v>0.31103228441762498</v>
      </c>
      <c r="N6" s="138">
        <f>(F6-SUM(F8:F10))/F6</f>
        <v>0.29981468249127147</v>
      </c>
      <c r="P6" s="135" t="s">
        <v>265</v>
      </c>
    </row>
    <row r="7" spans="1:16" x14ac:dyDescent="0.25">
      <c r="A7" s="58"/>
      <c r="B7" s="58" t="s">
        <v>277</v>
      </c>
      <c r="C7" s="148"/>
      <c r="D7" s="149"/>
      <c r="E7" s="149"/>
      <c r="F7" s="149"/>
      <c r="G7" s="157"/>
      <c r="I7" s="22" t="s">
        <v>223</v>
      </c>
      <c r="J7" s="138"/>
      <c r="K7" s="138">
        <f>C16/C6</f>
        <v>0.10430290506867632</v>
      </c>
      <c r="L7" s="162">
        <f>D16/D6</f>
        <v>0.1123683630755673</v>
      </c>
      <c r="M7" s="162">
        <f>E16/E6</f>
        <v>0.11533102616984967</v>
      </c>
      <c r="N7" s="162">
        <f>F16/F6</f>
        <v>9.1326094912772965E-2</v>
      </c>
      <c r="P7" s="135" t="s">
        <v>263</v>
      </c>
    </row>
    <row r="8" spans="1:16" x14ac:dyDescent="0.25">
      <c r="A8" s="58"/>
      <c r="B8" s="61" t="s">
        <v>278</v>
      </c>
      <c r="C8" s="146">
        <v>354833</v>
      </c>
      <c r="D8" s="146">
        <v>426279</v>
      </c>
      <c r="E8" s="146">
        <v>449432</v>
      </c>
      <c r="F8" s="146">
        <v>450257</v>
      </c>
      <c r="I8" s="22" t="s">
        <v>224</v>
      </c>
      <c r="J8" s="138"/>
      <c r="K8" s="138">
        <f>C23/C6</f>
        <v>9.234576047509073E-2</v>
      </c>
      <c r="L8" s="162">
        <f>D23/D6</f>
        <v>0.10625835352867739</v>
      </c>
      <c r="M8" s="162">
        <f>E23/E6</f>
        <v>9.5456174335353985E-2</v>
      </c>
      <c r="N8" s="162">
        <f>F23/F6</f>
        <v>8.5662001777653846E-2</v>
      </c>
      <c r="P8" s="135" t="s">
        <v>264</v>
      </c>
    </row>
    <row r="9" spans="1:16" x14ac:dyDescent="0.25">
      <c r="A9" s="58"/>
      <c r="B9" s="61" t="s">
        <v>279</v>
      </c>
      <c r="C9" s="146">
        <v>32179</v>
      </c>
      <c r="D9" s="146">
        <v>44936</v>
      </c>
      <c r="E9" s="146">
        <v>100021</v>
      </c>
      <c r="F9" s="146">
        <v>150266</v>
      </c>
      <c r="I9" s="22" t="s">
        <v>225</v>
      </c>
      <c r="J9" s="138"/>
      <c r="K9" s="138">
        <f>C23/C31</f>
        <v>0.17370329239613275</v>
      </c>
      <c r="L9" s="162">
        <f>D23/D31</f>
        <v>0.19513366113645006</v>
      </c>
      <c r="M9" s="162">
        <f>E23/E31</f>
        <v>0.17900393332612771</v>
      </c>
      <c r="N9" s="162">
        <f>F23/F31</f>
        <v>0.1565612915966797</v>
      </c>
      <c r="P9" s="135" t="s">
        <v>267</v>
      </c>
    </row>
    <row r="10" spans="1:16" x14ac:dyDescent="0.25">
      <c r="A10" s="58"/>
      <c r="B10" s="61" t="s">
        <v>280</v>
      </c>
      <c r="C10" s="146">
        <v>48</v>
      </c>
      <c r="D10" s="146">
        <v>-3793</v>
      </c>
      <c r="E10" s="146">
        <v>408</v>
      </c>
      <c r="F10" s="146">
        <v>2116</v>
      </c>
      <c r="I10" s="22" t="s">
        <v>226</v>
      </c>
      <c r="J10" s="138"/>
      <c r="K10" s="138">
        <f>C23/(C44-C43)</f>
        <v>0.16793823222913443</v>
      </c>
      <c r="L10" s="162">
        <f>D23/(D44-D43)</f>
        <v>0.18690048387555125</v>
      </c>
      <c r="M10" s="162">
        <f>E23/(E44-E43)</f>
        <v>0.17011285330856246</v>
      </c>
      <c r="N10" s="162">
        <f>F23/(F44-F43)</f>
        <v>0.14807614288640827</v>
      </c>
      <c r="P10" s="135" t="s">
        <v>310</v>
      </c>
    </row>
    <row r="11" spans="1:16" x14ac:dyDescent="0.25">
      <c r="A11" s="58"/>
      <c r="B11" s="61" t="s">
        <v>281</v>
      </c>
      <c r="C11" s="146">
        <v>20003</v>
      </c>
      <c r="D11" s="146">
        <v>23603</v>
      </c>
      <c r="E11" s="146">
        <v>28634</v>
      </c>
      <c r="F11" s="146">
        <v>32850</v>
      </c>
      <c r="I11" s="22" t="s">
        <v>230</v>
      </c>
      <c r="J11" s="138"/>
      <c r="K11" s="138">
        <f>C23/C44</f>
        <v>0.14229258529902822</v>
      </c>
      <c r="L11" s="162">
        <f>D23/D44</f>
        <v>0.15708199981761414</v>
      </c>
      <c r="M11" s="162">
        <f>E23/E44</f>
        <v>0.14455318922857402</v>
      </c>
      <c r="N11" s="162">
        <f>F23/F44</f>
        <v>0.12915476920381885</v>
      </c>
      <c r="P11" s="135" t="s">
        <v>266</v>
      </c>
    </row>
    <row r="12" spans="1:16" x14ac:dyDescent="0.25">
      <c r="A12" s="58"/>
      <c r="B12" s="61" t="s">
        <v>282</v>
      </c>
      <c r="C12" s="146">
        <v>80542</v>
      </c>
      <c r="D12" s="146">
        <v>87280</v>
      </c>
      <c r="E12" s="146">
        <v>99956</v>
      </c>
      <c r="F12" s="146">
        <v>116385</v>
      </c>
      <c r="J12" s="96"/>
      <c r="K12" s="96"/>
      <c r="L12" s="23"/>
      <c r="M12" s="23"/>
      <c r="N12" s="135"/>
      <c r="P12" s="135"/>
    </row>
    <row r="13" spans="1:16" ht="16.3" thickBot="1" x14ac:dyDescent="0.3">
      <c r="A13" s="58"/>
      <c r="B13" s="64" t="s">
        <v>91</v>
      </c>
      <c r="C13" s="147">
        <f>SUM(C8:C12)</f>
        <v>487605</v>
      </c>
      <c r="D13" s="147">
        <f>SUM(D8:D12)</f>
        <v>578305</v>
      </c>
      <c r="E13" s="147">
        <f>SUM(E8:E12)</f>
        <v>678451</v>
      </c>
      <c r="F13" s="147">
        <f>SUM(F8:F12)</f>
        <v>751874</v>
      </c>
      <c r="I13" s="25" t="s">
        <v>227</v>
      </c>
      <c r="J13" s="32"/>
      <c r="K13" s="32"/>
      <c r="L13" s="137"/>
      <c r="M13" s="137"/>
      <c r="N13" s="159"/>
      <c r="P13" s="159"/>
    </row>
    <row r="14" spans="1:16" x14ac:dyDescent="0.25">
      <c r="A14" s="59"/>
      <c r="B14" s="58" t="s">
        <v>283</v>
      </c>
      <c r="C14" s="150">
        <f>C5-C13</f>
        <v>88285</v>
      </c>
      <c r="D14" s="150">
        <f>D5-D13</f>
        <v>102545</v>
      </c>
      <c r="E14" s="150">
        <f>E5-E13</f>
        <v>119643</v>
      </c>
      <c r="F14" s="150">
        <f>F5-F13</f>
        <v>108811</v>
      </c>
      <c r="I14" s="22" t="s">
        <v>270</v>
      </c>
      <c r="K14" s="163">
        <f>C6/C46</f>
        <v>4.7271130373398345</v>
      </c>
      <c r="L14" s="164">
        <f>D6/D46</f>
        <v>5.2625273425724819</v>
      </c>
      <c r="M14" s="164">
        <f>E6/E46</f>
        <v>6.1029891948520696</v>
      </c>
      <c r="N14" s="165">
        <f>F6/F46</f>
        <v>5.743183729030708</v>
      </c>
      <c r="P14" s="135" t="s">
        <v>268</v>
      </c>
    </row>
    <row r="15" spans="1:16" x14ac:dyDescent="0.25">
      <c r="A15" s="59"/>
      <c r="B15" s="59" t="s">
        <v>284</v>
      </c>
      <c r="C15" s="151">
        <v>28218</v>
      </c>
      <c r="D15" s="151">
        <v>26039</v>
      </c>
      <c r="E15" s="146">
        <v>27598</v>
      </c>
      <c r="F15" s="146">
        <v>30208</v>
      </c>
      <c r="I15" s="22" t="s">
        <v>269</v>
      </c>
      <c r="K15" s="163">
        <f>C6/C44</f>
        <v>1.5408675456997303</v>
      </c>
      <c r="L15" s="164">
        <f>D6/D44</f>
        <v>1.4783025955245983</v>
      </c>
      <c r="M15" s="164">
        <f>E6/E44</f>
        <v>1.5143409028810833</v>
      </c>
      <c r="N15" s="165">
        <f>F6/F44</f>
        <v>1.5077253218884119</v>
      </c>
      <c r="P15" s="135" t="s">
        <v>271</v>
      </c>
    </row>
    <row r="16" spans="1:16" x14ac:dyDescent="0.25">
      <c r="A16" s="59"/>
      <c r="B16" s="58" t="s">
        <v>285</v>
      </c>
      <c r="C16" s="150">
        <f>C14-C15</f>
        <v>60067</v>
      </c>
      <c r="D16" s="150">
        <f>D14-D15</f>
        <v>76506</v>
      </c>
      <c r="E16" s="150">
        <f>E14-E15</f>
        <v>92045</v>
      </c>
      <c r="F16" s="150">
        <f>F14-F15</f>
        <v>78603</v>
      </c>
      <c r="I16" s="22" t="s">
        <v>228</v>
      </c>
      <c r="K16" s="163">
        <f>SUM(C8:C10)/C55</f>
        <v>12.355870522888335</v>
      </c>
      <c r="L16" s="163">
        <f>SUM(D8:D10)/D55</f>
        <v>12.899025857548914</v>
      </c>
      <c r="M16" s="163">
        <f>SUM(E8:E10)/E55</f>
        <v>13.377962142961414</v>
      </c>
      <c r="N16" s="163">
        <f>SUM(F8:F10)/F55</f>
        <v>13.941586082450376</v>
      </c>
      <c r="P16" s="135" t="s">
        <v>250</v>
      </c>
    </row>
    <row r="17" spans="1:16" x14ac:dyDescent="0.25">
      <c r="A17" s="59"/>
      <c r="B17" s="59" t="s">
        <v>286</v>
      </c>
      <c r="C17" s="151">
        <v>817</v>
      </c>
      <c r="D17" s="151">
        <v>894</v>
      </c>
      <c r="E17" s="146">
        <v>3458</v>
      </c>
      <c r="F17" s="146">
        <v>759</v>
      </c>
      <c r="I17" s="22" t="s">
        <v>229</v>
      </c>
      <c r="K17" s="163">
        <f>C6/C56</f>
        <v>18.437920215150157</v>
      </c>
      <c r="L17" s="164">
        <f>D6/D56</f>
        <v>19.534343260457909</v>
      </c>
      <c r="M17" s="164">
        <f>E6/E56</f>
        <v>22.247142777499025</v>
      </c>
      <c r="N17" s="165">
        <f>F6/F56</f>
        <v>23.553308521701055</v>
      </c>
      <c r="P17" s="135" t="s">
        <v>249</v>
      </c>
    </row>
    <row r="18" spans="1:16" x14ac:dyDescent="0.25">
      <c r="A18" s="59"/>
      <c r="B18" s="59" t="s">
        <v>4</v>
      </c>
      <c r="C18" s="146">
        <v>14806</v>
      </c>
      <c r="D18" s="146">
        <v>22896</v>
      </c>
      <c r="E18" s="146">
        <v>20458</v>
      </c>
      <c r="F18" s="146">
        <v>25616</v>
      </c>
      <c r="I18" s="22" t="s">
        <v>255</v>
      </c>
      <c r="K18" s="163">
        <f>SUM(C8:C10,C55)/C39</f>
        <v>12.79467889908257</v>
      </c>
      <c r="L18" s="164">
        <f>SUM(D8:D10,D55,-C55)/D39</f>
        <v>12.485342708360868</v>
      </c>
      <c r="M18" s="164">
        <f>SUM(E8:E10,E55,-D55)/E39</f>
        <v>12.891011340397844</v>
      </c>
      <c r="N18" s="164">
        <f>SUM(F8:F10,F55,-E55)/F39</f>
        <v>14.352643820011391</v>
      </c>
      <c r="P18" s="135" t="s">
        <v>251</v>
      </c>
    </row>
    <row r="19" spans="1:16" x14ac:dyDescent="0.25">
      <c r="A19" s="59"/>
      <c r="B19" s="58" t="s">
        <v>287</v>
      </c>
      <c r="C19" s="150">
        <f>C16-C17+C18</f>
        <v>74056</v>
      </c>
      <c r="D19" s="150">
        <f>D16-D17+D18</f>
        <v>98508</v>
      </c>
      <c r="E19" s="150">
        <f>E16-E17+E18</f>
        <v>109045</v>
      </c>
      <c r="F19" s="150">
        <f>F16-F17+F18</f>
        <v>103460</v>
      </c>
      <c r="L19" s="23"/>
      <c r="M19" s="23"/>
      <c r="N19" s="135"/>
      <c r="P19" s="135"/>
    </row>
    <row r="20" spans="1:16" x14ac:dyDescent="0.25">
      <c r="A20" s="59"/>
      <c r="B20" s="59" t="s">
        <v>288</v>
      </c>
      <c r="C20" s="152">
        <v>0</v>
      </c>
      <c r="D20" s="152">
        <v>0</v>
      </c>
      <c r="E20" s="152">
        <v>0</v>
      </c>
      <c r="F20" s="152">
        <v>0</v>
      </c>
      <c r="I20" s="25" t="s">
        <v>231</v>
      </c>
      <c r="J20" s="32"/>
      <c r="K20" s="32"/>
      <c r="L20" s="137"/>
      <c r="M20" s="137"/>
      <c r="N20" s="159"/>
      <c r="P20" s="159"/>
    </row>
    <row r="21" spans="1:16" x14ac:dyDescent="0.25">
      <c r="A21" s="59"/>
      <c r="B21" s="58" t="s">
        <v>289</v>
      </c>
      <c r="C21" s="150">
        <f>C19+C20</f>
        <v>74056</v>
      </c>
      <c r="D21" s="150">
        <f>D19+D20</f>
        <v>98508</v>
      </c>
      <c r="E21" s="150">
        <f>E19+E20</f>
        <v>109045</v>
      </c>
      <c r="F21" s="150">
        <f>F19+F20</f>
        <v>103460</v>
      </c>
      <c r="I21" s="22" t="s">
        <v>232</v>
      </c>
      <c r="K21" s="166">
        <f>C33/C44</f>
        <v>2.1605698017894602E-2</v>
      </c>
      <c r="L21" s="166">
        <f>D33/D44</f>
        <v>2.4003282945618615E-2</v>
      </c>
      <c r="M21" s="166">
        <f>E33/E44</f>
        <v>3.0281353410850361E-2</v>
      </c>
      <c r="N21" s="166">
        <f>F33/F44</f>
        <v>3.5825523342384161E-2</v>
      </c>
      <c r="P21" s="135" t="s">
        <v>243</v>
      </c>
    </row>
    <row r="22" spans="1:16" x14ac:dyDescent="0.25">
      <c r="A22" s="59"/>
      <c r="B22" s="59" t="s">
        <v>5</v>
      </c>
      <c r="C22" s="151">
        <v>20875</v>
      </c>
      <c r="D22" s="151">
        <v>26162</v>
      </c>
      <c r="E22" s="146">
        <f>33505-643</f>
        <v>32862</v>
      </c>
      <c r="F22" s="146">
        <v>29732</v>
      </c>
      <c r="I22" s="22" t="s">
        <v>233</v>
      </c>
      <c r="K22" s="166">
        <f>C33/C31</f>
        <v>2.6375097987980142E-2</v>
      </c>
      <c r="L22" s="166">
        <f>D33/D31</f>
        <v>2.9817856189194365E-2</v>
      </c>
      <c r="M22" s="166">
        <f>E33/E31</f>
        <v>3.7498179015681615E-2</v>
      </c>
      <c r="N22" s="166">
        <f>F33/F31</f>
        <v>4.3427666211530172E-2</v>
      </c>
      <c r="P22" s="135" t="s">
        <v>273</v>
      </c>
    </row>
    <row r="23" spans="1:16" ht="16.3" thickBot="1" x14ac:dyDescent="0.3">
      <c r="A23" s="58"/>
      <c r="B23" s="64" t="s">
        <v>290</v>
      </c>
      <c r="C23" s="147">
        <f t="shared" ref="C23:F23" si="3">C21-C22</f>
        <v>53181</v>
      </c>
      <c r="D23" s="147">
        <f t="shared" si="3"/>
        <v>72346</v>
      </c>
      <c r="E23" s="147">
        <f t="shared" si="3"/>
        <v>76183</v>
      </c>
      <c r="F23" s="147">
        <f t="shared" si="3"/>
        <v>73728</v>
      </c>
      <c r="I23" s="22" t="s">
        <v>234</v>
      </c>
      <c r="K23" s="166">
        <f>C16/C17</f>
        <v>73.52141982864137</v>
      </c>
      <c r="L23" s="166">
        <f>D16/D17</f>
        <v>85.577181208053688</v>
      </c>
      <c r="M23" s="166">
        <f>E16/E17</f>
        <v>26.617987275882012</v>
      </c>
      <c r="N23" s="166">
        <f>F16/F17</f>
        <v>103.56126482213439</v>
      </c>
      <c r="P23" s="135" t="s">
        <v>272</v>
      </c>
    </row>
    <row r="24" spans="1:16" x14ac:dyDescent="0.25">
      <c r="P24" s="135"/>
    </row>
    <row r="25" spans="1:16" ht="16.3" thickBot="1" x14ac:dyDescent="0.3">
      <c r="A25" s="139"/>
      <c r="B25" s="139"/>
      <c r="C25" s="59"/>
      <c r="D25" s="59"/>
      <c r="E25" s="61"/>
      <c r="F25" s="140" t="s">
        <v>274</v>
      </c>
      <c r="I25" s="25" t="s">
        <v>235</v>
      </c>
      <c r="J25" s="32"/>
      <c r="K25" s="32"/>
      <c r="L25" s="32"/>
      <c r="M25" s="32"/>
      <c r="N25" s="32"/>
      <c r="P25" s="159"/>
    </row>
    <row r="26" spans="1:16" ht="16.3" thickBot="1" x14ac:dyDescent="0.3">
      <c r="A26" s="59"/>
      <c r="B26" s="141" t="s">
        <v>275</v>
      </c>
      <c r="C26" s="142">
        <f>C3</f>
        <v>2020</v>
      </c>
      <c r="D26" s="142">
        <f>D3</f>
        <v>2021</v>
      </c>
      <c r="E26" s="142">
        <f>E3</f>
        <v>2022</v>
      </c>
      <c r="F26" s="142">
        <f>F3</f>
        <v>2023</v>
      </c>
      <c r="I26" s="22" t="s">
        <v>236</v>
      </c>
      <c r="K26" s="166">
        <f>C61/C43</f>
        <v>1.543995514595087</v>
      </c>
      <c r="L26" s="166">
        <f>D61/D43</f>
        <v>1.4772520039739245</v>
      </c>
      <c r="M26" s="166">
        <f>E61/E43</f>
        <v>1.3014800596064962</v>
      </c>
      <c r="N26" s="166">
        <f>F61/F43</f>
        <v>1.4792169335380565</v>
      </c>
      <c r="P26" s="135" t="s">
        <v>246</v>
      </c>
    </row>
    <row r="27" spans="1:16" x14ac:dyDescent="0.25">
      <c r="A27" s="59"/>
      <c r="B27" s="60" t="s">
        <v>83</v>
      </c>
      <c r="C27" s="59"/>
      <c r="D27" s="59"/>
      <c r="E27" s="59"/>
      <c r="F27" s="59"/>
      <c r="I27" s="22" t="s">
        <v>237</v>
      </c>
      <c r="K27" s="166">
        <f>(C57+C59+C56)/C43</f>
        <v>0.75610610785997123</v>
      </c>
      <c r="L27" s="166">
        <f>(D57+D59+D56)/D43</f>
        <v>0.77405789409218961</v>
      </c>
      <c r="M27" s="166">
        <f>(E57+E59+E56)/E43</f>
        <v>0.61610638244134064</v>
      </c>
      <c r="N27" s="166">
        <f>(F57+F59+F56)/F43</f>
        <v>0.80712601447685894</v>
      </c>
      <c r="P27" s="135" t="s">
        <v>247</v>
      </c>
    </row>
    <row r="28" spans="1:16" x14ac:dyDescent="0.25">
      <c r="A28" s="59"/>
      <c r="B28" s="59" t="s">
        <v>85</v>
      </c>
      <c r="C28" s="62">
        <v>1510</v>
      </c>
      <c r="D28" s="62">
        <v>1510</v>
      </c>
      <c r="E28" s="153">
        <v>1510</v>
      </c>
      <c r="F28" s="63">
        <f>E28</f>
        <v>1510</v>
      </c>
      <c r="P28" s="135" t="s">
        <v>248</v>
      </c>
    </row>
    <row r="29" spans="1:16" x14ac:dyDescent="0.25">
      <c r="A29" s="59"/>
      <c r="B29" s="59" t="s">
        <v>86</v>
      </c>
      <c r="C29" s="62">
        <v>304650</v>
      </c>
      <c r="D29" s="62">
        <v>369241</v>
      </c>
      <c r="E29" s="154">
        <v>424084</v>
      </c>
      <c r="F29" s="154">
        <v>469411</v>
      </c>
      <c r="I29" s="25" t="s">
        <v>238</v>
      </c>
      <c r="J29" s="32"/>
      <c r="K29" s="32"/>
      <c r="L29" s="32"/>
      <c r="M29" s="32"/>
      <c r="N29" s="32"/>
      <c r="P29" s="159"/>
    </row>
    <row r="30" spans="1:16" x14ac:dyDescent="0.25">
      <c r="A30" s="59"/>
      <c r="B30" s="59" t="s">
        <v>292</v>
      </c>
      <c r="C30" s="62">
        <v>0</v>
      </c>
      <c r="D30" s="62">
        <v>0</v>
      </c>
      <c r="E30" s="62">
        <v>0</v>
      </c>
      <c r="F30" s="62">
        <v>0</v>
      </c>
      <c r="I30" s="22" t="s">
        <v>244</v>
      </c>
      <c r="K30" s="167">
        <f>C61-C43</f>
        <v>31048</v>
      </c>
      <c r="L30" s="167">
        <f>D61-D43</f>
        <v>35068</v>
      </c>
      <c r="M30" s="167">
        <f>E61-E43</f>
        <v>23873</v>
      </c>
      <c r="N30" s="167">
        <f>F61-F43</f>
        <v>34956</v>
      </c>
      <c r="P30" s="135" t="s">
        <v>245</v>
      </c>
    </row>
    <row r="31" spans="1:16" x14ac:dyDescent="0.25">
      <c r="A31" s="59"/>
      <c r="B31" s="58" t="s">
        <v>84</v>
      </c>
      <c r="C31" s="78">
        <f t="shared" ref="C31:F31" si="4">SUM(C28:C30)</f>
        <v>306160</v>
      </c>
      <c r="D31" s="78">
        <f t="shared" si="4"/>
        <v>370751</v>
      </c>
      <c r="E31" s="160">
        <f t="shared" si="4"/>
        <v>425594</v>
      </c>
      <c r="F31" s="79">
        <f t="shared" si="4"/>
        <v>470921</v>
      </c>
      <c r="I31" s="22" t="s">
        <v>239</v>
      </c>
      <c r="K31" s="168">
        <f t="shared" ref="K31:N31" si="5">365/K17</f>
        <v>19.796158988695758</v>
      </c>
      <c r="L31" s="168">
        <f t="shared" si="5"/>
        <v>18.685040757876184</v>
      </c>
      <c r="M31" s="168">
        <f t="shared" si="5"/>
        <v>16.406601227424339</v>
      </c>
      <c r="N31" s="168">
        <f t="shared" si="5"/>
        <v>15.496761300591972</v>
      </c>
      <c r="P31" s="135" t="s">
        <v>252</v>
      </c>
    </row>
    <row r="32" spans="1:16" x14ac:dyDescent="0.25">
      <c r="A32" s="59"/>
      <c r="B32" s="59"/>
      <c r="C32" s="62"/>
      <c r="D32" s="62"/>
      <c r="E32" s="153"/>
      <c r="F32" s="63"/>
      <c r="I32" s="22" t="s">
        <v>240</v>
      </c>
      <c r="K32" s="168">
        <f t="shared" ref="K32:N32" si="6">365/K16</f>
        <v>29.540613858316544</v>
      </c>
      <c r="L32" s="168">
        <f t="shared" si="6"/>
        <v>28.296710467200946</v>
      </c>
      <c r="M32" s="168">
        <f t="shared" si="6"/>
        <v>27.283677147497276</v>
      </c>
      <c r="N32" s="168">
        <f t="shared" si="6"/>
        <v>26.180665373465708</v>
      </c>
      <c r="P32" s="135" t="s">
        <v>253</v>
      </c>
    </row>
    <row r="33" spans="1:16" x14ac:dyDescent="0.25">
      <c r="A33" s="59"/>
      <c r="B33" s="59" t="s">
        <v>88</v>
      </c>
      <c r="C33" s="63">
        <v>8075</v>
      </c>
      <c r="D33" s="63">
        <v>11055</v>
      </c>
      <c r="E33" s="153">
        <v>15959</v>
      </c>
      <c r="F33" s="63">
        <v>20451</v>
      </c>
      <c r="I33" s="22" t="s">
        <v>241</v>
      </c>
      <c r="K33" s="168">
        <f t="shared" ref="K33:N33" si="7">365/K18</f>
        <v>28.527484189241513</v>
      </c>
      <c r="L33" s="168">
        <f t="shared" si="7"/>
        <v>29.234279628990564</v>
      </c>
      <c r="M33" s="168">
        <f t="shared" si="7"/>
        <v>28.314302917115835</v>
      </c>
      <c r="N33" s="168">
        <f t="shared" si="7"/>
        <v>25.430854731522928</v>
      </c>
      <c r="P33" s="135" t="s">
        <v>254</v>
      </c>
    </row>
    <row r="34" spans="1:16" x14ac:dyDescent="0.25">
      <c r="A34" s="59"/>
      <c r="B34" s="59" t="s">
        <v>293</v>
      </c>
      <c r="C34" s="63">
        <v>148</v>
      </c>
      <c r="D34" s="63">
        <v>219</v>
      </c>
      <c r="E34" s="153">
        <v>265</v>
      </c>
      <c r="F34" s="63">
        <v>395</v>
      </c>
      <c r="I34" s="22" t="s">
        <v>257</v>
      </c>
      <c r="K34" s="168">
        <f t="shared" ref="K34:N34" si="8">K31+K32-K33</f>
        <v>20.809288657770786</v>
      </c>
      <c r="L34" s="168">
        <f t="shared" si="8"/>
        <v>17.747471596086569</v>
      </c>
      <c r="M34" s="168">
        <f t="shared" si="8"/>
        <v>15.375975457805783</v>
      </c>
      <c r="N34" s="168">
        <f t="shared" si="8"/>
        <v>16.24657194253475</v>
      </c>
      <c r="P34" s="135" t="s">
        <v>256</v>
      </c>
    </row>
    <row r="35" spans="1:16" x14ac:dyDescent="0.25">
      <c r="A35" s="59"/>
      <c r="B35" s="59" t="s">
        <v>294</v>
      </c>
      <c r="C35" s="63">
        <v>2287</v>
      </c>
      <c r="D35" s="63">
        <v>5058</v>
      </c>
      <c r="E35" s="153">
        <v>6020</v>
      </c>
      <c r="F35" s="63">
        <v>6139</v>
      </c>
      <c r="P35" s="135"/>
    </row>
    <row r="36" spans="1:16" x14ac:dyDescent="0.25">
      <c r="A36" s="59"/>
      <c r="B36" s="58" t="s">
        <v>87</v>
      </c>
      <c r="C36" s="78">
        <f>SUM(C33:C35)</f>
        <v>10510</v>
      </c>
      <c r="D36" s="78">
        <f>SUM(D33:D35)</f>
        <v>16332</v>
      </c>
      <c r="E36" s="160">
        <f>SUM(E33:E35)</f>
        <v>22244</v>
      </c>
      <c r="F36" s="79">
        <f>SUM(F33:F35)</f>
        <v>26985</v>
      </c>
      <c r="I36" s="25" t="s">
        <v>258</v>
      </c>
      <c r="J36" s="32"/>
      <c r="K36" s="32"/>
      <c r="L36" s="32"/>
      <c r="M36" s="32"/>
      <c r="N36" s="32"/>
      <c r="P36" s="159"/>
    </row>
    <row r="37" spans="1:16" x14ac:dyDescent="0.25">
      <c r="B37" s="59"/>
      <c r="C37" s="62"/>
      <c r="D37" s="63"/>
      <c r="E37" s="153"/>
      <c r="F37" s="63"/>
      <c r="I37" s="22" t="s">
        <v>224</v>
      </c>
      <c r="K37" s="162">
        <f t="shared" ref="K37:N37" si="9">K8</f>
        <v>9.234576047509073E-2</v>
      </c>
      <c r="L37" s="162">
        <f t="shared" si="9"/>
        <v>0.10625835352867739</v>
      </c>
      <c r="M37" s="162">
        <f t="shared" si="9"/>
        <v>9.5456174335353985E-2</v>
      </c>
      <c r="N37" s="162">
        <f t="shared" si="9"/>
        <v>8.5662001777653846E-2</v>
      </c>
      <c r="P37" s="135" t="s">
        <v>259</v>
      </c>
    </row>
    <row r="38" spans="1:16" x14ac:dyDescent="0.25">
      <c r="A38" s="59"/>
      <c r="B38" s="59" t="s">
        <v>296</v>
      </c>
      <c r="C38" s="62">
        <v>774</v>
      </c>
      <c r="D38" s="63">
        <v>4836</v>
      </c>
      <c r="E38" s="153">
        <v>1108</v>
      </c>
      <c r="F38" s="63">
        <v>1496</v>
      </c>
      <c r="I38" s="22" t="s">
        <v>220</v>
      </c>
      <c r="K38" s="163">
        <f t="shared" ref="K38:N38" si="10">K15</f>
        <v>1.5408675456997303</v>
      </c>
      <c r="L38" s="163">
        <f t="shared" si="10"/>
        <v>1.4783025955245983</v>
      </c>
      <c r="M38" s="163">
        <f t="shared" si="10"/>
        <v>1.5143409028810833</v>
      </c>
      <c r="N38" s="163">
        <f t="shared" si="10"/>
        <v>1.5077253218884119</v>
      </c>
      <c r="P38" s="135" t="s">
        <v>260</v>
      </c>
    </row>
    <row r="39" spans="1:16" x14ac:dyDescent="0.25">
      <c r="A39" s="59"/>
      <c r="B39" s="59" t="s">
        <v>90</v>
      </c>
      <c r="C39" s="62">
        <v>32700</v>
      </c>
      <c r="D39" s="63">
        <v>37831</v>
      </c>
      <c r="E39" s="153">
        <v>43032</v>
      </c>
      <c r="F39" s="63">
        <v>42136</v>
      </c>
      <c r="I39" s="22" t="s">
        <v>242</v>
      </c>
      <c r="K39" s="166">
        <f>C44/C31</f>
        <v>1.2207473216618761</v>
      </c>
      <c r="L39" s="166">
        <f>D44/D31</f>
        <v>1.2422407491820655</v>
      </c>
      <c r="M39" s="166">
        <f>E44/E31</f>
        <v>1.2383257282762445</v>
      </c>
      <c r="N39" s="166">
        <f>F44/F31</f>
        <v>1.2121990737299886</v>
      </c>
      <c r="P39" s="135" t="s">
        <v>261</v>
      </c>
    </row>
    <row r="40" spans="1:16" x14ac:dyDescent="0.25">
      <c r="A40" s="59"/>
      <c r="B40" s="59" t="s">
        <v>295</v>
      </c>
      <c r="C40" s="62">
        <v>7956</v>
      </c>
      <c r="D40" s="63">
        <v>8036</v>
      </c>
      <c r="E40" s="153">
        <v>8541</v>
      </c>
      <c r="F40" s="63">
        <v>6729</v>
      </c>
      <c r="I40" s="22" t="s">
        <v>225</v>
      </c>
      <c r="K40" s="162">
        <f t="shared" ref="K40:N40" si="11">K37*K38*K39</f>
        <v>0.17370329239613275</v>
      </c>
      <c r="L40" s="162">
        <f t="shared" si="11"/>
        <v>0.19513366113645006</v>
      </c>
      <c r="M40" s="162">
        <f t="shared" si="11"/>
        <v>0.17900393332612774</v>
      </c>
      <c r="N40" s="162">
        <f t="shared" si="11"/>
        <v>0.15656129159667967</v>
      </c>
      <c r="P40" s="135" t="s">
        <v>262</v>
      </c>
    </row>
    <row r="41" spans="1:16" x14ac:dyDescent="0.25">
      <c r="A41" s="59"/>
      <c r="B41" s="59" t="s">
        <v>297</v>
      </c>
      <c r="C41" s="62">
        <v>11650</v>
      </c>
      <c r="D41" s="63">
        <v>18278</v>
      </c>
      <c r="E41" s="153">
        <v>20896</v>
      </c>
      <c r="F41" s="63">
        <v>16329</v>
      </c>
      <c r="P41" s="135"/>
    </row>
    <row r="42" spans="1:16" x14ac:dyDescent="0.25">
      <c r="A42" s="59"/>
      <c r="B42" s="59" t="s">
        <v>298</v>
      </c>
      <c r="C42" s="62">
        <v>3994</v>
      </c>
      <c r="D42" s="63">
        <v>4498</v>
      </c>
      <c r="E42" s="153">
        <v>5609</v>
      </c>
      <c r="F42" s="63">
        <v>6254</v>
      </c>
    </row>
    <row r="43" spans="1:16" x14ac:dyDescent="0.25">
      <c r="A43" s="59"/>
      <c r="B43" s="58" t="s">
        <v>89</v>
      </c>
      <c r="C43" s="78">
        <f>SUM(C38:C42)</f>
        <v>57074</v>
      </c>
      <c r="D43" s="78">
        <f>SUM(D38:D42)</f>
        <v>73479</v>
      </c>
      <c r="E43" s="78">
        <f>SUM(E38:E42)</f>
        <v>79186</v>
      </c>
      <c r="F43" s="78">
        <f>SUM(F38:F42)</f>
        <v>72944</v>
      </c>
    </row>
    <row r="44" spans="1:16" ht="16.3" thickBot="1" x14ac:dyDescent="0.3">
      <c r="A44" s="58"/>
      <c r="B44" s="65" t="s">
        <v>91</v>
      </c>
      <c r="C44" s="66">
        <f>C43+C36+C31</f>
        <v>373744</v>
      </c>
      <c r="D44" s="66">
        <f>D43+D36+D31</f>
        <v>460562</v>
      </c>
      <c r="E44" s="155">
        <f>E43+E36+E31</f>
        <v>527024</v>
      </c>
      <c r="F44" s="66">
        <f>F43+F36+F31</f>
        <v>570850</v>
      </c>
    </row>
    <row r="45" spans="1:16" x14ac:dyDescent="0.25">
      <c r="B45" s="60" t="s">
        <v>92</v>
      </c>
      <c r="C45" s="67"/>
      <c r="D45" s="67"/>
      <c r="E45" s="59"/>
      <c r="F45" s="59"/>
    </row>
    <row r="46" spans="1:16" x14ac:dyDescent="0.25">
      <c r="A46" s="59"/>
      <c r="B46" s="68" t="s">
        <v>94</v>
      </c>
      <c r="C46" s="62">
        <v>121827</v>
      </c>
      <c r="D46" s="63">
        <v>129377</v>
      </c>
      <c r="E46" s="153">
        <v>130771</v>
      </c>
      <c r="F46" s="63">
        <v>149862</v>
      </c>
    </row>
    <row r="47" spans="1:16" x14ac:dyDescent="0.25">
      <c r="A47" s="59"/>
      <c r="B47" s="68" t="s">
        <v>299</v>
      </c>
      <c r="C47" s="62">
        <v>3469</v>
      </c>
      <c r="D47" s="63">
        <v>3730</v>
      </c>
      <c r="E47" s="153">
        <v>3117</v>
      </c>
      <c r="F47" s="63">
        <v>4511</v>
      </c>
    </row>
    <row r="48" spans="1:16" x14ac:dyDescent="0.25">
      <c r="A48" s="59"/>
      <c r="B48" s="68" t="s">
        <v>300</v>
      </c>
      <c r="C48" s="62">
        <v>10069.011860000001</v>
      </c>
      <c r="D48" s="63">
        <v>12523.013859999999</v>
      </c>
      <c r="E48" s="153">
        <v>21321</v>
      </c>
      <c r="F48" s="63">
        <v>16069</v>
      </c>
    </row>
    <row r="49" spans="1:6" x14ac:dyDescent="0.25">
      <c r="A49" s="59"/>
      <c r="B49" s="59" t="s">
        <v>301</v>
      </c>
      <c r="C49" s="62">
        <v>133223</v>
      </c>
      <c r="D49" s="63">
        <v>190108</v>
      </c>
      <c r="E49" s="153">
        <v>249839</v>
      </c>
      <c r="F49" s="63">
        <v>271571</v>
      </c>
    </row>
    <row r="50" spans="1:6" x14ac:dyDescent="0.25">
      <c r="A50" s="59"/>
      <c r="B50" s="59" t="s">
        <v>302</v>
      </c>
      <c r="C50" s="62">
        <v>234</v>
      </c>
      <c r="D50" s="63">
        <v>241</v>
      </c>
      <c r="E50" s="153">
        <v>328</v>
      </c>
      <c r="F50" s="63">
        <v>344</v>
      </c>
    </row>
    <row r="51" spans="1:6" x14ac:dyDescent="0.25">
      <c r="A51" s="59"/>
      <c r="B51" s="59" t="s">
        <v>303</v>
      </c>
      <c r="C51" s="62">
        <v>4</v>
      </c>
      <c r="D51" s="63">
        <v>3</v>
      </c>
      <c r="E51" s="153">
        <v>2</v>
      </c>
      <c r="F51" s="63">
        <v>2</v>
      </c>
    </row>
    <row r="52" spans="1:6" x14ac:dyDescent="0.25">
      <c r="A52" s="59"/>
      <c r="B52" s="59" t="s">
        <v>304</v>
      </c>
      <c r="C52" s="62">
        <v>16795.98814000003</v>
      </c>
      <c r="D52" s="63">
        <v>16032.986139999994</v>
      </c>
      <c r="E52" s="153">
        <v>18587</v>
      </c>
      <c r="F52" s="63">
        <v>20591</v>
      </c>
    </row>
    <row r="53" spans="1:6" x14ac:dyDescent="0.25">
      <c r="A53" s="59"/>
      <c r="B53" s="58" t="s">
        <v>93</v>
      </c>
      <c r="C53" s="78">
        <f t="shared" ref="C53:F53" si="12">SUM(C46:C52)</f>
        <v>285622</v>
      </c>
      <c r="D53" s="79">
        <f t="shared" si="12"/>
        <v>352015</v>
      </c>
      <c r="E53" s="160">
        <f t="shared" si="12"/>
        <v>423965</v>
      </c>
      <c r="F53" s="79">
        <f t="shared" si="12"/>
        <v>462950</v>
      </c>
    </row>
    <row r="54" spans="1:6" x14ac:dyDescent="0.25">
      <c r="B54" s="59"/>
      <c r="C54" s="62"/>
      <c r="D54" s="62"/>
      <c r="E54" s="153"/>
      <c r="F54" s="63"/>
    </row>
    <row r="55" spans="1:6" x14ac:dyDescent="0.25">
      <c r="A55" s="59"/>
      <c r="B55" s="68" t="s">
        <v>96</v>
      </c>
      <c r="C55" s="62">
        <v>31326</v>
      </c>
      <c r="D55" s="63">
        <v>36237</v>
      </c>
      <c r="E55" s="153">
        <v>41102</v>
      </c>
      <c r="F55" s="63">
        <v>43226</v>
      </c>
    </row>
    <row r="56" spans="1:6" x14ac:dyDescent="0.25">
      <c r="A56" s="59"/>
      <c r="B56" s="68" t="s">
        <v>219</v>
      </c>
      <c r="C56" s="62">
        <v>31234</v>
      </c>
      <c r="D56" s="63">
        <v>34854</v>
      </c>
      <c r="E56" s="153">
        <v>35874</v>
      </c>
      <c r="F56" s="63">
        <v>36542</v>
      </c>
    </row>
    <row r="57" spans="1:6" x14ac:dyDescent="0.25">
      <c r="A57" s="59"/>
      <c r="B57" s="68" t="s">
        <v>305</v>
      </c>
      <c r="C57" s="62">
        <v>507</v>
      </c>
      <c r="D57" s="63">
        <v>235</v>
      </c>
      <c r="E57" s="153">
        <v>740</v>
      </c>
      <c r="F57" s="63">
        <v>1878</v>
      </c>
    </row>
    <row r="58" spans="1:6" x14ac:dyDescent="0.25">
      <c r="A58" s="59"/>
      <c r="B58" s="68" t="s">
        <v>306</v>
      </c>
      <c r="C58" s="62">
        <v>31</v>
      </c>
      <c r="D58" s="63">
        <v>25</v>
      </c>
      <c r="E58" s="153">
        <v>30</v>
      </c>
      <c r="F58" s="63">
        <v>161</v>
      </c>
    </row>
    <row r="59" spans="1:6" x14ac:dyDescent="0.25">
      <c r="A59" s="59"/>
      <c r="B59" s="59" t="s">
        <v>308</v>
      </c>
      <c r="C59" s="62">
        <v>11413</v>
      </c>
      <c r="D59" s="63">
        <v>21788</v>
      </c>
      <c r="E59" s="153">
        <v>12173</v>
      </c>
      <c r="F59" s="63">
        <v>20455</v>
      </c>
    </row>
    <row r="60" spans="1:6" x14ac:dyDescent="0.25">
      <c r="A60" s="59"/>
      <c r="B60" s="68" t="s">
        <v>307</v>
      </c>
      <c r="C60" s="62">
        <v>13611</v>
      </c>
      <c r="D60" s="63">
        <v>15408</v>
      </c>
      <c r="E60" s="153">
        <v>13140</v>
      </c>
      <c r="F60" s="63">
        <v>5638</v>
      </c>
    </row>
    <row r="61" spans="1:6" x14ac:dyDescent="0.25">
      <c r="A61" s="59"/>
      <c r="B61" s="58" t="s">
        <v>95</v>
      </c>
      <c r="C61" s="79">
        <f>SUM(C55:C60)</f>
        <v>88122</v>
      </c>
      <c r="D61" s="79">
        <f>SUM(D55:D60)</f>
        <v>108547</v>
      </c>
      <c r="E61" s="79">
        <f>SUM(E55:E60)</f>
        <v>103059</v>
      </c>
      <c r="F61" s="79">
        <f>SUM(F55:F60)</f>
        <v>107900</v>
      </c>
    </row>
    <row r="62" spans="1:6" ht="16.3" thickBot="1" x14ac:dyDescent="0.3">
      <c r="A62" s="58"/>
      <c r="B62" s="65" t="s">
        <v>91</v>
      </c>
      <c r="C62" s="66">
        <f>C61+C53</f>
        <v>373744</v>
      </c>
      <c r="D62" s="66">
        <f>D61+D53</f>
        <v>460562</v>
      </c>
      <c r="E62" s="155">
        <f>E61+E53</f>
        <v>527024</v>
      </c>
      <c r="F62" s="66">
        <f>F61+F53</f>
        <v>570850</v>
      </c>
    </row>
    <row r="63" spans="1:6" x14ac:dyDescent="0.25">
      <c r="A63" s="59"/>
      <c r="B63" s="59"/>
      <c r="C63" s="36">
        <f>C62-C44</f>
        <v>0</v>
      </c>
      <c r="D63" s="36">
        <f>D62-D44</f>
        <v>0</v>
      </c>
      <c r="E63" s="36">
        <f>E62-E44</f>
        <v>0</v>
      </c>
      <c r="F63" s="36">
        <f>F62-F44</f>
        <v>0</v>
      </c>
    </row>
  </sheetData>
  <pageMargins left="0.7" right="0.7" top="0.75" bottom="0.75" header="0.3" footer="0.3"/>
  <ignoredErrors>
    <ignoredError sqref="K6:N6 K16:N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FS</vt:lpstr>
      <vt:lpstr>FS Intro</vt:lpstr>
      <vt:lpstr>Receivables</vt:lpstr>
      <vt:lpstr>Payables</vt:lpstr>
      <vt:lpstr>Prepaid</vt:lpstr>
      <vt:lpstr>Deferred Rev</vt:lpstr>
      <vt:lpstr>Inventory</vt:lpstr>
      <vt:lpstr>Capex</vt:lpstr>
      <vt:lpstr>Depr</vt:lpstr>
      <vt:lpstr>Debt</vt:lpstr>
      <vt:lpstr>Equity</vt:lpstr>
      <vt:lpstr>Pref</vt:lpstr>
      <vt:lpstr>Deferred Tax</vt:lpstr>
      <vt:lpstr>Fin Lease</vt:lpstr>
      <vt:lpstr>Op Lease</vt:lpstr>
      <vt:lpstr>Invt</vt:lpstr>
      <vt:lpstr>DTA</vt:lpstr>
      <vt:lpstr>Gains PPE</vt:lpstr>
      <vt:lpstr>Impairment</vt:lpstr>
      <vt:lpstr>SBC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dcterms:created xsi:type="dcterms:W3CDTF">2023-12-01T10:55:10Z</dcterms:created>
  <dcterms:modified xsi:type="dcterms:W3CDTF">2024-01-09T08:23:23Z</dcterms:modified>
</cp:coreProperties>
</file>