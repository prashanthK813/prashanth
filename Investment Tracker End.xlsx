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91895\Downloads\"/>
    </mc:Choice>
  </mc:AlternateContent>
  <xr:revisionPtr revIDLastSave="0" documentId="13_ncr:1_{E0717F0C-1AE3-450A-8082-004A074CEC32}" xr6:coauthVersionLast="47" xr6:coauthVersionMax="47" xr10:uidLastSave="{00000000-0000-0000-0000-000000000000}"/>
  <bookViews>
    <workbookView xWindow="-108" yWindow="-108" windowWidth="23256" windowHeight="12456" activeTab="1" xr2:uid="{3A26612E-76EB-424B-99E7-A7BCEEBAB3E4}"/>
  </bookViews>
  <sheets>
    <sheet name="Start File" sheetId="3" r:id="rId1"/>
    <sheet name="End File" sheetId="1" r:id="rId2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" l="1"/>
  <c r="J30" i="1"/>
  <c r="J29" i="1"/>
  <c r="J28" i="1"/>
  <c r="J27" i="1"/>
  <c r="J23" i="1"/>
  <c r="J22" i="1"/>
  <c r="J20" i="1"/>
  <c r="J19" i="1"/>
  <c r="J18" i="1"/>
  <c r="J16" i="1"/>
  <c r="J15" i="1"/>
  <c r="J14" i="1"/>
  <c r="J13" i="1"/>
  <c r="J11" i="1"/>
  <c r="J10" i="1"/>
  <c r="J9" i="1"/>
  <c r="J8" i="1"/>
  <c r="J7" i="1"/>
  <c r="F30" i="1"/>
  <c r="I22" i="1"/>
  <c r="C31" i="1" l="1"/>
  <c r="H8" i="1"/>
  <c r="H9" i="1"/>
  <c r="H10" i="1"/>
  <c r="H11" i="1"/>
  <c r="H13" i="1"/>
  <c r="H14" i="1"/>
  <c r="H15" i="1"/>
  <c r="H16" i="1"/>
  <c r="H18" i="1"/>
  <c r="H19" i="1"/>
  <c r="H20" i="1"/>
  <c r="H7" i="1"/>
  <c r="G8" i="1"/>
  <c r="I8" i="1" s="1"/>
  <c r="G9" i="1"/>
  <c r="G10" i="1"/>
  <c r="G11" i="1"/>
  <c r="G13" i="1"/>
  <c r="I13" i="1" s="1"/>
  <c r="G14" i="1"/>
  <c r="G15" i="1"/>
  <c r="I15" i="1" s="1"/>
  <c r="G16" i="1"/>
  <c r="I16" i="1" s="1"/>
  <c r="G18" i="1"/>
  <c r="G19" i="1"/>
  <c r="G20" i="1"/>
  <c r="I20" i="1" s="1"/>
  <c r="G7" i="1"/>
  <c r="H23" i="1" l="1"/>
  <c r="K29" i="1"/>
  <c r="K27" i="1"/>
  <c r="K31" i="1"/>
  <c r="K30" i="1"/>
  <c r="G23" i="1"/>
  <c r="K22" i="1" s="1"/>
  <c r="K28" i="1"/>
  <c r="I18" i="1"/>
  <c r="I10" i="1"/>
  <c r="I19" i="1"/>
  <c r="I9" i="1"/>
  <c r="I11" i="1"/>
  <c r="C28" i="1"/>
  <c r="I14" i="1"/>
  <c r="C27" i="1"/>
  <c r="F27" i="1"/>
  <c r="F28" i="1"/>
  <c r="F29" i="1"/>
  <c r="I7" i="1"/>
  <c r="K10" i="1" l="1"/>
  <c r="K13" i="1"/>
  <c r="K15" i="1"/>
  <c r="I23" i="1"/>
  <c r="C29" i="1" s="1"/>
  <c r="K9" i="1"/>
  <c r="K19" i="1"/>
  <c r="K14" i="1"/>
  <c r="K11" i="1"/>
  <c r="K7" i="1"/>
  <c r="C30" i="1"/>
  <c r="K18" i="1"/>
  <c r="K8" i="1"/>
  <c r="K20" i="1"/>
  <c r="K16" i="1"/>
  <c r="F31" i="1"/>
  <c r="G30" i="1" s="1"/>
  <c r="K23" i="1" l="1"/>
  <c r="G28" i="1"/>
  <c r="G29" i="1"/>
  <c r="G27" i="1"/>
  <c r="C3" i="1"/>
  <c r="G31" i="1" l="1"/>
</calcChain>
</file>

<file path=xl/sharedStrings.xml><?xml version="1.0" encoding="utf-8"?>
<sst xmlns="http://schemas.openxmlformats.org/spreadsheetml/2006/main" count="65" uniqueCount="58">
  <si>
    <t>Investment Portfolio Tracker</t>
  </si>
  <si>
    <t>Last Updated</t>
  </si>
  <si>
    <t>Ticker</t>
  </si>
  <si>
    <t>Name</t>
  </si>
  <si>
    <t>Shares</t>
  </si>
  <si>
    <t>Cost Basis</t>
  </si>
  <si>
    <t>Current Price</t>
  </si>
  <si>
    <t>Market Value</t>
  </si>
  <si>
    <t>Total Cost</t>
  </si>
  <si>
    <t>Gain / Loss ($)</t>
  </si>
  <si>
    <t>Gain / Loss (%)</t>
  </si>
  <si>
    <t>Weight</t>
  </si>
  <si>
    <t>Stocks</t>
  </si>
  <si>
    <t>AAPL</t>
  </si>
  <si>
    <t>MSFT</t>
  </si>
  <si>
    <t>NVDA</t>
  </si>
  <si>
    <t>GOOGL</t>
  </si>
  <si>
    <t>AMZN</t>
  </si>
  <si>
    <t xml:space="preserve">Apple Inc. </t>
  </si>
  <si>
    <t>Microsoft Corp.</t>
  </si>
  <si>
    <t xml:space="preserve">NVIDIA Corp. </t>
  </si>
  <si>
    <t xml:space="preserve">Alphabet Inc. </t>
  </si>
  <si>
    <t xml:space="preserve">Amazon.com, Inc. </t>
  </si>
  <si>
    <t>ETFs</t>
  </si>
  <si>
    <t xml:space="preserve">VOO </t>
  </si>
  <si>
    <t xml:space="preserve">QQQ </t>
  </si>
  <si>
    <t xml:space="preserve">VTI </t>
  </si>
  <si>
    <t>BND</t>
  </si>
  <si>
    <t>Vanguard S&amp;P 500</t>
  </si>
  <si>
    <t xml:space="preserve">Invesco QQQ Trust </t>
  </si>
  <si>
    <t xml:space="preserve">Vanguard Total Bond Market </t>
  </si>
  <si>
    <t>Vanguard Total Stock Market</t>
  </si>
  <si>
    <t>Alternatives</t>
  </si>
  <si>
    <t xml:space="preserve">GLD </t>
  </si>
  <si>
    <t xml:space="preserve">IBIT </t>
  </si>
  <si>
    <t>NA</t>
  </si>
  <si>
    <t>SPDR Gold Shares</t>
  </si>
  <si>
    <t>iShares Bitcoin ETF</t>
  </si>
  <si>
    <t>SLV</t>
  </si>
  <si>
    <t>iShares Silver Trust</t>
  </si>
  <si>
    <t>Portfolio Totals</t>
  </si>
  <si>
    <t>Portfolio Summary</t>
  </si>
  <si>
    <t>Total Market Value</t>
  </si>
  <si>
    <t>Total Cost Basis</t>
  </si>
  <si>
    <t>Total Gain / Loss</t>
  </si>
  <si>
    <t>Total Return %</t>
  </si>
  <si>
    <t># of Holdings</t>
  </si>
  <si>
    <t>Asset Class</t>
  </si>
  <si>
    <t>Value</t>
  </si>
  <si>
    <t>Allocation</t>
  </si>
  <si>
    <t>Total</t>
  </si>
  <si>
    <t>Top Holdings</t>
  </si>
  <si>
    <t>Rank</t>
  </si>
  <si>
    <t>Portfolio Allocation</t>
  </si>
  <si>
    <t>Top 5 Holdings (all asset classes)</t>
  </si>
  <si>
    <t>Cash &amp; Equivalents</t>
  </si>
  <si>
    <t>Liquid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</si>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</sst>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$&quot;#,##0"/>
    <numFmt numFmtId="166" formatCode="0.0%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22"/>
      <color theme="1"/>
      <name val="Aptos Narrow"/>
      <scheme val="minor"/>
    </font>
    <font>
      <i/>
      <sz val="12"/>
      <color theme="0" tint="-0.34998626667073579"/>
      <name val="Aptos Narrow"/>
      <scheme val="minor"/>
    </font>
    <font>
      <sz val="12"/>
      <color rgb="FF0432FF"/>
      <name val="Aptos Narrow"/>
      <family val="2"/>
      <scheme val="minor"/>
    </font>
    <font>
      <sz val="2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/>
    <xf numFmtId="166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166" fontId="2" fillId="4" borderId="1" xfId="0" applyNumberFormat="1" applyFont="1" applyFill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166" fontId="0" fillId="3" borderId="0" xfId="1" applyNumberFormat="1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165" fontId="0" fillId="5" borderId="0" xfId="0" applyNumberFormat="1" applyFill="1" applyAlignment="1">
      <alignment horizontal="center"/>
    </xf>
    <xf numFmtId="166" fontId="0" fillId="5" borderId="0" xfId="1" applyNumberFormat="1" applyFont="1" applyFill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2" xfId="0" applyFont="1" applyBorder="1"/>
    <xf numFmtId="0" fontId="5" fillId="0" borderId="0" xfId="0" applyFont="1"/>
    <xf numFmtId="14" fontId="5" fillId="0" borderId="0" xfId="0" applyNumberFormat="1" applyFont="1" applyAlignment="1">
      <alignment horizontal="left"/>
    </xf>
    <xf numFmtId="0" fontId="0" fillId="0" borderId="5" xfId="0" applyBorder="1"/>
    <xf numFmtId="165" fontId="0" fillId="0" borderId="6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left"/>
    </xf>
    <xf numFmtId="9" fontId="0" fillId="0" borderId="6" xfId="1" applyFont="1" applyBorder="1" applyAlignment="1">
      <alignment horizontal="center"/>
    </xf>
    <xf numFmtId="0" fontId="2" fillId="4" borderId="10" xfId="0" applyFont="1" applyFill="1" applyBorder="1" applyAlignment="1">
      <alignment horizontal="left"/>
    </xf>
    <xf numFmtId="9" fontId="2" fillId="4" borderId="11" xfId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3" fillId="2" borderId="3" xfId="0" applyFont="1" applyFill="1" applyBorder="1"/>
    <xf numFmtId="0" fontId="3" fillId="2" borderId="4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/>
    <xf numFmtId="0" fontId="0" fillId="5" borderId="5" xfId="0" applyFill="1" applyBorder="1" applyAlignment="1">
      <alignment horizontal="center"/>
    </xf>
    <xf numFmtId="165" fontId="0" fillId="5" borderId="6" xfId="0" applyNumberFormat="1" applyFill="1" applyBorder="1" applyAlignment="1">
      <alignment horizontal="center"/>
    </xf>
    <xf numFmtId="0" fontId="0" fillId="5" borderId="5" xfId="0" applyFill="1" applyBorder="1"/>
    <xf numFmtId="166" fontId="0" fillId="5" borderId="6" xfId="0" applyNumberFormat="1" applyFill="1" applyBorder="1" applyAlignment="1">
      <alignment horizontal="center"/>
    </xf>
    <xf numFmtId="0" fontId="0" fillId="5" borderId="5" xfId="0" applyFill="1" applyBorder="1" applyAlignment="1">
      <alignment horizontal="left"/>
    </xf>
    <xf numFmtId="9" fontId="0" fillId="5" borderId="6" xfId="1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7" fillId="0" borderId="0" xfId="0" applyFont="1"/>
    <xf numFmtId="14" fontId="0" fillId="0" borderId="0" xfId="0" applyNumberFormat="1" applyAlignment="1">
      <alignment horizontal="left"/>
    </xf>
    <xf numFmtId="166" fontId="1" fillId="0" borderId="0" xfId="1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9" fontId="1" fillId="0" borderId="0" xfId="1" applyFont="1" applyFill="1" applyBorder="1" applyAlignment="1">
      <alignment horizontal="center"/>
    </xf>
    <xf numFmtId="165" fontId="6" fillId="0" borderId="0" xfId="0" applyNumberFormat="1" applyFont="1" applyAlignment="1">
      <alignment horizontal="center"/>
    </xf>
  </cellXfs>
  <cellStyles count="4">
    <cellStyle name="Hyperlink 2" xfId="3" xr:uid="{2FB2394B-CCC8-9946-9972-28999F496E76}"/>
    <cellStyle name="Normal" xfId="0" builtinId="0"/>
    <cellStyle name="Normal 2 2" xfId="2" xr:uid="{A2B7BEAF-EA1C-B748-9235-95DC1DB28537}"/>
    <cellStyle name="Percent" xfId="1" builtinId="5"/>
  </cellStyles>
  <dxfs count="0"/>
  <tableStyles count="0" defaultTableStyle="TableStyleMedium2" defaultPivotStyle="PivotStyleLight16"/>
  <colors>
    <mruColors>
      <color rgb="FF0432FF"/>
      <color rgb="FF07367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'End File'!$J$27:$J$31</c:f>
              <c:strCache>
                <c:ptCount val="5"/>
                <c:pt idx="0">
                  <c:v>NVDA</c:v>
                </c:pt>
                <c:pt idx="1">
                  <c:v>AAPL</c:v>
                </c:pt>
                <c:pt idx="2">
                  <c:v>MSFT</c:v>
                </c:pt>
                <c:pt idx="3">
                  <c:v>Cash</c:v>
                </c:pt>
                <c:pt idx="4">
                  <c:v>VOO </c:v>
                </c:pt>
              </c:strCache>
            </c:strRef>
          </c:cat>
          <c:val>
            <c:numRef>
              <c:f>'End File'!$K$27:$K$31</c:f>
              <c:numCache>
                <c:formatCode>"$"#,##0</c:formatCode>
                <c:ptCount val="5"/>
                <c:pt idx="0">
                  <c:v>14199.750000000002</c:v>
                </c:pt>
                <c:pt idx="1">
                  <c:v>13090</c:v>
                </c:pt>
                <c:pt idx="2">
                  <c:v>12609.3</c:v>
                </c:pt>
                <c:pt idx="3">
                  <c:v>10000</c:v>
                </c:pt>
                <c:pt idx="4">
                  <c:v>9527.1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9-3743-869E-8CFE32BD9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2"/>
        <c:axId val="1481838079"/>
        <c:axId val="1481836735"/>
      </c:barChart>
      <c:catAx>
        <c:axId val="14818380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481836735"/>
        <c:crosses val="autoZero"/>
        <c:auto val="1"/>
        <c:lblAlgn val="ctr"/>
        <c:lblOffset val="100"/>
        <c:noMultiLvlLbl val="0"/>
      </c:catAx>
      <c:valAx>
        <c:axId val="1481836735"/>
        <c:scaling>
          <c:orientation val="minMax"/>
        </c:scaling>
        <c:delete val="1"/>
        <c:axPos val="t"/>
        <c:numFmt formatCode="&quot;$&quot;#,##0" sourceLinked="1"/>
        <c:majorTickMark val="none"/>
        <c:minorTickMark val="none"/>
        <c:tickLblPos val="nextTo"/>
        <c:crossAx val="148183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'End File'!$G$26</c:f>
              <c:strCache>
                <c:ptCount val="1"/>
                <c:pt idx="0">
                  <c:v>Allocation</c:v>
                </c:pt>
              </c:strCache>
            </c:strRef>
          </c:tx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3C-804C-B04F-C22B0CA76D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23C-804C-B04F-C22B0CA76D44}"/>
              </c:ext>
            </c:extLst>
          </c:dPt>
          <c:dPt>
            <c:idx val="2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3C-804C-B04F-C22B0CA76D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'End File'!$E$27:$E$29</c:f>
              <c:strCache>
                <c:ptCount val="3"/>
                <c:pt idx="0">
                  <c:v>Stocks</c:v>
                </c:pt>
                <c:pt idx="1">
                  <c:v>ETFs</c:v>
                </c:pt>
                <c:pt idx="2">
                  <c:v>Alternatives</c:v>
                </c:pt>
              </c:strCache>
            </c:strRef>
          </c:cat>
          <c:val>
            <c:numRef>
              <c:f>'End File'!$G$27:$G$29</c:f>
              <c:numCache>
                <c:formatCode>0%</c:formatCode>
                <c:ptCount val="3"/>
                <c:pt idx="0">
                  <c:v>0.542848409126795</c:v>
                </c:pt>
                <c:pt idx="1">
                  <c:v>0.31636608720306331</c:v>
                </c:pt>
                <c:pt idx="2">
                  <c:v>0.14078550367014167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C-804C-B04F-C22B0CA76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928077</xdr:colOff>
      <xdr:row>34</xdr:row>
      <xdr:rowOff>972</xdr:rowOff>
    </xdr:from>
    <xdr:to>
      <xdr:col>11</xdr:col>
      <xdr:colOff>10327</xdr:colOff>
      <xdr:row>45</xdr:row>
      <xdr:rowOff>136770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9EF722-AC9C-3938-C91F-D2D4E9D44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33</xdr:row>
      <xdr:rowOff>185613</xdr:rowOff>
    </xdr:from>
    <xdr:to>
      <xdr:col>5</xdr:col>
      <xdr:colOff>9769</xdr:colOff>
      <xdr:row>45</xdr:row>
      <xdr:rowOff>68382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A36BEC-F3CA-1D92-BED6-8527DD0C1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9869-65A5-CC4D-9508-08A8EA3BA9D9}">
  <dimension ref="B2:K34"/>
  <sheetViews>
    <sheetView zoomScaleNormal="100" workbookViewId="0">
      <selection activeCell="C21" sqref="C21"/>
    </sheetView>
  </sheetViews>
  <sheetFormatPr defaultColWidth="11.19921875" defaultRowHeight="15.6" x14ac:dyDescent="0.3"/>
  <cols>
    <col min="1" max="1" width="4.296875" customWidth="1"/>
    <col min="2" max="2" width="17.19921875" customWidth="1"/>
    <col min="3" max="3" width="18.19921875" customWidth="1"/>
    <col min="4" max="4" width="8.796875" style="1" customWidth="1"/>
    <col min="5" max="5" width="11.19921875" style="1"/>
    <col min="6" max="6" width="12.19921875" style="1" bestFit="1" customWidth="1"/>
    <col min="7" max="7" width="12" style="1" bestFit="1" customWidth="1"/>
    <col min="8" max="8" width="9.5" style="1" bestFit="1" customWidth="1"/>
    <col min="9" max="9" width="13" style="1" bestFit="1" customWidth="1"/>
    <col min="10" max="11" width="13.796875" style="1" customWidth="1"/>
  </cols>
  <sheetData>
    <row r="2" spans="2:11" ht="28.8" x14ac:dyDescent="0.55000000000000004">
      <c r="B2" s="55"/>
    </row>
    <row r="3" spans="2:11" x14ac:dyDescent="0.3">
      <c r="C3" s="56"/>
    </row>
    <row r="4" spans="2:11" ht="10.050000000000001" customHeight="1" x14ac:dyDescent="0.3"/>
    <row r="7" spans="2:11" x14ac:dyDescent="0.3">
      <c r="E7" s="8"/>
      <c r="F7" s="8"/>
      <c r="G7" s="9"/>
      <c r="H7" s="9"/>
      <c r="I7" s="9"/>
      <c r="J7" s="57"/>
      <c r="K7" s="57"/>
    </row>
    <row r="8" spans="2:11" x14ac:dyDescent="0.3">
      <c r="E8" s="8"/>
      <c r="F8" s="8"/>
      <c r="G8" s="9"/>
      <c r="H8" s="9"/>
      <c r="I8" s="9"/>
      <c r="J8" s="57"/>
      <c r="K8" s="57"/>
    </row>
    <row r="9" spans="2:11" x14ac:dyDescent="0.3">
      <c r="E9" s="8"/>
      <c r="F9" s="8"/>
      <c r="G9" s="9"/>
      <c r="H9" s="9"/>
      <c r="I9" s="9"/>
      <c r="J9" s="57"/>
      <c r="K9" s="57"/>
    </row>
    <row r="10" spans="2:11" x14ac:dyDescent="0.3">
      <c r="E10" s="8"/>
      <c r="F10" s="8"/>
      <c r="G10" s="9"/>
      <c r="H10" s="9"/>
      <c r="I10" s="9"/>
      <c r="J10" s="57"/>
      <c r="K10" s="57"/>
    </row>
    <row r="11" spans="2:11" x14ac:dyDescent="0.3">
      <c r="E11" s="8"/>
      <c r="F11" s="8"/>
      <c r="G11" s="9"/>
      <c r="H11" s="9"/>
      <c r="I11" s="9"/>
      <c r="J11" s="57"/>
      <c r="K11" s="57"/>
    </row>
    <row r="13" spans="2:11" x14ac:dyDescent="0.3">
      <c r="E13" s="8"/>
      <c r="F13" s="8"/>
      <c r="G13" s="9"/>
      <c r="H13" s="9"/>
      <c r="I13" s="9"/>
      <c r="J13" s="57"/>
      <c r="K13" s="57"/>
    </row>
    <row r="14" spans="2:11" x14ac:dyDescent="0.3">
      <c r="E14" s="8"/>
      <c r="F14" s="8"/>
      <c r="G14" s="9"/>
      <c r="H14" s="9"/>
      <c r="I14" s="9"/>
      <c r="J14" s="57"/>
      <c r="K14" s="57"/>
    </row>
    <row r="15" spans="2:11" x14ac:dyDescent="0.3">
      <c r="E15" s="8"/>
      <c r="F15" s="8"/>
      <c r="G15" s="9"/>
      <c r="H15" s="9"/>
      <c r="I15" s="9"/>
      <c r="J15" s="57"/>
      <c r="K15" s="57"/>
    </row>
    <row r="16" spans="2:11" x14ac:dyDescent="0.3">
      <c r="E16" s="8"/>
      <c r="F16" s="8"/>
      <c r="G16" s="9"/>
      <c r="H16" s="9"/>
      <c r="I16" s="9"/>
      <c r="J16" s="57"/>
      <c r="K16" s="57"/>
    </row>
    <row r="17" spans="3:11" x14ac:dyDescent="0.3">
      <c r="I17" s="9"/>
      <c r="J17" s="57"/>
      <c r="K17" s="57"/>
    </row>
    <row r="18" spans="3:11" x14ac:dyDescent="0.3">
      <c r="E18" s="8"/>
      <c r="F18" s="8"/>
      <c r="G18" s="9"/>
      <c r="H18" s="9"/>
      <c r="I18" s="9"/>
      <c r="J18" s="57"/>
      <c r="K18" s="57"/>
    </row>
    <row r="19" spans="3:11" x14ac:dyDescent="0.3">
      <c r="E19" s="8"/>
      <c r="F19" s="8"/>
      <c r="G19" s="9"/>
      <c r="H19" s="9"/>
      <c r="I19" s="9"/>
      <c r="J19" s="57"/>
      <c r="K19" s="57"/>
    </row>
    <row r="20" spans="3:11" x14ac:dyDescent="0.3">
      <c r="E20" s="8"/>
      <c r="F20" s="8"/>
      <c r="G20" s="9"/>
      <c r="H20" s="9"/>
      <c r="I20" s="9"/>
      <c r="J20" s="57"/>
      <c r="K20" s="57"/>
    </row>
    <row r="21" spans="3:11" x14ac:dyDescent="0.3">
      <c r="I21" s="9"/>
      <c r="J21" s="57"/>
      <c r="K21" s="57"/>
    </row>
    <row r="22" spans="3:11" x14ac:dyDescent="0.3">
      <c r="E22" s="8"/>
      <c r="F22" s="8"/>
      <c r="G22" s="9"/>
      <c r="H22" s="9"/>
      <c r="I22" s="9"/>
      <c r="J22" s="57"/>
      <c r="K22" s="57"/>
    </row>
    <row r="23" spans="3:11" x14ac:dyDescent="0.3">
      <c r="E23" s="8"/>
      <c r="G23" s="9"/>
      <c r="H23" s="9"/>
      <c r="I23" s="9"/>
      <c r="J23" s="58"/>
      <c r="K23" s="58"/>
    </row>
    <row r="24" spans="3:11" x14ac:dyDescent="0.3">
      <c r="E24" s="8"/>
    </row>
    <row r="25" spans="3:11" x14ac:dyDescent="0.3">
      <c r="D25" s="8"/>
      <c r="E25" s="8"/>
    </row>
    <row r="26" spans="3:11" x14ac:dyDescent="0.3">
      <c r="D26" s="8"/>
      <c r="E26"/>
      <c r="G26"/>
      <c r="J26"/>
      <c r="K26"/>
    </row>
    <row r="27" spans="3:11" x14ac:dyDescent="0.3">
      <c r="C27" s="9"/>
      <c r="D27" s="8"/>
      <c r="E27" s="59"/>
      <c r="F27" s="9"/>
      <c r="G27" s="60"/>
      <c r="K27" s="9"/>
    </row>
    <row r="28" spans="3:11" x14ac:dyDescent="0.3">
      <c r="C28" s="9"/>
      <c r="D28" s="8"/>
      <c r="E28" s="59"/>
      <c r="F28" s="9"/>
      <c r="G28" s="60"/>
      <c r="K28" s="9"/>
    </row>
    <row r="29" spans="3:11" x14ac:dyDescent="0.3">
      <c r="C29" s="9"/>
      <c r="D29" s="8"/>
      <c r="E29" s="59"/>
      <c r="F29" s="9"/>
      <c r="G29" s="60"/>
      <c r="K29" s="9"/>
    </row>
    <row r="30" spans="3:11" x14ac:dyDescent="0.3">
      <c r="C30" s="58"/>
      <c r="E30" s="59"/>
      <c r="F30" s="9"/>
      <c r="G30" s="60"/>
      <c r="K30" s="9"/>
    </row>
    <row r="31" spans="3:11" x14ac:dyDescent="0.3">
      <c r="C31" s="1"/>
      <c r="E31" s="59"/>
      <c r="F31" s="9"/>
      <c r="G31" s="60"/>
      <c r="K31" s="9"/>
    </row>
    <row r="34" spans="6:6" customFormat="1" x14ac:dyDescent="0.3">
      <c r="F3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D0BA-49AC-2245-A638-8BE030E3F06D}">
  <dimension ref="B2:K34"/>
  <sheetViews>
    <sheetView showGridLines="0" tabSelected="1" zoomScale="114" zoomScaleNormal="100" workbookViewId="0">
      <selection activeCell="F37" sqref="F37"/>
    </sheetView>
  </sheetViews>
  <sheetFormatPr defaultColWidth="11.19921875" defaultRowHeight="15.6" x14ac:dyDescent="0.3"/>
  <cols>
    <col min="1" max="1" width="4.296875" customWidth="1"/>
    <col min="2" max="2" width="17.19921875" customWidth="1"/>
    <col min="3" max="3" width="18.19921875" customWidth="1"/>
    <col min="4" max="4" width="8.796875" style="1" customWidth="1"/>
    <col min="5" max="5" width="10.796875" style="1"/>
    <col min="6" max="6" width="12.19921875" style="1" bestFit="1" customWidth="1"/>
    <col min="7" max="7" width="12" style="1" bestFit="1" customWidth="1"/>
    <col min="8" max="8" width="9.5" style="1" bestFit="1" customWidth="1"/>
    <col min="9" max="9" width="13" style="1" bestFit="1" customWidth="1"/>
    <col min="10" max="11" width="13.796875" style="1" customWidth="1"/>
  </cols>
  <sheetData>
    <row r="2" spans="2:11" ht="28.8" x14ac:dyDescent="0.55000000000000004">
      <c r="B2" s="23" t="s">
        <v>0</v>
      </c>
      <c r="C2" s="21"/>
      <c r="D2" s="22"/>
      <c r="E2" s="22"/>
      <c r="F2" s="22"/>
      <c r="G2" s="22"/>
      <c r="H2" s="22"/>
      <c r="I2" s="22"/>
      <c r="J2" s="22"/>
      <c r="K2" s="22"/>
    </row>
    <row r="3" spans="2:11" x14ac:dyDescent="0.3">
      <c r="B3" s="24" t="s">
        <v>1</v>
      </c>
      <c r="C3" s="25">
        <f ca="1">TODAY()</f>
        <v>46187</v>
      </c>
    </row>
    <row r="4" spans="2:11" ht="10.050000000000001" customHeight="1" x14ac:dyDescent="0.3"/>
    <row r="5" spans="2:11" x14ac:dyDescent="0.3">
      <c r="B5" s="2" t="s">
        <v>2</v>
      </c>
      <c r="C5" s="2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</row>
    <row r="6" spans="2:11" x14ac:dyDescent="0.3">
      <c r="B6" s="6" t="s">
        <v>12</v>
      </c>
      <c r="C6" s="4"/>
      <c r="D6" s="5"/>
      <c r="E6" s="5"/>
      <c r="F6" s="5"/>
      <c r="G6" s="5"/>
      <c r="H6" s="5"/>
      <c r="I6" s="5"/>
      <c r="J6" s="5"/>
      <c r="K6" s="5"/>
    </row>
    <row r="7" spans="2:11" x14ac:dyDescent="0.3">
      <c r="B7" t="s">
        <v>13</v>
      </c>
      <c r="C7" t="s">
        <v>18</v>
      </c>
      <c r="D7" s="53">
        <v>50</v>
      </c>
      <c r="E7" s="50">
        <v>178.5</v>
      </c>
      <c r="F7" s="50">
        <v>261.8</v>
      </c>
      <c r="G7" s="9">
        <f>F7*D7</f>
        <v>13090</v>
      </c>
      <c r="H7" s="9">
        <f>E7*D7</f>
        <v>8925</v>
      </c>
      <c r="I7" s="9">
        <f>G7-H7</f>
        <v>4165</v>
      </c>
      <c r="J7" s="7">
        <f>(G7-H7)/H7</f>
        <v>0.46666666666666667</v>
      </c>
      <c r="K7" s="7">
        <f>IF(G$23=0,0,G7/G$23)</f>
        <v>0.11502517944235548</v>
      </c>
    </row>
    <row r="8" spans="2:11" x14ac:dyDescent="0.3">
      <c r="B8" s="17" t="s">
        <v>14</v>
      </c>
      <c r="C8" s="17" t="s">
        <v>19</v>
      </c>
      <c r="D8" s="54">
        <v>30</v>
      </c>
      <c r="E8" s="51">
        <v>340</v>
      </c>
      <c r="F8" s="51">
        <v>420.31</v>
      </c>
      <c r="G8" s="19">
        <f t="shared" ref="G8:G20" si="0">F8*D8</f>
        <v>12609.3</v>
      </c>
      <c r="H8" s="19">
        <f t="shared" ref="H8:H20" si="1">E8*D8</f>
        <v>10200</v>
      </c>
      <c r="I8" s="19">
        <f t="shared" ref="I8:I22" si="2">G8-H8</f>
        <v>2409.2999999999993</v>
      </c>
      <c r="J8" s="7">
        <f t="shared" ref="J8:J22" si="3">(G8-H8)/H8</f>
        <v>0.2362058823529411</v>
      </c>
      <c r="K8" s="20">
        <f>IF(G$23=0,0,G8/G$23)</f>
        <v>0.11080114554182527</v>
      </c>
    </row>
    <row r="9" spans="2:11" x14ac:dyDescent="0.3">
      <c r="B9" t="s">
        <v>15</v>
      </c>
      <c r="C9" t="s">
        <v>20</v>
      </c>
      <c r="D9" s="53">
        <v>75</v>
      </c>
      <c r="E9" s="50">
        <v>95</v>
      </c>
      <c r="F9" s="50">
        <v>189.33</v>
      </c>
      <c r="G9" s="9">
        <f t="shared" si="0"/>
        <v>14199.750000000002</v>
      </c>
      <c r="H9" s="9">
        <f t="shared" si="1"/>
        <v>7125</v>
      </c>
      <c r="I9" s="9">
        <f t="shared" si="2"/>
        <v>7074.7500000000018</v>
      </c>
      <c r="J9" s="7">
        <f t="shared" si="3"/>
        <v>0.99294736842105291</v>
      </c>
      <c r="K9" s="7">
        <f>IF(G$23=0,0,G9/G$23)</f>
        <v>0.12477683665290965</v>
      </c>
    </row>
    <row r="10" spans="2:11" x14ac:dyDescent="0.3">
      <c r="B10" s="17" t="s">
        <v>16</v>
      </c>
      <c r="C10" s="17" t="s">
        <v>21</v>
      </c>
      <c r="D10" s="54">
        <v>25</v>
      </c>
      <c r="E10" s="51">
        <v>142</v>
      </c>
      <c r="F10" s="51">
        <v>331.25</v>
      </c>
      <c r="G10" s="19">
        <f t="shared" si="0"/>
        <v>8281.25</v>
      </c>
      <c r="H10" s="19">
        <f t="shared" si="1"/>
        <v>3550</v>
      </c>
      <c r="I10" s="19">
        <f t="shared" si="2"/>
        <v>4731.25</v>
      </c>
      <c r="J10" s="7">
        <f t="shared" si="3"/>
        <v>1.3327464788732395</v>
      </c>
      <c r="K10" s="20">
        <f>IF(G$23=0,0,G10/G$23)</f>
        <v>7.2769462739267099E-2</v>
      </c>
    </row>
    <row r="11" spans="2:11" x14ac:dyDescent="0.3">
      <c r="B11" t="s">
        <v>17</v>
      </c>
      <c r="C11" t="s">
        <v>22</v>
      </c>
      <c r="D11" s="53">
        <v>40</v>
      </c>
      <c r="E11" s="50">
        <v>155</v>
      </c>
      <c r="F11" s="50">
        <v>204.2</v>
      </c>
      <c r="G11" s="9">
        <f t="shared" si="0"/>
        <v>8168</v>
      </c>
      <c r="H11" s="9">
        <f t="shared" si="1"/>
        <v>6200</v>
      </c>
      <c r="I11" s="9">
        <f t="shared" si="2"/>
        <v>1968</v>
      </c>
      <c r="J11" s="7">
        <f t="shared" si="3"/>
        <v>0.3174193548387097</v>
      </c>
      <c r="K11" s="7">
        <f>IF(G$23=0,0,G11/G$23)</f>
        <v>7.1774306011089348E-2</v>
      </c>
    </row>
    <row r="12" spans="2:11" x14ac:dyDescent="0.3">
      <c r="B12" s="6" t="s">
        <v>23</v>
      </c>
      <c r="C12" s="4"/>
      <c r="D12" s="52"/>
      <c r="E12" s="52"/>
      <c r="F12" s="52"/>
      <c r="G12" s="5"/>
      <c r="H12" s="5"/>
      <c r="I12" s="5"/>
      <c r="J12" s="5"/>
      <c r="K12" s="5"/>
    </row>
    <row r="13" spans="2:11" x14ac:dyDescent="0.3">
      <c r="B13" t="s">
        <v>24</v>
      </c>
      <c r="C13" t="s">
        <v>28</v>
      </c>
      <c r="D13" s="53">
        <v>15</v>
      </c>
      <c r="E13" s="50">
        <v>480</v>
      </c>
      <c r="F13" s="50">
        <v>635.14</v>
      </c>
      <c r="G13" s="9">
        <f t="shared" si="0"/>
        <v>9527.1</v>
      </c>
      <c r="H13" s="9">
        <f t="shared" si="1"/>
        <v>7200</v>
      </c>
      <c r="I13" s="9">
        <f t="shared" si="2"/>
        <v>2327.1000000000004</v>
      </c>
      <c r="J13" s="7">
        <f t="shared" si="3"/>
        <v>0.32320833333333338</v>
      </c>
      <c r="K13" s="7">
        <f>IF(G$23=0,0,G13/G$23)</f>
        <v>8.3717065474810143E-2</v>
      </c>
    </row>
    <row r="14" spans="2:11" x14ac:dyDescent="0.3">
      <c r="B14" s="17" t="s">
        <v>25</v>
      </c>
      <c r="C14" s="17" t="s">
        <v>29</v>
      </c>
      <c r="D14" s="54">
        <v>12</v>
      </c>
      <c r="E14" s="51">
        <v>445</v>
      </c>
      <c r="F14" s="51">
        <v>613.11</v>
      </c>
      <c r="G14" s="19">
        <f t="shared" si="0"/>
        <v>7357.32</v>
      </c>
      <c r="H14" s="19">
        <f t="shared" si="1"/>
        <v>5340</v>
      </c>
      <c r="I14" s="19">
        <f t="shared" si="2"/>
        <v>2017.3199999999997</v>
      </c>
      <c r="J14" s="7">
        <f t="shared" si="3"/>
        <v>0.37777528089887635</v>
      </c>
      <c r="K14" s="20">
        <f>IF(G$23=0,0,G14/G$23)</f>
        <v>6.4650653415953455E-2</v>
      </c>
    </row>
    <row r="15" spans="2:11" x14ac:dyDescent="0.3">
      <c r="B15" t="s">
        <v>26</v>
      </c>
      <c r="C15" t="s">
        <v>31</v>
      </c>
      <c r="D15" s="53">
        <v>25</v>
      </c>
      <c r="E15" s="50">
        <v>255</v>
      </c>
      <c r="F15" s="50">
        <v>341.47</v>
      </c>
      <c r="G15" s="9">
        <f t="shared" si="0"/>
        <v>8536.75</v>
      </c>
      <c r="H15" s="9">
        <f t="shared" si="1"/>
        <v>6375</v>
      </c>
      <c r="I15" s="9">
        <f t="shared" si="2"/>
        <v>2161.75</v>
      </c>
      <c r="J15" s="7">
        <f t="shared" si="3"/>
        <v>0.33909803921568626</v>
      </c>
      <c r="K15" s="7">
        <f>IF(G$23=0,0,G15/G$23)</f>
        <v>7.5014606616083127E-2</v>
      </c>
    </row>
    <row r="16" spans="2:11" x14ac:dyDescent="0.3">
      <c r="B16" s="17" t="s">
        <v>27</v>
      </c>
      <c r="C16" s="17" t="s">
        <v>30</v>
      </c>
      <c r="D16" s="54">
        <v>100</v>
      </c>
      <c r="E16" s="51">
        <v>72.5</v>
      </c>
      <c r="F16" s="51">
        <v>74.180000000000007</v>
      </c>
      <c r="G16" s="19">
        <f t="shared" si="0"/>
        <v>7418.0000000000009</v>
      </c>
      <c r="H16" s="19">
        <f t="shared" si="1"/>
        <v>7250</v>
      </c>
      <c r="I16" s="19">
        <f t="shared" si="2"/>
        <v>168.00000000000091</v>
      </c>
      <c r="J16" s="7">
        <f t="shared" si="3"/>
        <v>2.3172413793103575E-2</v>
      </c>
      <c r="K16" s="20">
        <f>IF(G$23=0,0,G16/G$23)</f>
        <v>6.5183864102627428E-2</v>
      </c>
    </row>
    <row r="17" spans="2:11" x14ac:dyDescent="0.3">
      <c r="B17" s="6" t="s">
        <v>32</v>
      </c>
      <c r="C17" s="4"/>
      <c r="D17" s="52"/>
      <c r="E17" s="52"/>
      <c r="F17" s="52"/>
      <c r="G17" s="5"/>
      <c r="H17" s="5"/>
      <c r="I17" s="15"/>
      <c r="J17" s="16"/>
      <c r="K17" s="16"/>
    </row>
    <row r="18" spans="2:11" x14ac:dyDescent="0.3">
      <c r="B18" t="s">
        <v>33</v>
      </c>
      <c r="C18" t="s">
        <v>36</v>
      </c>
      <c r="D18" s="53">
        <v>10</v>
      </c>
      <c r="E18" s="50">
        <v>285</v>
      </c>
      <c r="F18" s="50">
        <v>466.03</v>
      </c>
      <c r="G18" s="9">
        <f t="shared" si="0"/>
        <v>4660.2999999999993</v>
      </c>
      <c r="H18" s="9">
        <f t="shared" si="1"/>
        <v>2850</v>
      </c>
      <c r="I18" s="9">
        <f t="shared" si="2"/>
        <v>1810.2999999999993</v>
      </c>
      <c r="J18" s="7">
        <f t="shared" si="3"/>
        <v>0.63519298245614009</v>
      </c>
      <c r="K18" s="7">
        <f>IF(G$23=0,0,G18/G$23)</f>
        <v>4.0951248568006811E-2</v>
      </c>
    </row>
    <row r="19" spans="2:11" x14ac:dyDescent="0.3">
      <c r="B19" s="17" t="s">
        <v>34</v>
      </c>
      <c r="C19" s="17" t="s">
        <v>37</v>
      </c>
      <c r="D19" s="54">
        <v>100</v>
      </c>
      <c r="E19" s="51">
        <v>42</v>
      </c>
      <c r="F19" s="51">
        <v>76.56</v>
      </c>
      <c r="G19" s="19">
        <f t="shared" si="0"/>
        <v>7656</v>
      </c>
      <c r="H19" s="19">
        <f t="shared" si="1"/>
        <v>4200</v>
      </c>
      <c r="I19" s="19">
        <f t="shared" si="2"/>
        <v>3456</v>
      </c>
      <c r="J19" s="7">
        <f t="shared" si="3"/>
        <v>0.82285714285714284</v>
      </c>
      <c r="K19" s="20">
        <f>IF(G$23=0,0,G19/G$23)</f>
        <v>6.7275231001579339E-2</v>
      </c>
    </row>
    <row r="20" spans="2:11" x14ac:dyDescent="0.3">
      <c r="B20" t="s">
        <v>38</v>
      </c>
      <c r="C20" t="s">
        <v>39</v>
      </c>
      <c r="D20" s="53">
        <v>60</v>
      </c>
      <c r="E20" s="50">
        <v>32</v>
      </c>
      <c r="F20" s="50">
        <v>38.29</v>
      </c>
      <c r="G20" s="9">
        <f t="shared" si="0"/>
        <v>2297.4</v>
      </c>
      <c r="H20" s="9">
        <f t="shared" si="1"/>
        <v>1920</v>
      </c>
      <c r="I20" s="9">
        <f t="shared" si="2"/>
        <v>377.40000000000009</v>
      </c>
      <c r="J20" s="7">
        <f t="shared" si="3"/>
        <v>0.19656250000000006</v>
      </c>
      <c r="K20" s="7">
        <f>IF(G$23=0,0,G20/G$23)</f>
        <v>2.018784165400057E-2</v>
      </c>
    </row>
    <row r="21" spans="2:11" x14ac:dyDescent="0.3">
      <c r="B21" s="6" t="s">
        <v>56</v>
      </c>
      <c r="C21" s="4"/>
      <c r="D21" s="52"/>
      <c r="E21" s="52"/>
      <c r="F21" s="52"/>
      <c r="G21" s="5"/>
      <c r="H21" s="5"/>
      <c r="I21" s="15"/>
      <c r="J21" s="16"/>
      <c r="K21" s="16"/>
    </row>
    <row r="22" spans="2:11" x14ac:dyDescent="0.3">
      <c r="B22" t="s">
        <v>57</v>
      </c>
      <c r="C22" t="s">
        <v>55</v>
      </c>
      <c r="D22" s="53" t="s">
        <v>35</v>
      </c>
      <c r="E22" s="50" t="s">
        <v>35</v>
      </c>
      <c r="F22" s="50" t="s">
        <v>35</v>
      </c>
      <c r="G22" s="61">
        <v>10000</v>
      </c>
      <c r="H22" s="61">
        <v>10000</v>
      </c>
      <c r="I22" s="9">
        <f t="shared" si="2"/>
        <v>0</v>
      </c>
      <c r="J22" s="7">
        <f t="shared" si="3"/>
        <v>0</v>
      </c>
      <c r="K22" s="7">
        <f>IF(G$23=0,0,G22/G$23)</f>
        <v>8.7872558779492335E-2</v>
      </c>
    </row>
    <row r="23" spans="2:11" x14ac:dyDescent="0.3">
      <c r="B23" s="10" t="s">
        <v>40</v>
      </c>
      <c r="C23" s="10"/>
      <c r="D23" s="11"/>
      <c r="E23" s="12"/>
      <c r="F23" s="11"/>
      <c r="G23" s="13">
        <f>SUM(G7:G22)</f>
        <v>113801.17</v>
      </c>
      <c r="H23" s="13">
        <f>SUM(H7:H22)</f>
        <v>81135</v>
      </c>
      <c r="I23" s="13">
        <f>SUM(I7:I20)</f>
        <v>32666.170000000002</v>
      </c>
      <c r="J23" s="14">
        <f>(G23-H23)/H23</f>
        <v>0.4026150243421458</v>
      </c>
      <c r="K23" s="14">
        <f>SUM(K7:K22)</f>
        <v>1</v>
      </c>
    </row>
    <row r="24" spans="2:11" x14ac:dyDescent="0.3">
      <c r="E24" s="8"/>
    </row>
    <row r="25" spans="2:11" x14ac:dyDescent="0.3">
      <c r="D25" s="8"/>
      <c r="E25" s="8"/>
    </row>
    <row r="26" spans="2:11" x14ac:dyDescent="0.3">
      <c r="B26" s="39" t="s">
        <v>41</v>
      </c>
      <c r="C26" s="40"/>
      <c r="D26" s="8"/>
      <c r="E26" s="37" t="s">
        <v>47</v>
      </c>
      <c r="F26" s="41" t="s">
        <v>48</v>
      </c>
      <c r="G26" s="38" t="s">
        <v>49</v>
      </c>
      <c r="I26" s="42" t="s">
        <v>52</v>
      </c>
      <c r="J26" s="43" t="s">
        <v>51</v>
      </c>
      <c r="K26" s="38" t="s">
        <v>7</v>
      </c>
    </row>
    <row r="27" spans="2:11" x14ac:dyDescent="0.3">
      <c r="B27" s="26" t="s">
        <v>42</v>
      </c>
      <c r="C27" s="27">
        <f>G23</f>
        <v>113801.17</v>
      </c>
      <c r="D27" s="8"/>
      <c r="E27" s="30" t="s">
        <v>12</v>
      </c>
      <c r="F27" s="9">
        <f>SUM(G7:G11)</f>
        <v>56348.3</v>
      </c>
      <c r="G27" s="31">
        <f>F27/$F$31</f>
        <v>0.542848409126795</v>
      </c>
      <c r="I27" s="34">
        <v>1</v>
      </c>
      <c r="J27" s="1" t="str">
        <f>INDEX($B$7:$B$22,MATCH(LARGE($G$7:$G$22,I27),$G$7:$G$22,0))</f>
        <v>NVDA</v>
      </c>
      <c r="K27" s="27">
        <f>LARGE($G$7:$G$22,1)</f>
        <v>14199.750000000002</v>
      </c>
    </row>
    <row r="28" spans="2:11" x14ac:dyDescent="0.3">
      <c r="B28" s="46" t="s">
        <v>43</v>
      </c>
      <c r="C28" s="45">
        <f>H23</f>
        <v>81135</v>
      </c>
      <c r="D28" s="8"/>
      <c r="E28" s="48" t="s">
        <v>23</v>
      </c>
      <c r="F28" s="19">
        <f>SUM(G13:G16)</f>
        <v>32839.17</v>
      </c>
      <c r="G28" s="49">
        <f>F28/$F$31</f>
        <v>0.31636608720306331</v>
      </c>
      <c r="I28" s="44">
        <v>2</v>
      </c>
      <c r="J28" s="18" t="str">
        <f t="shared" ref="J28:J31" si="4">INDEX($B$7:$B$22,MATCH(LARGE($G$7:$G$22,I28),$G$7:$G$22,0))</f>
        <v>AAPL</v>
      </c>
      <c r="K28" s="45">
        <f>LARGE($G$7:$G$22,2)</f>
        <v>13090</v>
      </c>
    </row>
    <row r="29" spans="2:11" x14ac:dyDescent="0.3">
      <c r="B29" s="26" t="s">
        <v>44</v>
      </c>
      <c r="C29" s="27">
        <f>I23</f>
        <v>32666.170000000002</v>
      </c>
      <c r="D29" s="8"/>
      <c r="E29" s="30" t="s">
        <v>32</v>
      </c>
      <c r="F29" s="9">
        <f>SUM(G18:G20)</f>
        <v>14613.699999999999</v>
      </c>
      <c r="G29" s="31">
        <f>F29/$F$31</f>
        <v>0.14078550367014167</v>
      </c>
      <c r="I29" s="34">
        <v>3</v>
      </c>
      <c r="J29" s="1" t="str">
        <f t="shared" si="4"/>
        <v>MSFT</v>
      </c>
      <c r="K29" s="27">
        <f>LARGE($G$7:$G$22,3)</f>
        <v>12609.3</v>
      </c>
    </row>
    <row r="30" spans="2:11" x14ac:dyDescent="0.3">
      <c r="B30" s="46" t="s">
        <v>45</v>
      </c>
      <c r="C30" s="47">
        <f>J23</f>
        <v>0.4026150243421458</v>
      </c>
      <c r="E30" s="48" t="s">
        <v>56</v>
      </c>
      <c r="F30" s="19">
        <f>G22</f>
        <v>10000</v>
      </c>
      <c r="G30" s="49">
        <f>F30/$F$31</f>
        <v>9.6338027789089467E-2</v>
      </c>
      <c r="I30" s="44">
        <v>4</v>
      </c>
      <c r="J30" s="18" t="str">
        <f t="shared" si="4"/>
        <v>Cash</v>
      </c>
      <c r="K30" s="45">
        <f>LARGE($G$7:$G$22,4)</f>
        <v>10000</v>
      </c>
    </row>
    <row r="31" spans="2:11" x14ac:dyDescent="0.3">
      <c r="B31" s="28" t="s">
        <v>46</v>
      </c>
      <c r="C31" s="29">
        <f>COUNTA(D7:D20)</f>
        <v>12</v>
      </c>
      <c r="E31" s="32" t="s">
        <v>50</v>
      </c>
      <c r="F31" s="13">
        <f>SUM(F27:F29)</f>
        <v>103801.17</v>
      </c>
      <c r="G31" s="33">
        <f>SUM(G27:G29)</f>
        <v>0.99999999999999989</v>
      </c>
      <c r="I31" s="35">
        <v>5</v>
      </c>
      <c r="J31" s="22" t="str">
        <f t="shared" si="4"/>
        <v xml:space="preserve">VOO </v>
      </c>
      <c r="K31" s="36">
        <f>LARGE($G$7:$G$22,5)</f>
        <v>9527.1</v>
      </c>
    </row>
    <row r="34" spans="2:11" x14ac:dyDescent="0.3">
      <c r="B34" s="2" t="s">
        <v>53</v>
      </c>
      <c r="C34" s="2"/>
      <c r="D34" s="2"/>
      <c r="E34" s="2"/>
      <c r="G34" s="2" t="s">
        <v>54</v>
      </c>
      <c r="H34" s="2"/>
      <c r="I34" s="2"/>
      <c r="J34" s="2"/>
      <c r="K34" s="2"/>
    </row>
  </sheetData>
  <conditionalFormatting sqref="J7:J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{6EBD976E-5368-4662-A9D0-FC25311820A3}</x14:id>
        </ext>
      </extLst>
    </cfRule>
  </conditionalFormatting>
  <conditionalFormatting sqref="K7:K2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{A58679A4-3330-5547-B911-C652A9A3DFDB}</x14:id>
        </ext>
      </extLst>
    </cfRule>
  </conditionalFormatting>
  <conditionalFormatting sqref="K27:K3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{3C297EC0-E4B8-C44F-9C20-9376A44423C5}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BD976E-5368-4662-A9D0-FC25311820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J7:J22</xm:sqref>
        </x14:conditionalFormatting>
        <x14:conditionalFormatting xmlns:xm="http://schemas.microsoft.com/office/excel/2006/main">
          <x14:cfRule type="dataBar" id="{A58679A4-3330-5547-B911-C652A9A3DFD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K7:K22</xm:sqref>
        </x14:conditionalFormatting>
        <x14:conditionalFormatting xmlns:xm="http://schemas.microsoft.com/office/excel/2006/main">
          <x14:cfRule type="dataBar" id="{3C297EC0-E4B8-C44F-9C20-9376A44423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K27:K31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 File</vt:lpstr>
      <vt:lpstr>End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Prashanth K</cp:lastModifiedBy>
  <dcterms:created xsi:type="dcterms:W3CDTF">2026-02-13T00:42:47Z</dcterms:created>
  <dcterms:modified xsi:type="dcterms:W3CDTF">2026-06-14T10:37:18Z</dcterms:modified>
</cp:coreProperties>
</file>